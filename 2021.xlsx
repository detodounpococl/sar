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ESTADISTICAS\SAR 2019 - 2026\"/>
    </mc:Choice>
  </mc:AlternateContent>
  <xr:revisionPtr revIDLastSave="0" documentId="13_ncr:1_{21EEF2AD-1467-4D8A-82E3-BEBBB5D874A1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FORMATO 2021" sheetId="1" r:id="rId1"/>
    <sheet name="CONSOLIDADO" sheetId="5" r:id="rId2"/>
    <sheet name="ENERO" sheetId="2" r:id="rId3"/>
    <sheet name="FEBRERO" sheetId="3" r:id="rId4"/>
    <sheet name="MARZO" sheetId="4" r:id="rId5"/>
    <sheet name="ABRIL" sheetId="6" r:id="rId6"/>
    <sheet name="MAYO" sheetId="7" r:id="rId7"/>
    <sheet name="JUNIO" sheetId="8" r:id="rId8"/>
    <sheet name="JULIO" sheetId="9" r:id="rId9"/>
    <sheet name="AGOSTO" sheetId="10" r:id="rId10"/>
    <sheet name="SEPTIEMBRE" sheetId="11" r:id="rId11"/>
    <sheet name="OCTUBRE" sheetId="12" r:id="rId12"/>
    <sheet name="NOVIEMBRE" sheetId="13" r:id="rId13"/>
    <sheet name="DICIEMBRE" sheetId="15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27" i="5" l="1"/>
  <c r="M226" i="5"/>
  <c r="M225" i="5"/>
  <c r="M224" i="5"/>
  <c r="M223" i="5"/>
  <c r="M222" i="5"/>
  <c r="M221" i="5"/>
  <c r="M220" i="5"/>
  <c r="M219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M7" i="5"/>
  <c r="M6" i="5"/>
  <c r="M5" i="5"/>
  <c r="M4" i="5"/>
  <c r="M3" i="5"/>
  <c r="L227" i="5"/>
  <c r="L226" i="5"/>
  <c r="L225" i="5"/>
  <c r="L224" i="5"/>
  <c r="L223" i="5"/>
  <c r="L222" i="5"/>
  <c r="L221" i="5"/>
  <c r="L220" i="5"/>
  <c r="L219" i="5"/>
  <c r="L217" i="5"/>
  <c r="L216" i="5"/>
  <c r="L215" i="5"/>
  <c r="L214" i="5"/>
  <c r="L213" i="5"/>
  <c r="L212" i="5"/>
  <c r="L211" i="5"/>
  <c r="L210" i="5"/>
  <c r="L209" i="5"/>
  <c r="L208" i="5"/>
  <c r="L207" i="5"/>
  <c r="L206" i="5"/>
  <c r="L205" i="5"/>
  <c r="L204" i="5"/>
  <c r="L203" i="5"/>
  <c r="L202" i="5"/>
  <c r="L201" i="5"/>
  <c r="L200" i="5"/>
  <c r="L199" i="5"/>
  <c r="L198" i="5"/>
  <c r="L197" i="5"/>
  <c r="L196" i="5"/>
  <c r="L195" i="5"/>
  <c r="L194" i="5"/>
  <c r="L193" i="5"/>
  <c r="L192" i="5"/>
  <c r="L191" i="5"/>
  <c r="L190" i="5"/>
  <c r="L189" i="5"/>
  <c r="L188" i="5"/>
  <c r="L187" i="5"/>
  <c r="L186" i="5"/>
  <c r="L185" i="5"/>
  <c r="L184" i="5"/>
  <c r="L183" i="5"/>
  <c r="L182" i="5"/>
  <c r="L181" i="5"/>
  <c r="L180" i="5"/>
  <c r="L179" i="5"/>
  <c r="L178" i="5"/>
  <c r="L177" i="5"/>
  <c r="L176" i="5"/>
  <c r="L175" i="5"/>
  <c r="L174" i="5"/>
  <c r="L173" i="5"/>
  <c r="L172" i="5"/>
  <c r="L171" i="5"/>
  <c r="L170" i="5"/>
  <c r="L169" i="5"/>
  <c r="L168" i="5"/>
  <c r="L167" i="5"/>
  <c r="L166" i="5"/>
  <c r="L165" i="5"/>
  <c r="L164" i="5"/>
  <c r="L163" i="5"/>
  <c r="L162" i="5"/>
  <c r="L161" i="5"/>
  <c r="L160" i="5"/>
  <c r="L159" i="5"/>
  <c r="L158" i="5"/>
  <c r="L157" i="5"/>
  <c r="L156" i="5"/>
  <c r="L155" i="5"/>
  <c r="L154" i="5"/>
  <c r="L153" i="5"/>
  <c r="L152" i="5"/>
  <c r="L151" i="5"/>
  <c r="L150" i="5"/>
  <c r="L149" i="5"/>
  <c r="L148" i="5"/>
  <c r="L147" i="5"/>
  <c r="L146" i="5"/>
  <c r="L145" i="5"/>
  <c r="L144" i="5"/>
  <c r="L143" i="5"/>
  <c r="L142" i="5"/>
  <c r="L141" i="5"/>
  <c r="L140" i="5"/>
  <c r="L139" i="5"/>
  <c r="L138" i="5"/>
  <c r="L137" i="5"/>
  <c r="L136" i="5"/>
  <c r="L135" i="5"/>
  <c r="L134" i="5"/>
  <c r="L133" i="5"/>
  <c r="L132" i="5"/>
  <c r="L131" i="5"/>
  <c r="L130" i="5"/>
  <c r="L129" i="5"/>
  <c r="L128" i="5"/>
  <c r="L127" i="5"/>
  <c r="L126" i="5"/>
  <c r="L125" i="5"/>
  <c r="L124" i="5"/>
  <c r="L123" i="5"/>
  <c r="L122" i="5"/>
  <c r="L121" i="5"/>
  <c r="L120" i="5"/>
  <c r="L119" i="5"/>
  <c r="L118" i="5"/>
  <c r="L117" i="5"/>
  <c r="L116" i="5"/>
  <c r="L115" i="5"/>
  <c r="L114" i="5"/>
  <c r="L113" i="5"/>
  <c r="L112" i="5"/>
  <c r="L111" i="5"/>
  <c r="L110" i="5"/>
  <c r="L109" i="5"/>
  <c r="L108" i="5"/>
  <c r="L107" i="5"/>
  <c r="L106" i="5"/>
  <c r="L105" i="5"/>
  <c r="L104" i="5"/>
  <c r="L103" i="5"/>
  <c r="L102" i="5"/>
  <c r="L101" i="5"/>
  <c r="L100" i="5"/>
  <c r="L99" i="5"/>
  <c r="L98" i="5"/>
  <c r="L97" i="5"/>
  <c r="L96" i="5"/>
  <c r="L95" i="5"/>
  <c r="L94" i="5"/>
  <c r="L93" i="5"/>
  <c r="L92" i="5"/>
  <c r="L91" i="5"/>
  <c r="L90" i="5"/>
  <c r="L89" i="5"/>
  <c r="L88" i="5"/>
  <c r="L87" i="5"/>
  <c r="L86" i="5"/>
  <c r="L85" i="5"/>
  <c r="L84" i="5"/>
  <c r="L83" i="5"/>
  <c r="L82" i="5"/>
  <c r="L81" i="5"/>
  <c r="L80" i="5"/>
  <c r="L79" i="5"/>
  <c r="L78" i="5"/>
  <c r="L77" i="5"/>
  <c r="L76" i="5"/>
  <c r="L75" i="5"/>
  <c r="L74" i="5"/>
  <c r="L73" i="5"/>
  <c r="L72" i="5"/>
  <c r="L71" i="5"/>
  <c r="L70" i="5"/>
  <c r="L69" i="5"/>
  <c r="L68" i="5"/>
  <c r="L67" i="5"/>
  <c r="L66" i="5"/>
  <c r="L65" i="5"/>
  <c r="L64" i="5"/>
  <c r="L63" i="5"/>
  <c r="L62" i="5"/>
  <c r="L61" i="5"/>
  <c r="L60" i="5"/>
  <c r="L59" i="5"/>
  <c r="L58" i="5"/>
  <c r="L57" i="5"/>
  <c r="L56" i="5"/>
  <c r="L55" i="5"/>
  <c r="L54" i="5"/>
  <c r="L53" i="5"/>
  <c r="L52" i="5"/>
  <c r="L51" i="5"/>
  <c r="L50" i="5"/>
  <c r="L49" i="5"/>
  <c r="L48" i="5"/>
  <c r="L47" i="5"/>
  <c r="L46" i="5"/>
  <c r="L45" i="5"/>
  <c r="L44" i="5"/>
  <c r="L43" i="5"/>
  <c r="L42" i="5"/>
  <c r="L41" i="5"/>
  <c r="L40" i="5"/>
  <c r="L39" i="5"/>
  <c r="L38" i="5"/>
  <c r="L37" i="5"/>
  <c r="L36" i="5"/>
  <c r="L35" i="5"/>
  <c r="L34" i="5"/>
  <c r="L33" i="5"/>
  <c r="L32" i="5"/>
  <c r="L31" i="5"/>
  <c r="L30" i="5"/>
  <c r="L29" i="5"/>
  <c r="L28" i="5"/>
  <c r="L27" i="5"/>
  <c r="L26" i="5"/>
  <c r="L25" i="5"/>
  <c r="L24" i="5"/>
  <c r="L23" i="5"/>
  <c r="L22" i="5"/>
  <c r="L21" i="5"/>
  <c r="L20" i="5"/>
  <c r="L19" i="5"/>
  <c r="L18" i="5"/>
  <c r="L17" i="5"/>
  <c r="L16" i="5"/>
  <c r="L15" i="5"/>
  <c r="L14" i="5"/>
  <c r="L13" i="5"/>
  <c r="L12" i="5"/>
  <c r="L11" i="5"/>
  <c r="L10" i="5"/>
  <c r="L9" i="5"/>
  <c r="L8" i="5"/>
  <c r="L7" i="5"/>
  <c r="L6" i="5"/>
  <c r="L5" i="5"/>
  <c r="L4" i="5"/>
  <c r="L3" i="5"/>
  <c r="I142" i="15"/>
  <c r="I137" i="15"/>
  <c r="I143" i="15"/>
  <c r="I129" i="15"/>
  <c r="H215" i="15"/>
  <c r="H142" i="15"/>
  <c r="H143" i="15"/>
  <c r="H129" i="15"/>
  <c r="G171" i="15"/>
  <c r="G134" i="15"/>
  <c r="G142" i="15"/>
  <c r="G143" i="15"/>
  <c r="G129" i="15"/>
  <c r="F142" i="15" l="1"/>
  <c r="F139" i="15"/>
  <c r="F143" i="15"/>
  <c r="F129" i="15"/>
  <c r="F116" i="15" s="1"/>
  <c r="E142" i="15"/>
  <c r="E143" i="15"/>
  <c r="E129" i="15"/>
  <c r="D134" i="15"/>
  <c r="AG134" i="15" s="1"/>
  <c r="D142" i="15"/>
  <c r="D137" i="15"/>
  <c r="D143" i="15"/>
  <c r="D129" i="15"/>
  <c r="D116" i="15" s="1"/>
  <c r="C142" i="15"/>
  <c r="C143" i="15"/>
  <c r="C130" i="15" s="1"/>
  <c r="C129" i="15"/>
  <c r="C116" i="15" s="1"/>
  <c r="B134" i="15"/>
  <c r="B142" i="15"/>
  <c r="B137" i="15"/>
  <c r="AG137" i="15" s="1"/>
  <c r="B143" i="15"/>
  <c r="AG143" i="15" s="1"/>
  <c r="B129" i="15"/>
  <c r="B84" i="15"/>
  <c r="AG227" i="15"/>
  <c r="AG226" i="15"/>
  <c r="AG225" i="15"/>
  <c r="AF224" i="15"/>
  <c r="AE224" i="15"/>
  <c r="AD224" i="15"/>
  <c r="AC224" i="15"/>
  <c r="AB224" i="15"/>
  <c r="AA224" i="15"/>
  <c r="Z224" i="15"/>
  <c r="Y224" i="15"/>
  <c r="X224" i="15"/>
  <c r="W224" i="15"/>
  <c r="V224" i="15"/>
  <c r="U224" i="15"/>
  <c r="T224" i="15"/>
  <c r="S224" i="15"/>
  <c r="R224" i="15"/>
  <c r="Q224" i="15"/>
  <c r="P224" i="15"/>
  <c r="O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B224" i="15"/>
  <c r="AG223" i="15"/>
  <c r="AG222" i="15"/>
  <c r="AG221" i="15"/>
  <c r="AF220" i="15"/>
  <c r="AE220" i="15"/>
  <c r="AD220" i="15"/>
  <c r="AC220" i="15"/>
  <c r="AB220" i="15"/>
  <c r="AA220" i="15"/>
  <c r="Z220" i="15"/>
  <c r="Y220" i="15"/>
  <c r="X220" i="15"/>
  <c r="W220" i="15"/>
  <c r="V220" i="15"/>
  <c r="U220" i="15"/>
  <c r="T220" i="15"/>
  <c r="S220" i="15"/>
  <c r="R220" i="15"/>
  <c r="Q220" i="15"/>
  <c r="P220" i="15"/>
  <c r="O220" i="15"/>
  <c r="N220" i="15"/>
  <c r="M220" i="15"/>
  <c r="L220" i="15"/>
  <c r="K220" i="15"/>
  <c r="J220" i="15"/>
  <c r="I220" i="15"/>
  <c r="H220" i="15"/>
  <c r="G220" i="15"/>
  <c r="F220" i="15"/>
  <c r="E220" i="15"/>
  <c r="D220" i="15"/>
  <c r="C220" i="15"/>
  <c r="B220" i="15"/>
  <c r="AG219" i="15"/>
  <c r="AG218" i="15"/>
  <c r="AG217" i="15"/>
  <c r="AG216" i="15"/>
  <c r="AF215" i="15"/>
  <c r="AE215" i="15"/>
  <c r="AD215" i="15"/>
  <c r="AC215" i="15"/>
  <c r="AB215" i="15"/>
  <c r="AA215" i="15"/>
  <c r="Z215" i="15"/>
  <c r="Y215" i="15"/>
  <c r="X215" i="15"/>
  <c r="W215" i="15"/>
  <c r="V215" i="15"/>
  <c r="U215" i="15"/>
  <c r="T215" i="15"/>
  <c r="S215" i="15"/>
  <c r="R215" i="15"/>
  <c r="Q215" i="15"/>
  <c r="P215" i="15"/>
  <c r="O215" i="15"/>
  <c r="N215" i="15"/>
  <c r="M215" i="15"/>
  <c r="L215" i="15"/>
  <c r="K215" i="15"/>
  <c r="J215" i="15"/>
  <c r="I215" i="15"/>
  <c r="G215" i="15"/>
  <c r="F215" i="15"/>
  <c r="E215" i="15"/>
  <c r="D215" i="15"/>
  <c r="C215" i="15"/>
  <c r="B215" i="15"/>
  <c r="AG214" i="15"/>
  <c r="AG213" i="15"/>
  <c r="AG212" i="15"/>
  <c r="AG211" i="15"/>
  <c r="AG210" i="15"/>
  <c r="AF209" i="15"/>
  <c r="AE209" i="15"/>
  <c r="AD209" i="15"/>
  <c r="AC209" i="15"/>
  <c r="AB209" i="15"/>
  <c r="AA209" i="15"/>
  <c r="Z209" i="15"/>
  <c r="Y209" i="15"/>
  <c r="X209" i="15"/>
  <c r="W209" i="15"/>
  <c r="V209" i="15"/>
  <c r="U209" i="15"/>
  <c r="T209" i="15"/>
  <c r="S209" i="15"/>
  <c r="R209" i="15"/>
  <c r="Q209" i="15"/>
  <c r="P209" i="15"/>
  <c r="O209" i="15"/>
  <c r="N209" i="15"/>
  <c r="M209" i="15"/>
  <c r="L209" i="15"/>
  <c r="K209" i="15"/>
  <c r="J209" i="15"/>
  <c r="I209" i="15"/>
  <c r="H209" i="15"/>
  <c r="G209" i="15"/>
  <c r="F209" i="15"/>
  <c r="E209" i="15"/>
  <c r="D209" i="15"/>
  <c r="C209" i="15"/>
  <c r="B209" i="15"/>
  <c r="AG208" i="15"/>
  <c r="AG207" i="15"/>
  <c r="AG206" i="15"/>
  <c r="AG205" i="15"/>
  <c r="AG204" i="15"/>
  <c r="AG203" i="15"/>
  <c r="AG202" i="15"/>
  <c r="AG201" i="15"/>
  <c r="AG200" i="15"/>
  <c r="AG199" i="15"/>
  <c r="AG198" i="15"/>
  <c r="AG197" i="15"/>
  <c r="AG196" i="15"/>
  <c r="AG195" i="15"/>
  <c r="AG194" i="15"/>
  <c r="AG193" i="15"/>
  <c r="AG192" i="15"/>
  <c r="AG191" i="15"/>
  <c r="AG190" i="15"/>
  <c r="AG189" i="15"/>
  <c r="AG188" i="15"/>
  <c r="AG187" i="15"/>
  <c r="AG186" i="15"/>
  <c r="AG185" i="15"/>
  <c r="AG184" i="15"/>
  <c r="AG183" i="15"/>
  <c r="AF182" i="15"/>
  <c r="AE182" i="15"/>
  <c r="AD182" i="15"/>
  <c r="AC182" i="15"/>
  <c r="AB182" i="15"/>
  <c r="AA182" i="15"/>
  <c r="Z182" i="15"/>
  <c r="Y182" i="15"/>
  <c r="X182" i="15"/>
  <c r="W182" i="15"/>
  <c r="V182" i="15"/>
  <c r="U182" i="15"/>
  <c r="T182" i="15"/>
  <c r="S182" i="15"/>
  <c r="R182" i="15"/>
  <c r="Q182" i="15"/>
  <c r="P182" i="15"/>
  <c r="O182" i="15"/>
  <c r="N182" i="15"/>
  <c r="M182" i="15"/>
  <c r="L182" i="15"/>
  <c r="K182" i="15"/>
  <c r="J182" i="15"/>
  <c r="I182" i="15"/>
  <c r="H182" i="15"/>
  <c r="G182" i="15"/>
  <c r="F182" i="15"/>
  <c r="E182" i="15"/>
  <c r="D182" i="15"/>
  <c r="C182" i="15"/>
  <c r="B182" i="15"/>
  <c r="AG181" i="15"/>
  <c r="AG180" i="15"/>
  <c r="AG179" i="15"/>
  <c r="AG178" i="15"/>
  <c r="AF177" i="15"/>
  <c r="AE177" i="15"/>
  <c r="AD177" i="15"/>
  <c r="AC177" i="15"/>
  <c r="AB177" i="15"/>
  <c r="AA177" i="15"/>
  <c r="Z177" i="15"/>
  <c r="Y177" i="15"/>
  <c r="X177" i="15"/>
  <c r="W177" i="15"/>
  <c r="V177" i="15"/>
  <c r="U177" i="15"/>
  <c r="T177" i="15"/>
  <c r="S177" i="15"/>
  <c r="R177" i="15"/>
  <c r="Q177" i="15"/>
  <c r="P177" i="15"/>
  <c r="O177" i="15"/>
  <c r="N177" i="15"/>
  <c r="M177" i="15"/>
  <c r="L177" i="15"/>
  <c r="K177" i="15"/>
  <c r="J177" i="15"/>
  <c r="I177" i="15"/>
  <c r="H177" i="15"/>
  <c r="G177" i="15"/>
  <c r="F177" i="15"/>
  <c r="E177" i="15"/>
  <c r="D177" i="15"/>
  <c r="C177" i="15"/>
  <c r="B177" i="15"/>
  <c r="AG176" i="15"/>
  <c r="AG175" i="15"/>
  <c r="AG174" i="15"/>
  <c r="AF173" i="15"/>
  <c r="AE173" i="15"/>
  <c r="AD173" i="15"/>
  <c r="AC173" i="15"/>
  <c r="AB173" i="15"/>
  <c r="AA173" i="15"/>
  <c r="Z173" i="15"/>
  <c r="Y173" i="15"/>
  <c r="X173" i="15"/>
  <c r="W173" i="15"/>
  <c r="V173" i="15"/>
  <c r="U173" i="15"/>
  <c r="T173" i="15"/>
  <c r="S173" i="15"/>
  <c r="R173" i="15"/>
  <c r="Q173" i="15"/>
  <c r="P173" i="15"/>
  <c r="O173" i="15"/>
  <c r="N173" i="15"/>
  <c r="M173" i="15"/>
  <c r="L173" i="15"/>
  <c r="K173" i="15"/>
  <c r="J173" i="15"/>
  <c r="I173" i="15"/>
  <c r="H173" i="15"/>
  <c r="G173" i="15"/>
  <c r="F173" i="15"/>
  <c r="E173" i="15"/>
  <c r="D173" i="15"/>
  <c r="C173" i="15"/>
  <c r="B173" i="15"/>
  <c r="AG172" i="15"/>
  <c r="AG171" i="15"/>
  <c r="AG170" i="15"/>
  <c r="AG169" i="15"/>
  <c r="AG168" i="15"/>
  <c r="AF167" i="15"/>
  <c r="AE167" i="15"/>
  <c r="AD167" i="15"/>
  <c r="AC167" i="15"/>
  <c r="AB167" i="15"/>
  <c r="AA167" i="15"/>
  <c r="Z167" i="15"/>
  <c r="Y167" i="15"/>
  <c r="X167" i="15"/>
  <c r="W167" i="15"/>
  <c r="V167" i="15"/>
  <c r="U167" i="15"/>
  <c r="T167" i="15"/>
  <c r="S167" i="15"/>
  <c r="R167" i="15"/>
  <c r="Q167" i="15"/>
  <c r="P167" i="15"/>
  <c r="O167" i="15"/>
  <c r="N167" i="15"/>
  <c r="M167" i="15"/>
  <c r="L167" i="15"/>
  <c r="K167" i="15"/>
  <c r="J167" i="15"/>
  <c r="I167" i="15"/>
  <c r="H167" i="15"/>
  <c r="G167" i="15"/>
  <c r="F167" i="15"/>
  <c r="E167" i="15"/>
  <c r="D167" i="15"/>
  <c r="C167" i="15"/>
  <c r="B167" i="15"/>
  <c r="AG166" i="15"/>
  <c r="AG165" i="15"/>
  <c r="AG164" i="15"/>
  <c r="AG163" i="15"/>
  <c r="AG162" i="15"/>
  <c r="AG161" i="15"/>
  <c r="AG160" i="15"/>
  <c r="AG159" i="15"/>
  <c r="AF158" i="15"/>
  <c r="AE158" i="15"/>
  <c r="AD158" i="15"/>
  <c r="AC158" i="15"/>
  <c r="AB158" i="15"/>
  <c r="AA158" i="15"/>
  <c r="Z158" i="15"/>
  <c r="Y158" i="15"/>
  <c r="X158" i="15"/>
  <c r="W158" i="15"/>
  <c r="V158" i="15"/>
  <c r="U158" i="15"/>
  <c r="T158" i="15"/>
  <c r="S158" i="15"/>
  <c r="R158" i="15"/>
  <c r="Q158" i="15"/>
  <c r="P158" i="15"/>
  <c r="O158" i="15"/>
  <c r="N158" i="15"/>
  <c r="M158" i="15"/>
  <c r="L158" i="15"/>
  <c r="K158" i="15"/>
  <c r="J158" i="15"/>
  <c r="I158" i="15"/>
  <c r="H158" i="15"/>
  <c r="G158" i="15"/>
  <c r="F158" i="15"/>
  <c r="E158" i="15"/>
  <c r="D158" i="15"/>
  <c r="C158" i="15"/>
  <c r="B158" i="15"/>
  <c r="AG157" i="15"/>
  <c r="AG156" i="15"/>
  <c r="AG155" i="15"/>
  <c r="AG154" i="15"/>
  <c r="AG153" i="15"/>
  <c r="AG152" i="15"/>
  <c r="AG151" i="15"/>
  <c r="AG150" i="15"/>
  <c r="AG149" i="15"/>
  <c r="AF148" i="15"/>
  <c r="AE148" i="15"/>
  <c r="AD148" i="15"/>
  <c r="AC148" i="15"/>
  <c r="AC146" i="15" s="1"/>
  <c r="AB148" i="15"/>
  <c r="AA148" i="15"/>
  <c r="AA146" i="15" s="1"/>
  <c r="AA144" i="15" s="1"/>
  <c r="Z148" i="15"/>
  <c r="Y148" i="15"/>
  <c r="Y146" i="15" s="1"/>
  <c r="X148" i="15"/>
  <c r="X146" i="15" s="1"/>
  <c r="X144" i="15" s="1"/>
  <c r="W148" i="15"/>
  <c r="W146" i="15" s="1"/>
  <c r="W144" i="15" s="1"/>
  <c r="V148" i="15"/>
  <c r="U148" i="15"/>
  <c r="U146" i="15" s="1"/>
  <c r="U144" i="15" s="1"/>
  <c r="T148" i="15"/>
  <c r="S148" i="15"/>
  <c r="S146" i="15" s="1"/>
  <c r="R148" i="15"/>
  <c r="R146" i="15" s="1"/>
  <c r="R144" i="15" s="1"/>
  <c r="Q148" i="15"/>
  <c r="Q146" i="15" s="1"/>
  <c r="P148" i="15"/>
  <c r="P146" i="15" s="1"/>
  <c r="P144" i="15" s="1"/>
  <c r="O148" i="15"/>
  <c r="O146" i="15" s="1"/>
  <c r="O144" i="15" s="1"/>
  <c r="N148" i="15"/>
  <c r="M148" i="15"/>
  <c r="M146" i="15" s="1"/>
  <c r="M144" i="15" s="1"/>
  <c r="L148" i="15"/>
  <c r="K148" i="15"/>
  <c r="K146" i="15" s="1"/>
  <c r="J148" i="15"/>
  <c r="I148" i="15"/>
  <c r="I146" i="15" s="1"/>
  <c r="H148" i="15"/>
  <c r="H146" i="15" s="1"/>
  <c r="G148" i="15"/>
  <c r="F148" i="15"/>
  <c r="F146" i="15" s="1"/>
  <c r="F144" i="15" s="1"/>
  <c r="E148" i="15"/>
  <c r="E146" i="15" s="1"/>
  <c r="D148" i="15"/>
  <c r="D146" i="15" s="1"/>
  <c r="D144" i="15" s="1"/>
  <c r="C148" i="15"/>
  <c r="C146" i="15" s="1"/>
  <c r="C144" i="15" s="1"/>
  <c r="B148" i="15"/>
  <c r="B146" i="15" s="1"/>
  <c r="AE147" i="15"/>
  <c r="AD147" i="15"/>
  <c r="AC147" i="15"/>
  <c r="AB147" i="15"/>
  <c r="AA147" i="15"/>
  <c r="Z147" i="15"/>
  <c r="Y147" i="15"/>
  <c r="X147" i="15"/>
  <c r="W147" i="15"/>
  <c r="V147" i="15"/>
  <c r="U147" i="15"/>
  <c r="T147" i="15"/>
  <c r="S147" i="15"/>
  <c r="R147" i="15"/>
  <c r="Q147" i="15"/>
  <c r="P147" i="15"/>
  <c r="O147" i="15"/>
  <c r="N147" i="15"/>
  <c r="M147" i="15"/>
  <c r="L147" i="15"/>
  <c r="K147" i="15"/>
  <c r="J147" i="15"/>
  <c r="I147" i="15"/>
  <c r="H147" i="15"/>
  <c r="G147" i="15"/>
  <c r="F147" i="15"/>
  <c r="E147" i="15"/>
  <c r="D147" i="15"/>
  <c r="C147" i="15"/>
  <c r="B147" i="15"/>
  <c r="AF146" i="15"/>
  <c r="AF144" i="15" s="1"/>
  <c r="AE146" i="15"/>
  <c r="AE144" i="15" s="1"/>
  <c r="AD146" i="15"/>
  <c r="AD144" i="15" s="1"/>
  <c r="AB146" i="15"/>
  <c r="Z146" i="15"/>
  <c r="Z144" i="15" s="1"/>
  <c r="V146" i="15"/>
  <c r="V144" i="15" s="1"/>
  <c r="T146" i="15"/>
  <c r="T144" i="15" s="1"/>
  <c r="N146" i="15"/>
  <c r="N144" i="15" s="1"/>
  <c r="L146" i="15"/>
  <c r="L144" i="15" s="1"/>
  <c r="J146" i="15"/>
  <c r="J144" i="15" s="1"/>
  <c r="G146" i="15"/>
  <c r="AF145" i="15"/>
  <c r="AE145" i="15"/>
  <c r="AD145" i="15"/>
  <c r="AC145" i="15"/>
  <c r="AB145" i="15"/>
  <c r="AA145" i="15"/>
  <c r="Z145" i="15"/>
  <c r="Y145" i="15"/>
  <c r="X145" i="15"/>
  <c r="W145" i="15"/>
  <c r="V145" i="15"/>
  <c r="U145" i="15"/>
  <c r="T145" i="15"/>
  <c r="S145" i="15"/>
  <c r="R145" i="15"/>
  <c r="Q145" i="15"/>
  <c r="P145" i="15"/>
  <c r="O145" i="15"/>
  <c r="N145" i="15"/>
  <c r="M145" i="15"/>
  <c r="L145" i="15"/>
  <c r="K145" i="15"/>
  <c r="J145" i="15"/>
  <c r="I145" i="15"/>
  <c r="H145" i="15"/>
  <c r="G145" i="15"/>
  <c r="F145" i="15"/>
  <c r="E145" i="15"/>
  <c r="D145" i="15"/>
  <c r="C145" i="15"/>
  <c r="B145" i="15"/>
  <c r="AG141" i="15"/>
  <c r="AG140" i="15"/>
  <c r="AG139" i="15"/>
  <c r="AG138" i="15"/>
  <c r="AG136" i="15"/>
  <c r="AG135" i="15"/>
  <c r="AG133" i="15"/>
  <c r="AG132" i="15"/>
  <c r="AG131" i="15"/>
  <c r="AF130" i="15"/>
  <c r="AE130" i="15"/>
  <c r="AD130" i="15"/>
  <c r="AC130" i="15"/>
  <c r="AB130" i="15"/>
  <c r="AA130" i="15"/>
  <c r="Z130" i="15"/>
  <c r="Y130" i="15"/>
  <c r="X130" i="15"/>
  <c r="W130" i="15"/>
  <c r="V130" i="15"/>
  <c r="U130" i="15"/>
  <c r="T130" i="15"/>
  <c r="S130" i="15"/>
  <c r="R130" i="15"/>
  <c r="Q130" i="15"/>
  <c r="P130" i="15"/>
  <c r="O130" i="15"/>
  <c r="N130" i="15"/>
  <c r="M130" i="15"/>
  <c r="L130" i="15"/>
  <c r="K130" i="15"/>
  <c r="J130" i="15"/>
  <c r="I130" i="15"/>
  <c r="H130" i="15"/>
  <c r="G130" i="15"/>
  <c r="AG128" i="15"/>
  <c r="AG127" i="15"/>
  <c r="AG126" i="15"/>
  <c r="AG125" i="15"/>
  <c r="AG124" i="15"/>
  <c r="AG123" i="15"/>
  <c r="AG122" i="15"/>
  <c r="AG121" i="15"/>
  <c r="AG120" i="15"/>
  <c r="AG119" i="15"/>
  <c r="AG118" i="15"/>
  <c r="AG117" i="15"/>
  <c r="AF116" i="15"/>
  <c r="AE116" i="15"/>
  <c r="AD116" i="15"/>
  <c r="AC116" i="15"/>
  <c r="AB116" i="15"/>
  <c r="AA116" i="15"/>
  <c r="Z116" i="15"/>
  <c r="Y116" i="15"/>
  <c r="X116" i="15"/>
  <c r="W116" i="15"/>
  <c r="V116" i="15"/>
  <c r="U116" i="15"/>
  <c r="T116" i="15"/>
  <c r="S116" i="15"/>
  <c r="R116" i="15"/>
  <c r="Q116" i="15"/>
  <c r="P116" i="15"/>
  <c r="O116" i="15"/>
  <c r="N116" i="15"/>
  <c r="M116" i="15"/>
  <c r="L116" i="15"/>
  <c r="K116" i="15"/>
  <c r="J116" i="15"/>
  <c r="I116" i="15"/>
  <c r="H116" i="15"/>
  <c r="G116" i="15"/>
  <c r="E116" i="15"/>
  <c r="B116" i="15"/>
  <c r="AG115" i="15"/>
  <c r="AG114" i="15"/>
  <c r="AG113" i="15"/>
  <c r="AG112" i="15"/>
  <c r="AG111" i="15"/>
  <c r="AG110" i="15"/>
  <c r="AG109" i="15"/>
  <c r="AG108" i="15"/>
  <c r="AG107" i="15"/>
  <c r="AG106" i="15"/>
  <c r="AG105" i="15"/>
  <c r="AG104" i="15"/>
  <c r="AG103" i="15"/>
  <c r="AG102" i="15"/>
  <c r="AG101" i="15"/>
  <c r="AF100" i="15"/>
  <c r="AE100" i="15"/>
  <c r="AE93" i="15" s="1"/>
  <c r="AD100" i="15"/>
  <c r="AC100" i="15"/>
  <c r="AB100" i="15"/>
  <c r="AA100" i="15"/>
  <c r="Z100" i="15"/>
  <c r="Y100" i="15"/>
  <c r="Y93" i="15" s="1"/>
  <c r="X100" i="15"/>
  <c r="W100" i="15"/>
  <c r="V100" i="15"/>
  <c r="U100" i="15"/>
  <c r="T100" i="15"/>
  <c r="S100" i="15"/>
  <c r="R100" i="15"/>
  <c r="Q100" i="15"/>
  <c r="P100" i="15"/>
  <c r="O100" i="15"/>
  <c r="O93" i="15" s="1"/>
  <c r="N100" i="15"/>
  <c r="M100" i="15"/>
  <c r="L100" i="15"/>
  <c r="K100" i="15"/>
  <c r="K93" i="15" s="1"/>
  <c r="J100" i="15"/>
  <c r="I100" i="15"/>
  <c r="H100" i="15"/>
  <c r="G100" i="15"/>
  <c r="F100" i="15"/>
  <c r="E100" i="15"/>
  <c r="E93" i="15" s="1"/>
  <c r="D100" i="15"/>
  <c r="C100" i="15"/>
  <c r="B100" i="15"/>
  <c r="AG99" i="15"/>
  <c r="AG98" i="15"/>
  <c r="AG97" i="15"/>
  <c r="AG96" i="15"/>
  <c r="AG95" i="15"/>
  <c r="AF94" i="15"/>
  <c r="AE94" i="15"/>
  <c r="AD94" i="15"/>
  <c r="AC94" i="15"/>
  <c r="AB94" i="15"/>
  <c r="AB93" i="15" s="1"/>
  <c r="AA94" i="15"/>
  <c r="Z94" i="15"/>
  <c r="Z93" i="15" s="1"/>
  <c r="Y94" i="15"/>
  <c r="X94" i="15"/>
  <c r="W94" i="15"/>
  <c r="V94" i="15"/>
  <c r="U94" i="15"/>
  <c r="U93" i="15" s="1"/>
  <c r="T94" i="15"/>
  <c r="T93" i="15" s="1"/>
  <c r="S94" i="15"/>
  <c r="R94" i="15"/>
  <c r="R93" i="15" s="1"/>
  <c r="Q94" i="15"/>
  <c r="Q93" i="15" s="1"/>
  <c r="P94" i="15"/>
  <c r="O94" i="15"/>
  <c r="N94" i="15"/>
  <c r="M94" i="15"/>
  <c r="M93" i="15" s="1"/>
  <c r="L94" i="15"/>
  <c r="K94" i="15"/>
  <c r="J94" i="15"/>
  <c r="I94" i="15"/>
  <c r="H94" i="15"/>
  <c r="H93" i="15" s="1"/>
  <c r="G94" i="15"/>
  <c r="F94" i="15"/>
  <c r="F93" i="15" s="1"/>
  <c r="E94" i="15"/>
  <c r="D94" i="15"/>
  <c r="C94" i="15"/>
  <c r="B94" i="15"/>
  <c r="AC93" i="15"/>
  <c r="W93" i="15"/>
  <c r="AG92" i="15"/>
  <c r="AG91" i="15"/>
  <c r="AG90" i="15"/>
  <c r="AG89" i="15"/>
  <c r="AG88" i="15"/>
  <c r="AF87" i="15"/>
  <c r="AE87" i="15"/>
  <c r="AD87" i="15"/>
  <c r="AC87" i="15"/>
  <c r="AB87" i="15"/>
  <c r="AA87" i="15"/>
  <c r="Z87" i="15"/>
  <c r="Y87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G86" i="15"/>
  <c r="AG85" i="15"/>
  <c r="AF84" i="15"/>
  <c r="AE84" i="15"/>
  <c r="AD84" i="15"/>
  <c r="AC84" i="15"/>
  <c r="AB84" i="15"/>
  <c r="AA84" i="15"/>
  <c r="Z84" i="15"/>
  <c r="Y84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AF82" i="15"/>
  <c r="AF83" i="15" s="1"/>
  <c r="AE82" i="15"/>
  <c r="AE83" i="15" s="1"/>
  <c r="AE81" i="15" s="1"/>
  <c r="AD82" i="15"/>
  <c r="AD83" i="15" s="1"/>
  <c r="AC82" i="15"/>
  <c r="AC83" i="15" s="1"/>
  <c r="AC81" i="15" s="1"/>
  <c r="AB82" i="15"/>
  <c r="AB83" i="15" s="1"/>
  <c r="AA83" i="15"/>
  <c r="AA81" i="15" s="1"/>
  <c r="Y82" i="15"/>
  <c r="Y83" i="15" s="1"/>
  <c r="Y81" i="15" s="1"/>
  <c r="X82" i="15"/>
  <c r="X83" i="15" s="1"/>
  <c r="W82" i="15"/>
  <c r="W83" i="15" s="1"/>
  <c r="W81" i="15" s="1"/>
  <c r="V82" i="15"/>
  <c r="V83" i="15" s="1"/>
  <c r="U82" i="15"/>
  <c r="U83" i="15" s="1"/>
  <c r="U81" i="15" s="1"/>
  <c r="T83" i="15"/>
  <c r="S83" i="15"/>
  <c r="S81" i="15" s="1"/>
  <c r="R82" i="15"/>
  <c r="Q82" i="15"/>
  <c r="Q83" i="15" s="1"/>
  <c r="Q81" i="15" s="1"/>
  <c r="P82" i="15"/>
  <c r="P83" i="15" s="1"/>
  <c r="O82" i="15"/>
  <c r="O83" i="15" s="1"/>
  <c r="O81" i="15" s="1"/>
  <c r="N82" i="15"/>
  <c r="N83" i="15" s="1"/>
  <c r="M83" i="15"/>
  <c r="M81" i="15" s="1"/>
  <c r="L83" i="15"/>
  <c r="K82" i="15"/>
  <c r="K83" i="15" s="1"/>
  <c r="K81" i="15" s="1"/>
  <c r="J82" i="15"/>
  <c r="I83" i="15"/>
  <c r="I81" i="15" s="1"/>
  <c r="H82" i="15"/>
  <c r="H83" i="15" s="1"/>
  <c r="G82" i="15"/>
  <c r="G83" i="15" s="1"/>
  <c r="G81" i="15" s="1"/>
  <c r="F83" i="15"/>
  <c r="E83" i="15"/>
  <c r="E81" i="15" s="1"/>
  <c r="D82" i="15"/>
  <c r="D83" i="15" s="1"/>
  <c r="C82" i="15"/>
  <c r="C83" i="15" s="1"/>
  <c r="C81" i="15" s="1"/>
  <c r="B82" i="15"/>
  <c r="AF80" i="15"/>
  <c r="AC80" i="15"/>
  <c r="AC79" i="15" s="1"/>
  <c r="AC78" i="15" s="1"/>
  <c r="AB80" i="15"/>
  <c r="AB79" i="15" s="1"/>
  <c r="AB78" i="15" s="1"/>
  <c r="AA80" i="15"/>
  <c r="AA79" i="15" s="1"/>
  <c r="AA78" i="15" s="1"/>
  <c r="Y80" i="15"/>
  <c r="Y79" i="15" s="1"/>
  <c r="Y78" i="15" s="1"/>
  <c r="V80" i="15"/>
  <c r="V79" i="15" s="1"/>
  <c r="V78" i="15" s="1"/>
  <c r="U80" i="15"/>
  <c r="U79" i="15" s="1"/>
  <c r="U78" i="15" s="1"/>
  <c r="T80" i="15"/>
  <c r="T79" i="15" s="1"/>
  <c r="T78" i="15" s="1"/>
  <c r="S80" i="15"/>
  <c r="S79" i="15" s="1"/>
  <c r="S78" i="15" s="1"/>
  <c r="R80" i="15"/>
  <c r="R79" i="15" s="1"/>
  <c r="R78" i="15" s="1"/>
  <c r="O80" i="15"/>
  <c r="N80" i="15"/>
  <c r="M80" i="15"/>
  <c r="H80" i="15"/>
  <c r="H79" i="15" s="1"/>
  <c r="H78" i="15" s="1"/>
  <c r="G80" i="15"/>
  <c r="G79" i="15" s="1"/>
  <c r="G78" i="15" s="1"/>
  <c r="F80" i="15"/>
  <c r="AF79" i="15"/>
  <c r="AF78" i="15" s="1"/>
  <c r="AE79" i="15"/>
  <c r="AE78" i="15" s="1"/>
  <c r="AD79" i="15"/>
  <c r="Z79" i="15"/>
  <c r="X79" i="15"/>
  <c r="W79" i="15"/>
  <c r="Q79" i="15"/>
  <c r="Q78" i="15" s="1"/>
  <c r="P79" i="15"/>
  <c r="P78" i="15" s="1"/>
  <c r="O79" i="15"/>
  <c r="N79" i="15"/>
  <c r="M79" i="15"/>
  <c r="L79" i="15"/>
  <c r="K79" i="15"/>
  <c r="K78" i="15" s="1"/>
  <c r="J79" i="15"/>
  <c r="J78" i="15" s="1"/>
  <c r="I79" i="15"/>
  <c r="I78" i="15" s="1"/>
  <c r="E79" i="15"/>
  <c r="E78" i="15" s="1"/>
  <c r="D79" i="15"/>
  <c r="D78" i="15" s="1"/>
  <c r="C79" i="15"/>
  <c r="C78" i="15" s="1"/>
  <c r="B79" i="15"/>
  <c r="B78" i="15" s="1"/>
  <c r="AD78" i="15"/>
  <c r="Z78" i="15"/>
  <c r="X78" i="15"/>
  <c r="W78" i="15"/>
  <c r="O78" i="15"/>
  <c r="N78" i="15"/>
  <c r="M78" i="15"/>
  <c r="L78" i="15"/>
  <c r="AG77" i="15"/>
  <c r="AG76" i="15"/>
  <c r="AG75" i="15"/>
  <c r="AG74" i="15"/>
  <c r="AG73" i="15"/>
  <c r="AG72" i="15"/>
  <c r="AG71" i="15"/>
  <c r="AG70" i="15"/>
  <c r="AG69" i="15"/>
  <c r="AG68" i="15"/>
  <c r="AG67" i="15"/>
  <c r="AG66" i="15"/>
  <c r="AG65" i="15"/>
  <c r="AG64" i="15"/>
  <c r="AG63" i="15"/>
  <c r="AG62" i="15"/>
  <c r="AG61" i="15"/>
  <c r="AG60" i="15"/>
  <c r="AG59" i="15"/>
  <c r="AG58" i="15"/>
  <c r="AG57" i="15"/>
  <c r="AG56" i="15"/>
  <c r="AG55" i="15"/>
  <c r="AG54" i="15"/>
  <c r="AF53" i="15"/>
  <c r="AE53" i="15"/>
  <c r="AD53" i="15"/>
  <c r="AC53" i="15"/>
  <c r="AB53" i="15"/>
  <c r="AA53" i="15"/>
  <c r="Z53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G52" i="15"/>
  <c r="AG51" i="15"/>
  <c r="AG50" i="15"/>
  <c r="AG49" i="15"/>
  <c r="AG48" i="15"/>
  <c r="AG47" i="15"/>
  <c r="AG46" i="15"/>
  <c r="AG45" i="15"/>
  <c r="AG44" i="15"/>
  <c r="AG43" i="15"/>
  <c r="AG42" i="15"/>
  <c r="AG41" i="15"/>
  <c r="AG40" i="15"/>
  <c r="AG39" i="15"/>
  <c r="AG38" i="15"/>
  <c r="AG37" i="15"/>
  <c r="AG36" i="15"/>
  <c r="AG35" i="15"/>
  <c r="AG34" i="15"/>
  <c r="AG33" i="15"/>
  <c r="AG32" i="15"/>
  <c r="AG31" i="15"/>
  <c r="AG30" i="15"/>
  <c r="AG29" i="15"/>
  <c r="AF28" i="15"/>
  <c r="AE28" i="15"/>
  <c r="AD28" i="15"/>
  <c r="AC28" i="15"/>
  <c r="AB28" i="15"/>
  <c r="AA28" i="15"/>
  <c r="Z28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G27" i="15"/>
  <c r="AG26" i="15"/>
  <c r="AG25" i="15"/>
  <c r="AG24" i="15"/>
  <c r="AG23" i="15"/>
  <c r="AG22" i="15"/>
  <c r="AG21" i="15"/>
  <c r="AG20" i="15"/>
  <c r="AG19" i="15"/>
  <c r="AG18" i="15"/>
  <c r="AG17" i="15"/>
  <c r="AG16" i="15"/>
  <c r="AG15" i="15"/>
  <c r="AG14" i="15"/>
  <c r="AG13" i="15"/>
  <c r="AG12" i="15"/>
  <c r="AG11" i="15"/>
  <c r="AG10" i="15"/>
  <c r="AG9" i="15"/>
  <c r="AG8" i="15"/>
  <c r="AG7" i="15"/>
  <c r="AG6" i="15"/>
  <c r="AG5" i="15"/>
  <c r="AG4" i="15"/>
  <c r="AF3" i="15"/>
  <c r="AE3" i="15"/>
  <c r="AD3" i="15"/>
  <c r="AC3" i="15"/>
  <c r="AB3" i="15"/>
  <c r="AA3" i="15"/>
  <c r="Z3" i="15"/>
  <c r="Y3" i="15"/>
  <c r="X3" i="15"/>
  <c r="W3" i="15"/>
  <c r="V3" i="15"/>
  <c r="U3" i="15"/>
  <c r="T3" i="15"/>
  <c r="S3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D3" i="15"/>
  <c r="C3" i="15"/>
  <c r="B3" i="15"/>
  <c r="AC2" i="15"/>
  <c r="C2" i="15"/>
  <c r="D2" i="15" s="1"/>
  <c r="E2" i="15" s="1"/>
  <c r="F2" i="15" s="1"/>
  <c r="G2" i="15" s="1"/>
  <c r="H2" i="15" s="1"/>
  <c r="I2" i="15" s="1"/>
  <c r="J2" i="15" s="1"/>
  <c r="K2" i="15" s="1"/>
  <c r="L2" i="15" s="1"/>
  <c r="M2" i="15" s="1"/>
  <c r="N2" i="15" s="1"/>
  <c r="O2" i="15" s="1"/>
  <c r="P2" i="15" s="1"/>
  <c r="Q2" i="15" s="1"/>
  <c r="R2" i="15" s="1"/>
  <c r="S2" i="15" s="1"/>
  <c r="T2" i="15" s="1"/>
  <c r="U2" i="15" s="1"/>
  <c r="V2" i="15" s="1"/>
  <c r="W2" i="15" s="1"/>
  <c r="X2" i="15" s="1"/>
  <c r="Y2" i="15" s="1"/>
  <c r="Z2" i="15" s="1"/>
  <c r="AA2" i="15" s="1"/>
  <c r="AE134" i="13"/>
  <c r="AE142" i="13"/>
  <c r="AE143" i="13"/>
  <c r="AE129" i="13"/>
  <c r="E144" i="15" l="1"/>
  <c r="Y144" i="15"/>
  <c r="G144" i="15"/>
  <c r="AB144" i="15"/>
  <c r="AF93" i="15"/>
  <c r="I144" i="15"/>
  <c r="N93" i="15"/>
  <c r="K144" i="15"/>
  <c r="J93" i="15"/>
  <c r="AC144" i="15"/>
  <c r="S93" i="15"/>
  <c r="L93" i="15"/>
  <c r="AG82" i="15"/>
  <c r="P93" i="15"/>
  <c r="AD93" i="15"/>
  <c r="AG147" i="15"/>
  <c r="S144" i="15"/>
  <c r="G93" i="15"/>
  <c r="AA93" i="15"/>
  <c r="X93" i="15"/>
  <c r="Q144" i="15"/>
  <c r="V93" i="15"/>
  <c r="I93" i="15"/>
  <c r="F130" i="15"/>
  <c r="AG224" i="15"/>
  <c r="AG215" i="15"/>
  <c r="AG220" i="15"/>
  <c r="AG167" i="15"/>
  <c r="H144" i="15"/>
  <c r="AG80" i="15"/>
  <c r="AG182" i="15"/>
  <c r="AG177" i="15"/>
  <c r="AG158" i="15"/>
  <c r="E130" i="15"/>
  <c r="AG53" i="15"/>
  <c r="AG173" i="15"/>
  <c r="D130" i="15"/>
  <c r="AG130" i="15" s="1"/>
  <c r="AG129" i="15"/>
  <c r="D93" i="15"/>
  <c r="AG94" i="15"/>
  <c r="AG209" i="15"/>
  <c r="AG145" i="15"/>
  <c r="AG142" i="15"/>
  <c r="AG116" i="15"/>
  <c r="AG84" i="15"/>
  <c r="AG28" i="15"/>
  <c r="AG3" i="15"/>
  <c r="B144" i="15"/>
  <c r="B130" i="15"/>
  <c r="AG100" i="15"/>
  <c r="AG87" i="15"/>
  <c r="B83" i="15"/>
  <c r="AG148" i="15"/>
  <c r="AG146" i="15" s="1"/>
  <c r="D81" i="15"/>
  <c r="L81" i="15"/>
  <c r="T81" i="15"/>
  <c r="AB81" i="15"/>
  <c r="B93" i="15"/>
  <c r="R83" i="15"/>
  <c r="R81" i="15" s="1"/>
  <c r="Z83" i="15"/>
  <c r="Z81" i="15" s="1"/>
  <c r="F79" i="15"/>
  <c r="F78" i="15" s="1"/>
  <c r="AG78" i="15" s="1"/>
  <c r="C93" i="15"/>
  <c r="F81" i="15"/>
  <c r="N81" i="15"/>
  <c r="V81" i="15"/>
  <c r="AD81" i="15"/>
  <c r="H81" i="15"/>
  <c r="P81" i="15"/>
  <c r="X81" i="15"/>
  <c r="AF81" i="15"/>
  <c r="J83" i="15"/>
  <c r="J81" i="15" s="1"/>
  <c r="AD134" i="13"/>
  <c r="AD142" i="13"/>
  <c r="AD143" i="13"/>
  <c r="AD129" i="13"/>
  <c r="AC142" i="13"/>
  <c r="AC137" i="13"/>
  <c r="AC143" i="13"/>
  <c r="AC129" i="13"/>
  <c r="AB134" i="13"/>
  <c r="AB142" i="13"/>
  <c r="AB143" i="13"/>
  <c r="AB129" i="13"/>
  <c r="AG144" i="15" l="1"/>
  <c r="AG93" i="15"/>
  <c r="AH144" i="15" s="1"/>
  <c r="AH87" i="15"/>
  <c r="AG83" i="15"/>
  <c r="AH84" i="15" s="1"/>
  <c r="AG79" i="15"/>
  <c r="B81" i="15"/>
  <c r="AG81" i="15" s="1"/>
  <c r="AH81" i="15" s="1"/>
  <c r="AA134" i="13"/>
  <c r="AA142" i="13"/>
  <c r="AA138" i="13"/>
  <c r="AA137" i="13"/>
  <c r="AA143" i="13"/>
  <c r="AA129" i="13"/>
  <c r="Z134" i="13"/>
  <c r="Z142" i="13"/>
  <c r="Z143" i="13"/>
  <c r="Z129" i="13"/>
  <c r="Y134" i="13"/>
  <c r="Y142" i="13"/>
  <c r="Y137" i="13"/>
  <c r="Y143" i="13"/>
  <c r="Y129" i="13"/>
  <c r="X134" i="13"/>
  <c r="X142" i="13"/>
  <c r="X143" i="13"/>
  <c r="X129" i="13"/>
  <c r="W215" i="13"/>
  <c r="W134" i="13"/>
  <c r="W142" i="13"/>
  <c r="W143" i="13"/>
  <c r="W129" i="13"/>
  <c r="V134" i="13"/>
  <c r="V142" i="13"/>
  <c r="V137" i="13"/>
  <c r="V143" i="13"/>
  <c r="V129" i="13"/>
  <c r="U134" i="13"/>
  <c r="U142" i="13"/>
  <c r="U143" i="13"/>
  <c r="U129" i="13"/>
  <c r="T134" i="13"/>
  <c r="T142" i="13"/>
  <c r="T143" i="13"/>
  <c r="T129" i="13"/>
  <c r="S134" i="13"/>
  <c r="S142" i="13"/>
  <c r="S143" i="13"/>
  <c r="S129" i="13"/>
  <c r="R134" i="13"/>
  <c r="R142" i="13"/>
  <c r="R143" i="13"/>
  <c r="R129" i="13"/>
  <c r="Q134" i="13"/>
  <c r="Q142" i="13"/>
  <c r="Q143" i="13"/>
  <c r="Q129" i="13"/>
  <c r="P142" i="13"/>
  <c r="P134" i="13"/>
  <c r="P137" i="13"/>
  <c r="P143" i="13"/>
  <c r="P129" i="13"/>
  <c r="O142" i="13"/>
  <c r="O143" i="13"/>
  <c r="O129" i="13"/>
  <c r="N134" i="13"/>
  <c r="N142" i="13"/>
  <c r="N143" i="13"/>
  <c r="N129" i="13"/>
  <c r="M134" i="13"/>
  <c r="M142" i="13"/>
  <c r="M143" i="13"/>
  <c r="M129" i="13"/>
  <c r="L134" i="13"/>
  <c r="L142" i="13"/>
  <c r="L143" i="13"/>
  <c r="L129" i="13"/>
  <c r="K134" i="13"/>
  <c r="K142" i="13"/>
  <c r="K143" i="13"/>
  <c r="K129" i="13"/>
  <c r="J142" i="13"/>
  <c r="J143" i="13"/>
  <c r="J129" i="13"/>
  <c r="I134" i="13"/>
  <c r="I142" i="13"/>
  <c r="I143" i="13"/>
  <c r="I129" i="13"/>
  <c r="H134" i="13"/>
  <c r="H142" i="13"/>
  <c r="H137" i="13"/>
  <c r="H143" i="13"/>
  <c r="H129" i="13"/>
  <c r="F142" i="13"/>
  <c r="F143" i="13"/>
  <c r="F129" i="13"/>
  <c r="E134" i="13"/>
  <c r="E142" i="13"/>
  <c r="E143" i="13"/>
  <c r="E129" i="13"/>
  <c r="AH130" i="15" l="1"/>
  <c r="AH209" i="15"/>
  <c r="AH93" i="15"/>
  <c r="D134" i="13"/>
  <c r="D142" i="13"/>
  <c r="D143" i="13"/>
  <c r="D129" i="13"/>
  <c r="D116" i="13" s="1"/>
  <c r="C134" i="13"/>
  <c r="C130" i="13" s="1"/>
  <c r="C142" i="13"/>
  <c r="C143" i="13"/>
  <c r="C129" i="13"/>
  <c r="C116" i="13" s="1"/>
  <c r="C84" i="13"/>
  <c r="B142" i="13"/>
  <c r="B134" i="13"/>
  <c r="B137" i="13"/>
  <c r="AG137" i="13" s="1"/>
  <c r="B143" i="13"/>
  <c r="B129" i="13"/>
  <c r="B116" i="13" s="1"/>
  <c r="AF134" i="12"/>
  <c r="AF142" i="12"/>
  <c r="AF139" i="12"/>
  <c r="AF143" i="12"/>
  <c r="AF129" i="12"/>
  <c r="AE134" i="12"/>
  <c r="AE142" i="12"/>
  <c r="AE137" i="12"/>
  <c r="AE143" i="12"/>
  <c r="AE129" i="12"/>
  <c r="AD134" i="12"/>
  <c r="AD142" i="12"/>
  <c r="AD139" i="12"/>
  <c r="AD143" i="12"/>
  <c r="AD129" i="12"/>
  <c r="AG227" i="13"/>
  <c r="AG226" i="13"/>
  <c r="AG225" i="13"/>
  <c r="AF224" i="13"/>
  <c r="AE224" i="13"/>
  <c r="AD224" i="13"/>
  <c r="AC224" i="13"/>
  <c r="AB224" i="13"/>
  <c r="AA224" i="13"/>
  <c r="Z224" i="13"/>
  <c r="Y224" i="13"/>
  <c r="X224" i="13"/>
  <c r="W224" i="13"/>
  <c r="V224" i="13"/>
  <c r="U224" i="13"/>
  <c r="T224" i="13"/>
  <c r="S224" i="13"/>
  <c r="R224" i="13"/>
  <c r="Q224" i="13"/>
  <c r="P224" i="13"/>
  <c r="O224" i="13"/>
  <c r="N224" i="13"/>
  <c r="M224" i="13"/>
  <c r="L224" i="13"/>
  <c r="K224" i="13"/>
  <c r="J224" i="13"/>
  <c r="I224" i="13"/>
  <c r="H224" i="13"/>
  <c r="G224" i="13"/>
  <c r="F224" i="13"/>
  <c r="E224" i="13"/>
  <c r="D224" i="13"/>
  <c r="C224" i="13"/>
  <c r="B224" i="13"/>
  <c r="AG223" i="13"/>
  <c r="AG222" i="13"/>
  <c r="AG221" i="13"/>
  <c r="AF220" i="13"/>
  <c r="AE220" i="13"/>
  <c r="AD220" i="13"/>
  <c r="AC220" i="13"/>
  <c r="AB220" i="13"/>
  <c r="AA220" i="13"/>
  <c r="Z220" i="13"/>
  <c r="Y220" i="13"/>
  <c r="X220" i="13"/>
  <c r="W220" i="13"/>
  <c r="V220" i="13"/>
  <c r="U220" i="13"/>
  <c r="T220" i="13"/>
  <c r="S220" i="13"/>
  <c r="R220" i="13"/>
  <c r="Q220" i="13"/>
  <c r="P220" i="13"/>
  <c r="O220" i="13"/>
  <c r="N220" i="13"/>
  <c r="M220" i="13"/>
  <c r="L220" i="13"/>
  <c r="K220" i="13"/>
  <c r="J220" i="13"/>
  <c r="I220" i="13"/>
  <c r="H220" i="13"/>
  <c r="G220" i="13"/>
  <c r="F220" i="13"/>
  <c r="E220" i="13"/>
  <c r="D220" i="13"/>
  <c r="C220" i="13"/>
  <c r="B220" i="13"/>
  <c r="AG219" i="13"/>
  <c r="AG218" i="13"/>
  <c r="AG217" i="13"/>
  <c r="AG216" i="13"/>
  <c r="AF215" i="13"/>
  <c r="AE215" i="13"/>
  <c r="AD215" i="13"/>
  <c r="AC215" i="13"/>
  <c r="AB215" i="13"/>
  <c r="AA215" i="13"/>
  <c r="Z215" i="13"/>
  <c r="Y215" i="13"/>
  <c r="X215" i="13"/>
  <c r="V215" i="13"/>
  <c r="U215" i="13"/>
  <c r="T215" i="13"/>
  <c r="S215" i="13"/>
  <c r="R215" i="13"/>
  <c r="Q215" i="13"/>
  <c r="P215" i="13"/>
  <c r="O215" i="13"/>
  <c r="N215" i="13"/>
  <c r="M215" i="13"/>
  <c r="L215" i="13"/>
  <c r="K215" i="13"/>
  <c r="J215" i="13"/>
  <c r="I215" i="13"/>
  <c r="H215" i="13"/>
  <c r="G215" i="13"/>
  <c r="F215" i="13"/>
  <c r="E215" i="13"/>
  <c r="D215" i="13"/>
  <c r="C215" i="13"/>
  <c r="B215" i="13"/>
  <c r="AG214" i="13"/>
  <c r="AG213" i="13"/>
  <c r="AG212" i="13"/>
  <c r="AG211" i="13"/>
  <c r="AG210" i="13"/>
  <c r="AF209" i="13"/>
  <c r="AE209" i="13"/>
  <c r="AD209" i="13"/>
  <c r="AC209" i="13"/>
  <c r="AB209" i="13"/>
  <c r="AA209" i="13"/>
  <c r="Z209" i="13"/>
  <c r="Y209" i="13"/>
  <c r="X209" i="13"/>
  <c r="W209" i="13"/>
  <c r="V209" i="13"/>
  <c r="U209" i="13"/>
  <c r="T209" i="13"/>
  <c r="S209" i="13"/>
  <c r="R209" i="13"/>
  <c r="Q209" i="13"/>
  <c r="P209" i="13"/>
  <c r="O209" i="13"/>
  <c r="N209" i="13"/>
  <c r="M209" i="13"/>
  <c r="L209" i="13"/>
  <c r="K209" i="13"/>
  <c r="J209" i="13"/>
  <c r="I209" i="13"/>
  <c r="H209" i="13"/>
  <c r="G209" i="13"/>
  <c r="F209" i="13"/>
  <c r="E209" i="13"/>
  <c r="D209" i="13"/>
  <c r="C209" i="13"/>
  <c r="B209" i="13"/>
  <c r="AG208" i="13"/>
  <c r="AG207" i="13"/>
  <c r="AG206" i="13"/>
  <c r="AG205" i="13"/>
  <c r="AG204" i="13"/>
  <c r="AG203" i="13"/>
  <c r="AG202" i="13"/>
  <c r="AG201" i="13"/>
  <c r="AG200" i="13"/>
  <c r="AG199" i="13"/>
  <c r="AG198" i="13"/>
  <c r="AG197" i="13"/>
  <c r="AG196" i="13"/>
  <c r="AG195" i="13"/>
  <c r="AG194" i="13"/>
  <c r="AG193" i="13"/>
  <c r="AG192" i="13"/>
  <c r="AG191" i="13"/>
  <c r="AG190" i="13"/>
  <c r="AG189" i="13"/>
  <c r="AG188" i="13"/>
  <c r="AG187" i="13"/>
  <c r="AG186" i="13"/>
  <c r="AG185" i="13"/>
  <c r="AG184" i="13"/>
  <c r="AG183" i="13"/>
  <c r="AF182" i="13"/>
  <c r="AE182" i="13"/>
  <c r="AD182" i="13"/>
  <c r="AC182" i="13"/>
  <c r="AB182" i="13"/>
  <c r="AA182" i="13"/>
  <c r="Z182" i="13"/>
  <c r="Y182" i="13"/>
  <c r="X182" i="13"/>
  <c r="W182" i="13"/>
  <c r="V182" i="13"/>
  <c r="U182" i="13"/>
  <c r="T182" i="13"/>
  <c r="S182" i="13"/>
  <c r="R182" i="13"/>
  <c r="Q182" i="13"/>
  <c r="P182" i="13"/>
  <c r="O182" i="13"/>
  <c r="N182" i="13"/>
  <c r="M182" i="13"/>
  <c r="L182" i="13"/>
  <c r="K182" i="13"/>
  <c r="J182" i="13"/>
  <c r="I182" i="13"/>
  <c r="H182" i="13"/>
  <c r="G182" i="13"/>
  <c r="F182" i="13"/>
  <c r="E182" i="13"/>
  <c r="D182" i="13"/>
  <c r="C182" i="13"/>
  <c r="B182" i="13"/>
  <c r="AG181" i="13"/>
  <c r="AG180" i="13"/>
  <c r="AG179" i="13"/>
  <c r="AG178" i="13"/>
  <c r="AF177" i="13"/>
  <c r="AE177" i="13"/>
  <c r="AD177" i="13"/>
  <c r="AC177" i="13"/>
  <c r="AB177" i="13"/>
  <c r="AA177" i="13"/>
  <c r="Z177" i="13"/>
  <c r="Y177" i="13"/>
  <c r="X177" i="13"/>
  <c r="W177" i="13"/>
  <c r="V177" i="13"/>
  <c r="U177" i="13"/>
  <c r="T177" i="13"/>
  <c r="S177" i="13"/>
  <c r="R177" i="13"/>
  <c r="Q177" i="13"/>
  <c r="P177" i="13"/>
  <c r="O177" i="13"/>
  <c r="N177" i="13"/>
  <c r="M177" i="13"/>
  <c r="L177" i="13"/>
  <c r="K177" i="13"/>
  <c r="J177" i="13"/>
  <c r="I177" i="13"/>
  <c r="H177" i="13"/>
  <c r="G177" i="13"/>
  <c r="F177" i="13"/>
  <c r="E177" i="13"/>
  <c r="D177" i="13"/>
  <c r="C177" i="13"/>
  <c r="B177" i="13"/>
  <c r="AG176" i="13"/>
  <c r="AG175" i="13"/>
  <c r="AG174" i="13"/>
  <c r="AF173" i="13"/>
  <c r="AE173" i="13"/>
  <c r="AD173" i="13"/>
  <c r="AC173" i="13"/>
  <c r="AB173" i="13"/>
  <c r="AA173" i="13"/>
  <c r="Z173" i="13"/>
  <c r="Y173" i="13"/>
  <c r="X173" i="13"/>
  <c r="W173" i="13"/>
  <c r="V173" i="13"/>
  <c r="U173" i="13"/>
  <c r="T173" i="13"/>
  <c r="S173" i="13"/>
  <c r="R173" i="13"/>
  <c r="Q173" i="13"/>
  <c r="P173" i="13"/>
  <c r="O173" i="13"/>
  <c r="N173" i="13"/>
  <c r="M173" i="13"/>
  <c r="L173" i="13"/>
  <c r="K173" i="13"/>
  <c r="J173" i="13"/>
  <c r="I173" i="13"/>
  <c r="H173" i="13"/>
  <c r="G173" i="13"/>
  <c r="F173" i="13"/>
  <c r="E173" i="13"/>
  <c r="D173" i="13"/>
  <c r="C173" i="13"/>
  <c r="B173" i="13"/>
  <c r="AG172" i="13"/>
  <c r="AG171" i="13"/>
  <c r="AG170" i="13"/>
  <c r="AG169" i="13"/>
  <c r="AG168" i="13"/>
  <c r="AF167" i="13"/>
  <c r="AE167" i="13"/>
  <c r="AD167" i="13"/>
  <c r="AC167" i="13"/>
  <c r="AC144" i="13" s="1"/>
  <c r="AB167" i="13"/>
  <c r="AB144" i="13" s="1"/>
  <c r="AA167" i="13"/>
  <c r="Z167" i="13"/>
  <c r="Y167" i="13"/>
  <c r="X167" i="13"/>
  <c r="W167" i="13"/>
  <c r="V167" i="13"/>
  <c r="U167" i="13"/>
  <c r="T167" i="13"/>
  <c r="S167" i="13"/>
  <c r="R167" i="13"/>
  <c r="Q167" i="13"/>
  <c r="P167" i="13"/>
  <c r="O167" i="13"/>
  <c r="N167" i="13"/>
  <c r="M167" i="13"/>
  <c r="L167" i="13"/>
  <c r="K167" i="13"/>
  <c r="J167" i="13"/>
  <c r="I167" i="13"/>
  <c r="H167" i="13"/>
  <c r="G167" i="13"/>
  <c r="F167" i="13"/>
  <c r="E167" i="13"/>
  <c r="D167" i="13"/>
  <c r="C167" i="13"/>
  <c r="B167" i="13"/>
  <c r="AG166" i="13"/>
  <c r="AG165" i="13"/>
  <c r="AG164" i="13"/>
  <c r="AG163" i="13"/>
  <c r="AG162" i="13"/>
  <c r="AG161" i="13"/>
  <c r="AG160" i="13"/>
  <c r="AG159" i="13"/>
  <c r="AF158" i="13"/>
  <c r="AE158" i="13"/>
  <c r="AD158" i="13"/>
  <c r="AC158" i="13"/>
  <c r="AB158" i="13"/>
  <c r="AA158" i="13"/>
  <c r="Z158" i="13"/>
  <c r="Y158" i="13"/>
  <c r="X158" i="13"/>
  <c r="W158" i="13"/>
  <c r="V158" i="13"/>
  <c r="U158" i="13"/>
  <c r="T158" i="13"/>
  <c r="S158" i="13"/>
  <c r="R158" i="13"/>
  <c r="Q158" i="13"/>
  <c r="P158" i="13"/>
  <c r="O158" i="13"/>
  <c r="N158" i="13"/>
  <c r="M158" i="13"/>
  <c r="L158" i="13"/>
  <c r="K158" i="13"/>
  <c r="J158" i="13"/>
  <c r="I158" i="13"/>
  <c r="H158" i="13"/>
  <c r="G158" i="13"/>
  <c r="F158" i="13"/>
  <c r="E158" i="13"/>
  <c r="D158" i="13"/>
  <c r="C158" i="13"/>
  <c r="B158" i="13"/>
  <c r="AG157" i="13"/>
  <c r="AG156" i="13"/>
  <c r="AG155" i="13"/>
  <c r="AG154" i="13"/>
  <c r="AG153" i="13"/>
  <c r="AG152" i="13"/>
  <c r="AG151" i="13"/>
  <c r="AG150" i="13"/>
  <c r="AG149" i="13"/>
  <c r="AF148" i="13"/>
  <c r="AE148" i="13"/>
  <c r="AD148" i="13"/>
  <c r="AD146" i="13" s="1"/>
  <c r="AC148" i="13"/>
  <c r="AB148" i="13"/>
  <c r="AA148" i="13"/>
  <c r="AA146" i="13" s="1"/>
  <c r="AA144" i="13" s="1"/>
  <c r="Z148" i="13"/>
  <c r="Z146" i="13" s="1"/>
  <c r="Z144" i="13" s="1"/>
  <c r="Y148" i="13"/>
  <c r="Y146" i="13" s="1"/>
  <c r="Y144" i="13" s="1"/>
  <c r="X148" i="13"/>
  <c r="W148" i="13"/>
  <c r="V148" i="13"/>
  <c r="V146" i="13" s="1"/>
  <c r="U148" i="13"/>
  <c r="U146" i="13" s="1"/>
  <c r="T148" i="13"/>
  <c r="T146" i="13" s="1"/>
  <c r="T144" i="13" s="1"/>
  <c r="S148" i="13"/>
  <c r="S146" i="13" s="1"/>
  <c r="S144" i="13" s="1"/>
  <c r="R148" i="13"/>
  <c r="R146" i="13" s="1"/>
  <c r="Q148" i="13"/>
  <c r="Q146" i="13" s="1"/>
  <c r="P148" i="13"/>
  <c r="P146" i="13" s="1"/>
  <c r="P144" i="13" s="1"/>
  <c r="O148" i="13"/>
  <c r="O146" i="13" s="1"/>
  <c r="O144" i="13" s="1"/>
  <c r="N148" i="13"/>
  <c r="N146" i="13" s="1"/>
  <c r="N144" i="13" s="1"/>
  <c r="M148" i="13"/>
  <c r="L148" i="13"/>
  <c r="K148" i="13"/>
  <c r="J148" i="13"/>
  <c r="J146" i="13" s="1"/>
  <c r="I148" i="13"/>
  <c r="H148" i="13"/>
  <c r="H146" i="13" s="1"/>
  <c r="H144" i="13" s="1"/>
  <c r="G148" i="13"/>
  <c r="F148" i="13"/>
  <c r="F146" i="13" s="1"/>
  <c r="F144" i="13" s="1"/>
  <c r="E148" i="13"/>
  <c r="D148" i="13"/>
  <c r="C148" i="13"/>
  <c r="C146" i="13" s="1"/>
  <c r="C144" i="13" s="1"/>
  <c r="B148" i="13"/>
  <c r="B146" i="13" s="1"/>
  <c r="AE147" i="13"/>
  <c r="AD147" i="13"/>
  <c r="AC147" i="13"/>
  <c r="AB147" i="13"/>
  <c r="AA147" i="13"/>
  <c r="Z147" i="13"/>
  <c r="Y147" i="13"/>
  <c r="X147" i="13"/>
  <c r="W147" i="13"/>
  <c r="V147" i="13"/>
  <c r="U147" i="13"/>
  <c r="T147" i="13"/>
  <c r="S147" i="13"/>
  <c r="R147" i="13"/>
  <c r="Q147" i="13"/>
  <c r="P147" i="13"/>
  <c r="O147" i="13"/>
  <c r="N147" i="13"/>
  <c r="M147" i="13"/>
  <c r="L147" i="13"/>
  <c r="K147" i="13"/>
  <c r="J147" i="13"/>
  <c r="I147" i="13"/>
  <c r="H147" i="13"/>
  <c r="G147" i="13"/>
  <c r="F147" i="13"/>
  <c r="E147" i="13"/>
  <c r="D147" i="13"/>
  <c r="C147" i="13"/>
  <c r="B147" i="13"/>
  <c r="AF146" i="13"/>
  <c r="AF144" i="13" s="1"/>
  <c r="AE146" i="13"/>
  <c r="AE144" i="13" s="1"/>
  <c r="AC146" i="13"/>
  <c r="AB146" i="13"/>
  <c r="X146" i="13"/>
  <c r="W146" i="13"/>
  <c r="W144" i="13" s="1"/>
  <c r="M146" i="13"/>
  <c r="L146" i="13"/>
  <c r="K146" i="13"/>
  <c r="K144" i="13" s="1"/>
  <c r="G146" i="13"/>
  <c r="G144" i="13" s="1"/>
  <c r="E146" i="13"/>
  <c r="E144" i="13" s="1"/>
  <c r="D146" i="13"/>
  <c r="D144" i="13" s="1"/>
  <c r="AF145" i="13"/>
  <c r="AE145" i="13"/>
  <c r="AD145" i="13"/>
  <c r="AC145" i="13"/>
  <c r="AB145" i="13"/>
  <c r="AA145" i="13"/>
  <c r="Z145" i="13"/>
  <c r="Y145" i="13"/>
  <c r="X145" i="13"/>
  <c r="W145" i="13"/>
  <c r="V145" i="13"/>
  <c r="U145" i="13"/>
  <c r="T145" i="13"/>
  <c r="S145" i="13"/>
  <c r="R145" i="13"/>
  <c r="Q145" i="13"/>
  <c r="P145" i="13"/>
  <c r="O145" i="13"/>
  <c r="N145" i="13"/>
  <c r="M145" i="13"/>
  <c r="L145" i="13"/>
  <c r="K145" i="13"/>
  <c r="J145" i="13"/>
  <c r="I145" i="13"/>
  <c r="H145" i="13"/>
  <c r="G145" i="13"/>
  <c r="F145" i="13"/>
  <c r="E145" i="13"/>
  <c r="D145" i="13"/>
  <c r="C145" i="13"/>
  <c r="B145" i="13"/>
  <c r="L144" i="13"/>
  <c r="AG143" i="13"/>
  <c r="AG141" i="13"/>
  <c r="AG140" i="13"/>
  <c r="AG139" i="13"/>
  <c r="AG138" i="13"/>
  <c r="AG136" i="13"/>
  <c r="AG135" i="13"/>
  <c r="AG134" i="13"/>
  <c r="AG133" i="13"/>
  <c r="AG132" i="13"/>
  <c r="AG131" i="13"/>
  <c r="AF130" i="13"/>
  <c r="AE130" i="13"/>
  <c r="AD130" i="13"/>
  <c r="AC130" i="13"/>
  <c r="AB130" i="13"/>
  <c r="AA130" i="13"/>
  <c r="Z130" i="13"/>
  <c r="Y130" i="13"/>
  <c r="X130" i="13"/>
  <c r="W130" i="13"/>
  <c r="V130" i="13"/>
  <c r="U130" i="13"/>
  <c r="T130" i="13"/>
  <c r="S130" i="13"/>
  <c r="R130" i="13"/>
  <c r="Q130" i="13"/>
  <c r="P130" i="13"/>
  <c r="O130" i="13"/>
  <c r="N130" i="13"/>
  <c r="M130" i="13"/>
  <c r="L130" i="13"/>
  <c r="K130" i="13"/>
  <c r="J130" i="13"/>
  <c r="I130" i="13"/>
  <c r="H130" i="13"/>
  <c r="G130" i="13"/>
  <c r="F130" i="13"/>
  <c r="E130" i="13"/>
  <c r="D130" i="13"/>
  <c r="AG129" i="13"/>
  <c r="AG128" i="13"/>
  <c r="AG127" i="13"/>
  <c r="AG126" i="13"/>
  <c r="AG125" i="13"/>
  <c r="AG124" i="13"/>
  <c r="AG123" i="13"/>
  <c r="AG122" i="13"/>
  <c r="AG121" i="13"/>
  <c r="AG120" i="13"/>
  <c r="AG119" i="13"/>
  <c r="AG118" i="13"/>
  <c r="AG117" i="13"/>
  <c r="AF116" i="13"/>
  <c r="AE116" i="13"/>
  <c r="AD116" i="13"/>
  <c r="AC116" i="13"/>
  <c r="AB116" i="13"/>
  <c r="AA116" i="13"/>
  <c r="Z116" i="13"/>
  <c r="Y116" i="13"/>
  <c r="X116" i="13"/>
  <c r="W116" i="13"/>
  <c r="V116" i="13"/>
  <c r="U116" i="13"/>
  <c r="T116" i="13"/>
  <c r="S116" i="13"/>
  <c r="R116" i="13"/>
  <c r="Q116" i="13"/>
  <c r="P116" i="13"/>
  <c r="O116" i="13"/>
  <c r="N116" i="13"/>
  <c r="M116" i="13"/>
  <c r="L116" i="13"/>
  <c r="K116" i="13"/>
  <c r="J116" i="13"/>
  <c r="I116" i="13"/>
  <c r="H116" i="13"/>
  <c r="G116" i="13"/>
  <c r="F116" i="13"/>
  <c r="E116" i="13"/>
  <c r="AG115" i="13"/>
  <c r="AG114" i="13"/>
  <c r="AG113" i="13"/>
  <c r="AG112" i="13"/>
  <c r="AG111" i="13"/>
  <c r="AG110" i="13"/>
  <c r="AG109" i="13"/>
  <c r="AG108" i="13"/>
  <c r="AG107" i="13"/>
  <c r="AG106" i="13"/>
  <c r="AG105" i="13"/>
  <c r="AG104" i="13"/>
  <c r="AG103" i="13"/>
  <c r="AG102" i="13"/>
  <c r="AG101" i="13"/>
  <c r="AF100" i="13"/>
  <c r="AE100" i="13"/>
  <c r="AD100" i="13"/>
  <c r="AC100" i="13"/>
  <c r="AB100" i="13"/>
  <c r="AA100" i="13"/>
  <c r="Z100" i="13"/>
  <c r="Y100" i="13"/>
  <c r="X100" i="13"/>
  <c r="W100" i="13"/>
  <c r="V100" i="13"/>
  <c r="U100" i="13"/>
  <c r="U93" i="13" s="1"/>
  <c r="T100" i="13"/>
  <c r="S100" i="13"/>
  <c r="R100" i="13"/>
  <c r="Q100" i="13"/>
  <c r="P100" i="13"/>
  <c r="O100" i="13"/>
  <c r="N100" i="13"/>
  <c r="M100" i="13"/>
  <c r="L100" i="13"/>
  <c r="K100" i="13"/>
  <c r="J100" i="13"/>
  <c r="I100" i="13"/>
  <c r="H100" i="13"/>
  <c r="G100" i="13"/>
  <c r="F100" i="13"/>
  <c r="E100" i="13"/>
  <c r="D100" i="13"/>
  <c r="C100" i="13"/>
  <c r="B100" i="13"/>
  <c r="AG99" i="13"/>
  <c r="AG98" i="13"/>
  <c r="AG97" i="13"/>
  <c r="AG96" i="13"/>
  <c r="AG95" i="13"/>
  <c r="AF94" i="13"/>
  <c r="AE94" i="13"/>
  <c r="AD94" i="13"/>
  <c r="AC94" i="13"/>
  <c r="AB94" i="13"/>
  <c r="AA94" i="13"/>
  <c r="Z94" i="13"/>
  <c r="Y94" i="13"/>
  <c r="X94" i="13"/>
  <c r="X93" i="13" s="1"/>
  <c r="W94" i="13"/>
  <c r="V94" i="13"/>
  <c r="U94" i="13"/>
  <c r="T94" i="13"/>
  <c r="S94" i="13"/>
  <c r="R94" i="13"/>
  <c r="Q94" i="13"/>
  <c r="Q93" i="13" s="1"/>
  <c r="P94" i="13"/>
  <c r="P93" i="13" s="1"/>
  <c r="O94" i="13"/>
  <c r="N94" i="13"/>
  <c r="M94" i="13"/>
  <c r="L94" i="13"/>
  <c r="K94" i="13"/>
  <c r="J94" i="13"/>
  <c r="I94" i="13"/>
  <c r="H94" i="13"/>
  <c r="G94" i="13"/>
  <c r="G93" i="13" s="1"/>
  <c r="F94" i="13"/>
  <c r="E94" i="13"/>
  <c r="E93" i="13" s="1"/>
  <c r="D94" i="13"/>
  <c r="D93" i="13" s="1"/>
  <c r="C94" i="13"/>
  <c r="B94" i="13"/>
  <c r="AG92" i="13"/>
  <c r="AG91" i="13"/>
  <c r="AG90" i="13"/>
  <c r="AG89" i="13"/>
  <c r="AG88" i="13"/>
  <c r="AF87" i="13"/>
  <c r="AE87" i="13"/>
  <c r="AD87" i="13"/>
  <c r="AC87" i="13"/>
  <c r="AB87" i="13"/>
  <c r="AA87" i="13"/>
  <c r="Z87" i="13"/>
  <c r="Y87" i="13"/>
  <c r="X87" i="13"/>
  <c r="W87" i="13"/>
  <c r="V87" i="13"/>
  <c r="U87" i="13"/>
  <c r="T87" i="13"/>
  <c r="S87" i="13"/>
  <c r="R87" i="13"/>
  <c r="Q87" i="13"/>
  <c r="P87" i="13"/>
  <c r="O87" i="13"/>
  <c r="N87" i="13"/>
  <c r="M87" i="13"/>
  <c r="L87" i="13"/>
  <c r="K87" i="13"/>
  <c r="J87" i="13"/>
  <c r="I87" i="13"/>
  <c r="H87" i="13"/>
  <c r="G87" i="13"/>
  <c r="F87" i="13"/>
  <c r="E87" i="13"/>
  <c r="D87" i="13"/>
  <c r="C87" i="13"/>
  <c r="B87" i="13"/>
  <c r="AG86" i="13"/>
  <c r="AG85" i="13"/>
  <c r="AF84" i="13"/>
  <c r="AE84" i="13"/>
  <c r="AD84" i="13"/>
  <c r="AC84" i="13"/>
  <c r="AB84" i="13"/>
  <c r="AA84" i="13"/>
  <c r="Z84" i="13"/>
  <c r="Y84" i="13"/>
  <c r="X84" i="13"/>
  <c r="W84" i="13"/>
  <c r="V84" i="13"/>
  <c r="U84" i="13"/>
  <c r="T84" i="13"/>
  <c r="S84" i="13"/>
  <c r="R84" i="13"/>
  <c r="Q84" i="13"/>
  <c r="P84" i="13"/>
  <c r="O84" i="13"/>
  <c r="N84" i="13"/>
  <c r="M84" i="13"/>
  <c r="L84" i="13"/>
  <c r="K84" i="13"/>
  <c r="J84" i="13"/>
  <c r="I84" i="13"/>
  <c r="H84" i="13"/>
  <c r="G84" i="13"/>
  <c r="F84" i="13"/>
  <c r="E84" i="13"/>
  <c r="D84" i="13"/>
  <c r="B84" i="13"/>
  <c r="U83" i="13"/>
  <c r="U81" i="13" s="1"/>
  <c r="AF82" i="13"/>
  <c r="AF83" i="13" s="1"/>
  <c r="AF81" i="13" s="1"/>
  <c r="AE82" i="13"/>
  <c r="AE83" i="13" s="1"/>
  <c r="AE81" i="13" s="1"/>
  <c r="AD82" i="13"/>
  <c r="AD83" i="13" s="1"/>
  <c r="AD81" i="13" s="1"/>
  <c r="AC83" i="13"/>
  <c r="AB83" i="13"/>
  <c r="AB81" i="13" s="1"/>
  <c r="AA82" i="13"/>
  <c r="AA83" i="13" s="1"/>
  <c r="AA81" i="13" s="1"/>
  <c r="Z82" i="13"/>
  <c r="Y82" i="13"/>
  <c r="Y83" i="13" s="1"/>
  <c r="X82" i="13"/>
  <c r="X83" i="13" s="1"/>
  <c r="X81" i="13" s="1"/>
  <c r="W82" i="13"/>
  <c r="W83" i="13" s="1"/>
  <c r="W81" i="13" s="1"/>
  <c r="V83" i="13"/>
  <c r="V81" i="13" s="1"/>
  <c r="T82" i="13"/>
  <c r="T83" i="13" s="1"/>
  <c r="T81" i="13" s="1"/>
  <c r="S82" i="13"/>
  <c r="S83" i="13" s="1"/>
  <c r="S81" i="13" s="1"/>
  <c r="R82" i="13"/>
  <c r="Q82" i="13"/>
  <c r="Q83" i="13" s="1"/>
  <c r="P82" i="13"/>
  <c r="P83" i="13" s="1"/>
  <c r="P81" i="13" s="1"/>
  <c r="O83" i="13"/>
  <c r="O81" i="13" s="1"/>
  <c r="N83" i="13"/>
  <c r="N81" i="13" s="1"/>
  <c r="M82" i="13"/>
  <c r="M83" i="13" s="1"/>
  <c r="L82" i="13"/>
  <c r="L83" i="13" s="1"/>
  <c r="L81" i="13" s="1"/>
  <c r="K82" i="13"/>
  <c r="K83" i="13" s="1"/>
  <c r="K81" i="13" s="1"/>
  <c r="J82" i="13"/>
  <c r="I82" i="13"/>
  <c r="I83" i="13" s="1"/>
  <c r="H83" i="13"/>
  <c r="H81" i="13" s="1"/>
  <c r="G83" i="13"/>
  <c r="G81" i="13" s="1"/>
  <c r="F82" i="13"/>
  <c r="F83" i="13" s="1"/>
  <c r="F81" i="13" s="1"/>
  <c r="E82" i="13"/>
  <c r="E83" i="13" s="1"/>
  <c r="D82" i="13"/>
  <c r="D83" i="13" s="1"/>
  <c r="D81" i="13" s="1"/>
  <c r="C82" i="13"/>
  <c r="C83" i="13" s="1"/>
  <c r="C81" i="13" s="1"/>
  <c r="AF80" i="13"/>
  <c r="AC80" i="13"/>
  <c r="AC79" i="13" s="1"/>
  <c r="AC78" i="13" s="1"/>
  <c r="AB80" i="13"/>
  <c r="AB79" i="13" s="1"/>
  <c r="AB78" i="13" s="1"/>
  <c r="AA80" i="13"/>
  <c r="AA79" i="13" s="1"/>
  <c r="AA78" i="13" s="1"/>
  <c r="Y80" i="13"/>
  <c r="Y79" i="13" s="1"/>
  <c r="Y78" i="13" s="1"/>
  <c r="V80" i="13"/>
  <c r="V79" i="13" s="1"/>
  <c r="V78" i="13" s="1"/>
  <c r="U80" i="13"/>
  <c r="U79" i="13" s="1"/>
  <c r="U78" i="13" s="1"/>
  <c r="T80" i="13"/>
  <c r="T79" i="13" s="1"/>
  <c r="T78" i="13" s="1"/>
  <c r="S80" i="13"/>
  <c r="S79" i="13" s="1"/>
  <c r="S78" i="13" s="1"/>
  <c r="R80" i="13"/>
  <c r="R79" i="13" s="1"/>
  <c r="R78" i="13" s="1"/>
  <c r="O80" i="13"/>
  <c r="O79" i="13" s="1"/>
  <c r="O78" i="13" s="1"/>
  <c r="N80" i="13"/>
  <c r="N79" i="13" s="1"/>
  <c r="N78" i="13" s="1"/>
  <c r="M80" i="13"/>
  <c r="M79" i="13" s="1"/>
  <c r="M78" i="13" s="1"/>
  <c r="H80" i="13"/>
  <c r="H79" i="13" s="1"/>
  <c r="H78" i="13" s="1"/>
  <c r="G80" i="13"/>
  <c r="F80" i="13"/>
  <c r="AF79" i="13"/>
  <c r="AF78" i="13" s="1"/>
  <c r="AE79" i="13"/>
  <c r="AE78" i="13" s="1"/>
  <c r="AD79" i="13"/>
  <c r="AD78" i="13" s="1"/>
  <c r="Z79" i="13"/>
  <c r="Z78" i="13" s="1"/>
  <c r="X79" i="13"/>
  <c r="X78" i="13" s="1"/>
  <c r="W79" i="13"/>
  <c r="W78" i="13" s="1"/>
  <c r="Q79" i="13"/>
  <c r="Q78" i="13" s="1"/>
  <c r="P79" i="13"/>
  <c r="P78" i="13" s="1"/>
  <c r="L79" i="13"/>
  <c r="L78" i="13" s="1"/>
  <c r="K79" i="13"/>
  <c r="K78" i="13" s="1"/>
  <c r="J79" i="13"/>
  <c r="J78" i="13" s="1"/>
  <c r="I79" i="13"/>
  <c r="I78" i="13" s="1"/>
  <c r="G79" i="13"/>
  <c r="G78" i="13" s="1"/>
  <c r="E79" i="13"/>
  <c r="E78" i="13" s="1"/>
  <c r="D79" i="13"/>
  <c r="D78" i="13" s="1"/>
  <c r="C79" i="13"/>
  <c r="C78" i="13" s="1"/>
  <c r="B79" i="13"/>
  <c r="B78" i="13" s="1"/>
  <c r="AG77" i="13"/>
  <c r="AG76" i="13"/>
  <c r="AG75" i="13"/>
  <c r="AG74" i="13"/>
  <c r="AG73" i="13"/>
  <c r="AG72" i="13"/>
  <c r="AG71" i="13"/>
  <c r="AG70" i="13"/>
  <c r="AG69" i="13"/>
  <c r="AG68" i="13"/>
  <c r="AG67" i="13"/>
  <c r="AG66" i="13"/>
  <c r="AG65" i="13"/>
  <c r="AG64" i="13"/>
  <c r="AG63" i="13"/>
  <c r="AG62" i="13"/>
  <c r="AG61" i="13"/>
  <c r="AG60" i="13"/>
  <c r="AG59" i="13"/>
  <c r="AG58" i="13"/>
  <c r="AG57" i="13"/>
  <c r="AG56" i="13"/>
  <c r="AG55" i="13"/>
  <c r="AG54" i="13"/>
  <c r="AF53" i="13"/>
  <c r="AE53" i="13"/>
  <c r="AD53" i="13"/>
  <c r="AC53" i="13"/>
  <c r="AB53" i="13"/>
  <c r="AA53" i="13"/>
  <c r="Z53" i="13"/>
  <c r="Y53" i="13"/>
  <c r="X53" i="13"/>
  <c r="W53" i="13"/>
  <c r="V53" i="13"/>
  <c r="U53" i="13"/>
  <c r="T53" i="13"/>
  <c r="S53" i="13"/>
  <c r="R53" i="13"/>
  <c r="Q53" i="13"/>
  <c r="P53" i="13"/>
  <c r="O53" i="13"/>
  <c r="N53" i="13"/>
  <c r="M53" i="13"/>
  <c r="L53" i="13"/>
  <c r="K53" i="13"/>
  <c r="J53" i="13"/>
  <c r="I53" i="13"/>
  <c r="H53" i="13"/>
  <c r="G53" i="13"/>
  <c r="F53" i="13"/>
  <c r="E53" i="13"/>
  <c r="D53" i="13"/>
  <c r="C53" i="13"/>
  <c r="B53" i="13"/>
  <c r="AG52" i="13"/>
  <c r="AG51" i="13"/>
  <c r="AG50" i="13"/>
  <c r="AG49" i="13"/>
  <c r="AG48" i="13"/>
  <c r="AG47" i="13"/>
  <c r="AG46" i="13"/>
  <c r="AG45" i="13"/>
  <c r="AG44" i="13"/>
  <c r="AG43" i="13"/>
  <c r="AG42" i="13"/>
  <c r="AG41" i="13"/>
  <c r="AG40" i="13"/>
  <c r="AG39" i="13"/>
  <c r="AG38" i="13"/>
  <c r="AG37" i="13"/>
  <c r="AG36" i="13"/>
  <c r="AG35" i="13"/>
  <c r="AG34" i="13"/>
  <c r="AG33" i="13"/>
  <c r="AG32" i="13"/>
  <c r="AG31" i="13"/>
  <c r="AG30" i="13"/>
  <c r="AG29" i="13"/>
  <c r="AF28" i="13"/>
  <c r="AE28" i="13"/>
  <c r="AD28" i="13"/>
  <c r="AC28" i="13"/>
  <c r="AB28" i="13"/>
  <c r="AA28" i="13"/>
  <c r="Z28" i="13"/>
  <c r="Y28" i="13"/>
  <c r="X28" i="13"/>
  <c r="W28" i="13"/>
  <c r="V28" i="13"/>
  <c r="U28" i="13"/>
  <c r="T28" i="13"/>
  <c r="S28" i="13"/>
  <c r="R28" i="13"/>
  <c r="Q28" i="13"/>
  <c r="P28" i="13"/>
  <c r="O28" i="13"/>
  <c r="N28" i="13"/>
  <c r="M28" i="13"/>
  <c r="L28" i="13"/>
  <c r="K28" i="13"/>
  <c r="J28" i="13"/>
  <c r="I28" i="13"/>
  <c r="H28" i="13"/>
  <c r="G28" i="13"/>
  <c r="F28" i="13"/>
  <c r="E28" i="13"/>
  <c r="D28" i="13"/>
  <c r="C28" i="13"/>
  <c r="B28" i="13"/>
  <c r="AG27" i="13"/>
  <c r="AG26" i="13"/>
  <c r="AG25" i="13"/>
  <c r="AG24" i="13"/>
  <c r="AG23" i="13"/>
  <c r="AG22" i="13"/>
  <c r="AG21" i="13"/>
  <c r="AG20" i="13"/>
  <c r="AG19" i="13"/>
  <c r="AG18" i="13"/>
  <c r="AG17" i="13"/>
  <c r="AG16" i="13"/>
  <c r="AG15" i="13"/>
  <c r="AG14" i="13"/>
  <c r="AG13" i="13"/>
  <c r="AG12" i="13"/>
  <c r="AG11" i="13"/>
  <c r="AG10" i="13"/>
  <c r="AG9" i="13"/>
  <c r="AG8" i="13"/>
  <c r="AG7" i="13"/>
  <c r="AG6" i="13"/>
  <c r="AG5" i="13"/>
  <c r="AG4" i="13"/>
  <c r="AF3" i="13"/>
  <c r="AE3" i="13"/>
  <c r="AD3" i="13"/>
  <c r="AC3" i="13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E3" i="13"/>
  <c r="D3" i="13"/>
  <c r="C3" i="13"/>
  <c r="B3" i="13"/>
  <c r="AC2" i="13"/>
  <c r="C2" i="13"/>
  <c r="D2" i="13" s="1"/>
  <c r="E2" i="13" s="1"/>
  <c r="F2" i="13" s="1"/>
  <c r="G2" i="13" s="1"/>
  <c r="H2" i="13" s="1"/>
  <c r="I2" i="13" s="1"/>
  <c r="J2" i="13" s="1"/>
  <c r="K2" i="13" s="1"/>
  <c r="L2" i="13" s="1"/>
  <c r="M2" i="13" s="1"/>
  <c r="N2" i="13" s="1"/>
  <c r="O2" i="13" s="1"/>
  <c r="P2" i="13" s="1"/>
  <c r="Q2" i="13" s="1"/>
  <c r="R2" i="13" s="1"/>
  <c r="S2" i="13" s="1"/>
  <c r="T2" i="13" s="1"/>
  <c r="U2" i="13" s="1"/>
  <c r="V2" i="13" s="1"/>
  <c r="W2" i="13" s="1"/>
  <c r="X2" i="13" s="1"/>
  <c r="Y2" i="13" s="1"/>
  <c r="Z2" i="13" s="1"/>
  <c r="AA2" i="13" s="1"/>
  <c r="AC134" i="12"/>
  <c r="AC142" i="12"/>
  <c r="AC143" i="12"/>
  <c r="AC129" i="12"/>
  <c r="AB134" i="12"/>
  <c r="AB142" i="12"/>
  <c r="AB137" i="12"/>
  <c r="AB143" i="12"/>
  <c r="AB129" i="12"/>
  <c r="AA134" i="12"/>
  <c r="AA142" i="12"/>
  <c r="AA143" i="12"/>
  <c r="AA129" i="12"/>
  <c r="Z134" i="12"/>
  <c r="Z142" i="12"/>
  <c r="Z137" i="12"/>
  <c r="Z143" i="12"/>
  <c r="Z129" i="12"/>
  <c r="Q144" i="13" l="1"/>
  <c r="I93" i="13"/>
  <c r="AC93" i="13"/>
  <c r="U144" i="13"/>
  <c r="H93" i="13"/>
  <c r="AE93" i="13"/>
  <c r="AG147" i="13"/>
  <c r="AF93" i="13"/>
  <c r="V144" i="13"/>
  <c r="M93" i="13"/>
  <c r="R93" i="13"/>
  <c r="O93" i="13"/>
  <c r="AG142" i="13"/>
  <c r="J144" i="13"/>
  <c r="AD144" i="13"/>
  <c r="Y93" i="13"/>
  <c r="AG148" i="13"/>
  <c r="AG146" i="13" s="1"/>
  <c r="F93" i="13"/>
  <c r="M144" i="13"/>
  <c r="C93" i="13"/>
  <c r="AG224" i="13"/>
  <c r="AD93" i="13"/>
  <c r="AB93" i="13"/>
  <c r="AA93" i="13"/>
  <c r="Z93" i="13"/>
  <c r="X144" i="13"/>
  <c r="W93" i="13"/>
  <c r="V93" i="13"/>
  <c r="T93" i="13"/>
  <c r="S93" i="13"/>
  <c r="R144" i="13"/>
  <c r="AG215" i="13"/>
  <c r="AG220" i="13"/>
  <c r="N93" i="13"/>
  <c r="AG167" i="13"/>
  <c r="M81" i="13"/>
  <c r="L93" i="13"/>
  <c r="K93" i="13"/>
  <c r="J93" i="13"/>
  <c r="AG177" i="13"/>
  <c r="AG82" i="13"/>
  <c r="AG80" i="13"/>
  <c r="F79" i="13"/>
  <c r="F78" i="13" s="1"/>
  <c r="AG78" i="13" s="1"/>
  <c r="AG173" i="13"/>
  <c r="AG209" i="13"/>
  <c r="AG100" i="13"/>
  <c r="AG94" i="13"/>
  <c r="AG53" i="13"/>
  <c r="AG87" i="13"/>
  <c r="AG84" i="13"/>
  <c r="AG182" i="13"/>
  <c r="AG145" i="13"/>
  <c r="B144" i="13"/>
  <c r="AG158" i="13"/>
  <c r="B130" i="13"/>
  <c r="AG130" i="13" s="1"/>
  <c r="AG116" i="13"/>
  <c r="AG28" i="13"/>
  <c r="AG3" i="13"/>
  <c r="J83" i="13"/>
  <c r="J81" i="13" s="1"/>
  <c r="Z83" i="13"/>
  <c r="Z81" i="13" s="1"/>
  <c r="B93" i="13"/>
  <c r="I146" i="13"/>
  <c r="I144" i="13" s="1"/>
  <c r="B83" i="13"/>
  <c r="R83" i="13"/>
  <c r="R81" i="13" s="1"/>
  <c r="E81" i="13"/>
  <c r="AC81" i="13"/>
  <c r="I81" i="13"/>
  <c r="Q81" i="13"/>
  <c r="Y81" i="13"/>
  <c r="Y142" i="12"/>
  <c r="Y137" i="12"/>
  <c r="Y143" i="12"/>
  <c r="Y129" i="12"/>
  <c r="X134" i="12"/>
  <c r="X142" i="12"/>
  <c r="X143" i="12"/>
  <c r="X129" i="12"/>
  <c r="W143" i="12"/>
  <c r="W129" i="12"/>
  <c r="V134" i="12"/>
  <c r="V142" i="12"/>
  <c r="V143" i="12"/>
  <c r="V129" i="12"/>
  <c r="U134" i="12"/>
  <c r="U142" i="12"/>
  <c r="U143" i="12"/>
  <c r="U129" i="12"/>
  <c r="T142" i="12"/>
  <c r="T143" i="12"/>
  <c r="T129" i="12"/>
  <c r="S134" i="12"/>
  <c r="S142" i="12"/>
  <c r="S143" i="12"/>
  <c r="S129" i="12"/>
  <c r="R134" i="12"/>
  <c r="R142" i="12"/>
  <c r="R137" i="12"/>
  <c r="R143" i="12"/>
  <c r="R129" i="12"/>
  <c r="Q134" i="12"/>
  <c r="Q142" i="12"/>
  <c r="Q137" i="12"/>
  <c r="Q143" i="12"/>
  <c r="Q129" i="12"/>
  <c r="P215" i="12"/>
  <c r="P129" i="12"/>
  <c r="P142" i="12"/>
  <c r="P143" i="12"/>
  <c r="O142" i="12"/>
  <c r="O143" i="12"/>
  <c r="O129" i="12"/>
  <c r="N134" i="12"/>
  <c r="N142" i="12"/>
  <c r="N143" i="12"/>
  <c r="N129" i="12"/>
  <c r="M134" i="12"/>
  <c r="M142" i="12"/>
  <c r="M143" i="12"/>
  <c r="M129" i="12"/>
  <c r="L134" i="12"/>
  <c r="L142" i="12"/>
  <c r="L143" i="12"/>
  <c r="L129" i="12"/>
  <c r="K142" i="12"/>
  <c r="K143" i="12"/>
  <c r="K129" i="12"/>
  <c r="AG93" i="13" l="1"/>
  <c r="AH130" i="13" s="1"/>
  <c r="AG79" i="13"/>
  <c r="AH87" i="13"/>
  <c r="AG144" i="13"/>
  <c r="AG83" i="13"/>
  <c r="AH84" i="13" s="1"/>
  <c r="B81" i="13"/>
  <c r="AG81" i="13" s="1"/>
  <c r="AH81" i="13" s="1"/>
  <c r="J134" i="12"/>
  <c r="J142" i="12"/>
  <c r="J137" i="12"/>
  <c r="AG137" i="12" s="1"/>
  <c r="K137" i="5" s="1"/>
  <c r="J143" i="12"/>
  <c r="J129" i="12"/>
  <c r="I134" i="12"/>
  <c r="I142" i="12"/>
  <c r="I143" i="12"/>
  <c r="I129" i="12"/>
  <c r="H142" i="12"/>
  <c r="H130" i="12" s="1"/>
  <c r="H143" i="12"/>
  <c r="H129" i="12"/>
  <c r="G142" i="12"/>
  <c r="G134" i="12"/>
  <c r="G143" i="12"/>
  <c r="G129" i="12"/>
  <c r="G116" i="12" s="1"/>
  <c r="F134" i="12"/>
  <c r="F142" i="12"/>
  <c r="F143" i="12"/>
  <c r="F130" i="12" s="1"/>
  <c r="F129" i="12"/>
  <c r="E134" i="12"/>
  <c r="E142" i="12"/>
  <c r="E143" i="12"/>
  <c r="E129" i="12"/>
  <c r="D134" i="12"/>
  <c r="D142" i="12"/>
  <c r="D143" i="12"/>
  <c r="D129" i="12"/>
  <c r="D116" i="12" s="1"/>
  <c r="C142" i="12"/>
  <c r="C143" i="12"/>
  <c r="C129" i="12"/>
  <c r="C116" i="12" s="1"/>
  <c r="B142" i="12"/>
  <c r="B130" i="12" s="1"/>
  <c r="B143" i="12"/>
  <c r="B129" i="12"/>
  <c r="B116" i="12" s="1"/>
  <c r="AG227" i="12"/>
  <c r="AG226" i="12"/>
  <c r="K227" i="5" s="1"/>
  <c r="AG225" i="12"/>
  <c r="K226" i="5" s="1"/>
  <c r="AF224" i="12"/>
  <c r="AE224" i="12"/>
  <c r="AD224" i="12"/>
  <c r="AC224" i="12"/>
  <c r="AB224" i="12"/>
  <c r="AA224" i="12"/>
  <c r="Z224" i="12"/>
  <c r="Y224" i="12"/>
  <c r="X224" i="12"/>
  <c r="W224" i="12"/>
  <c r="V224" i="12"/>
  <c r="U224" i="12"/>
  <c r="T224" i="12"/>
  <c r="S224" i="12"/>
  <c r="R224" i="12"/>
  <c r="Q224" i="12"/>
  <c r="P224" i="12"/>
  <c r="O224" i="12"/>
  <c r="N224" i="12"/>
  <c r="M224" i="12"/>
  <c r="L224" i="12"/>
  <c r="K224" i="12"/>
  <c r="J224" i="12"/>
  <c r="I224" i="12"/>
  <c r="H224" i="12"/>
  <c r="G224" i="12"/>
  <c r="F224" i="12"/>
  <c r="E224" i="12"/>
  <c r="D224" i="12"/>
  <c r="C224" i="12"/>
  <c r="B224" i="12"/>
  <c r="AG223" i="12"/>
  <c r="K224" i="5" s="1"/>
  <c r="AG222" i="12"/>
  <c r="K223" i="5" s="1"/>
  <c r="AG221" i="12"/>
  <c r="K222" i="5" s="1"/>
  <c r="AF220" i="12"/>
  <c r="AE220" i="12"/>
  <c r="AD220" i="12"/>
  <c r="AC220" i="12"/>
  <c r="AB220" i="12"/>
  <c r="AA220" i="12"/>
  <c r="Z220" i="12"/>
  <c r="Y220" i="12"/>
  <c r="X220" i="12"/>
  <c r="W220" i="12"/>
  <c r="V220" i="12"/>
  <c r="U220" i="12"/>
  <c r="T220" i="12"/>
  <c r="S220" i="12"/>
  <c r="R220" i="12"/>
  <c r="Q220" i="12"/>
  <c r="P220" i="12"/>
  <c r="O220" i="12"/>
  <c r="N220" i="12"/>
  <c r="M220" i="12"/>
  <c r="L220" i="12"/>
  <c r="K220" i="12"/>
  <c r="J220" i="12"/>
  <c r="I220" i="12"/>
  <c r="H220" i="12"/>
  <c r="G220" i="12"/>
  <c r="F220" i="12"/>
  <c r="E220" i="12"/>
  <c r="D220" i="12"/>
  <c r="C220" i="12"/>
  <c r="B220" i="12"/>
  <c r="AG219" i="12"/>
  <c r="K220" i="5" s="1"/>
  <c r="AG218" i="12"/>
  <c r="K219" i="5" s="1"/>
  <c r="AG217" i="12"/>
  <c r="K217" i="5" s="1"/>
  <c r="AG216" i="12"/>
  <c r="K216" i="5" s="1"/>
  <c r="AF215" i="12"/>
  <c r="AE215" i="12"/>
  <c r="AD215" i="12"/>
  <c r="AC215" i="12"/>
  <c r="AB215" i="12"/>
  <c r="AA215" i="12"/>
  <c r="Z215" i="12"/>
  <c r="Y215" i="12"/>
  <c r="X215" i="12"/>
  <c r="W215" i="12"/>
  <c r="V215" i="12"/>
  <c r="U215" i="12"/>
  <c r="T215" i="12"/>
  <c r="S215" i="12"/>
  <c r="R215" i="12"/>
  <c r="Q215" i="12"/>
  <c r="O215" i="12"/>
  <c r="N215" i="12"/>
  <c r="M215" i="12"/>
  <c r="L215" i="12"/>
  <c r="K215" i="12"/>
  <c r="J215" i="12"/>
  <c r="I215" i="12"/>
  <c r="H215" i="12"/>
  <c r="G215" i="12"/>
  <c r="F215" i="12"/>
  <c r="E215" i="12"/>
  <c r="D215" i="12"/>
  <c r="C215" i="12"/>
  <c r="B215" i="12"/>
  <c r="AG214" i="12"/>
  <c r="K214" i="5" s="1"/>
  <c r="AG213" i="12"/>
  <c r="K213" i="5" s="1"/>
  <c r="AG212" i="12"/>
  <c r="K212" i="5" s="1"/>
  <c r="AG211" i="12"/>
  <c r="K211" i="5" s="1"/>
  <c r="AG210" i="12"/>
  <c r="K210" i="5" s="1"/>
  <c r="AF209" i="12"/>
  <c r="AE209" i="12"/>
  <c r="AD209" i="12"/>
  <c r="AC209" i="12"/>
  <c r="AB209" i="12"/>
  <c r="AA209" i="12"/>
  <c r="Z209" i="12"/>
  <c r="Y209" i="12"/>
  <c r="X209" i="12"/>
  <c r="W209" i="12"/>
  <c r="V209" i="12"/>
  <c r="U209" i="12"/>
  <c r="T209" i="12"/>
  <c r="S209" i="12"/>
  <c r="R209" i="12"/>
  <c r="Q209" i="12"/>
  <c r="P209" i="12"/>
  <c r="O209" i="12"/>
  <c r="N209" i="12"/>
  <c r="M209" i="12"/>
  <c r="L209" i="12"/>
  <c r="K209" i="12"/>
  <c r="J209" i="12"/>
  <c r="I209" i="12"/>
  <c r="H209" i="12"/>
  <c r="G209" i="12"/>
  <c r="F209" i="12"/>
  <c r="E209" i="12"/>
  <c r="D209" i="12"/>
  <c r="C209" i="12"/>
  <c r="B209" i="12"/>
  <c r="AG208" i="12"/>
  <c r="K208" i="5" s="1"/>
  <c r="AG207" i="12"/>
  <c r="K207" i="5" s="1"/>
  <c r="AG206" i="12"/>
  <c r="K206" i="5" s="1"/>
  <c r="AG205" i="12"/>
  <c r="K205" i="5" s="1"/>
  <c r="AG204" i="12"/>
  <c r="K204" i="5" s="1"/>
  <c r="AG203" i="12"/>
  <c r="K203" i="5" s="1"/>
  <c r="AG202" i="12"/>
  <c r="K202" i="5" s="1"/>
  <c r="AG201" i="12"/>
  <c r="K201" i="5" s="1"/>
  <c r="AG200" i="12"/>
  <c r="K200" i="5" s="1"/>
  <c r="AG199" i="12"/>
  <c r="K199" i="5" s="1"/>
  <c r="AG198" i="12"/>
  <c r="K198" i="5" s="1"/>
  <c r="AG197" i="12"/>
  <c r="K197" i="5" s="1"/>
  <c r="AG196" i="12"/>
  <c r="K196" i="5" s="1"/>
  <c r="AG195" i="12"/>
  <c r="K195" i="5" s="1"/>
  <c r="AG194" i="12"/>
  <c r="K194" i="5" s="1"/>
  <c r="AG193" i="12"/>
  <c r="K193" i="5" s="1"/>
  <c r="AG192" i="12"/>
  <c r="K192" i="5" s="1"/>
  <c r="AG191" i="12"/>
  <c r="K191" i="5" s="1"/>
  <c r="AG190" i="12"/>
  <c r="K190" i="5" s="1"/>
  <c r="AG189" i="12"/>
  <c r="K189" i="5" s="1"/>
  <c r="AG188" i="12"/>
  <c r="K188" i="5" s="1"/>
  <c r="AG187" i="12"/>
  <c r="K187" i="5" s="1"/>
  <c r="AG186" i="12"/>
  <c r="K186" i="5" s="1"/>
  <c r="AG185" i="12"/>
  <c r="K185" i="5" s="1"/>
  <c r="AG184" i="12"/>
  <c r="K184" i="5" s="1"/>
  <c r="AG183" i="12"/>
  <c r="K183" i="5" s="1"/>
  <c r="AF182" i="12"/>
  <c r="AE182" i="12"/>
  <c r="AD182" i="12"/>
  <c r="AC182" i="12"/>
  <c r="AB182" i="12"/>
  <c r="AA182" i="12"/>
  <c r="Z182" i="12"/>
  <c r="Y182" i="12"/>
  <c r="X182" i="12"/>
  <c r="W182" i="12"/>
  <c r="V182" i="12"/>
  <c r="U182" i="12"/>
  <c r="T182" i="12"/>
  <c r="S182" i="12"/>
  <c r="R182" i="12"/>
  <c r="Q182" i="12"/>
  <c r="P182" i="12"/>
  <c r="O182" i="12"/>
  <c r="N182" i="12"/>
  <c r="M182" i="12"/>
  <c r="L182" i="12"/>
  <c r="K182" i="12"/>
  <c r="J182" i="12"/>
  <c r="I182" i="12"/>
  <c r="H182" i="12"/>
  <c r="G182" i="12"/>
  <c r="F182" i="12"/>
  <c r="E182" i="12"/>
  <c r="D182" i="12"/>
  <c r="C182" i="12"/>
  <c r="B182" i="12"/>
  <c r="AG181" i="12"/>
  <c r="K181" i="5" s="1"/>
  <c r="AG180" i="12"/>
  <c r="K180" i="5" s="1"/>
  <c r="AG179" i="12"/>
  <c r="K179" i="5" s="1"/>
  <c r="AG178" i="12"/>
  <c r="K178" i="5" s="1"/>
  <c r="AF177" i="12"/>
  <c r="AE177" i="12"/>
  <c r="AD177" i="12"/>
  <c r="AC177" i="12"/>
  <c r="AB177" i="12"/>
  <c r="AA177" i="12"/>
  <c r="Z177" i="12"/>
  <c r="Y177" i="12"/>
  <c r="X177" i="12"/>
  <c r="W177" i="12"/>
  <c r="V177" i="12"/>
  <c r="U177" i="12"/>
  <c r="T177" i="12"/>
  <c r="S177" i="12"/>
  <c r="R177" i="12"/>
  <c r="Q177" i="12"/>
  <c r="P177" i="12"/>
  <c r="O177" i="12"/>
  <c r="N177" i="12"/>
  <c r="M177" i="12"/>
  <c r="L177" i="12"/>
  <c r="K177" i="12"/>
  <c r="J177" i="12"/>
  <c r="I177" i="12"/>
  <c r="H177" i="12"/>
  <c r="G177" i="12"/>
  <c r="F177" i="12"/>
  <c r="E177" i="12"/>
  <c r="D177" i="12"/>
  <c r="C177" i="12"/>
  <c r="B177" i="12"/>
  <c r="AG176" i="12"/>
  <c r="K176" i="5" s="1"/>
  <c r="AG175" i="12"/>
  <c r="K175" i="5" s="1"/>
  <c r="AG174" i="12"/>
  <c r="K174" i="5" s="1"/>
  <c r="AF173" i="12"/>
  <c r="AE173" i="12"/>
  <c r="AD173" i="12"/>
  <c r="AC173" i="12"/>
  <c r="AB173" i="12"/>
  <c r="AA173" i="12"/>
  <c r="Z173" i="12"/>
  <c r="Y173" i="12"/>
  <c r="X173" i="12"/>
  <c r="W173" i="12"/>
  <c r="V173" i="12"/>
  <c r="U173" i="12"/>
  <c r="T173" i="12"/>
  <c r="S173" i="12"/>
  <c r="R173" i="12"/>
  <c r="Q173" i="12"/>
  <c r="P173" i="12"/>
  <c r="O173" i="12"/>
  <c r="N173" i="12"/>
  <c r="M173" i="12"/>
  <c r="L173" i="12"/>
  <c r="K173" i="12"/>
  <c r="J173" i="12"/>
  <c r="I173" i="12"/>
  <c r="H173" i="12"/>
  <c r="G173" i="12"/>
  <c r="F173" i="12"/>
  <c r="E173" i="12"/>
  <c r="D173" i="12"/>
  <c r="C173" i="12"/>
  <c r="B173" i="12"/>
  <c r="AG172" i="12"/>
  <c r="K172" i="5" s="1"/>
  <c r="AG171" i="12"/>
  <c r="K171" i="5" s="1"/>
  <c r="AG170" i="12"/>
  <c r="K170" i="5" s="1"/>
  <c r="AG169" i="12"/>
  <c r="K169" i="5" s="1"/>
  <c r="AG168" i="12"/>
  <c r="K168" i="5" s="1"/>
  <c r="AF167" i="12"/>
  <c r="AE167" i="12"/>
  <c r="AD167" i="12"/>
  <c r="AD144" i="12" s="1"/>
  <c r="AC167" i="12"/>
  <c r="AB167" i="12"/>
  <c r="AA167" i="12"/>
  <c r="Z167" i="12"/>
  <c r="Y167" i="12"/>
  <c r="X167" i="12"/>
  <c r="W167" i="12"/>
  <c r="V167" i="12"/>
  <c r="U167" i="12"/>
  <c r="T167" i="12"/>
  <c r="S167" i="12"/>
  <c r="R167" i="12"/>
  <c r="Q167" i="12"/>
  <c r="P167" i="12"/>
  <c r="O167" i="12"/>
  <c r="N167" i="12"/>
  <c r="M167" i="12"/>
  <c r="L167" i="12"/>
  <c r="K167" i="12"/>
  <c r="J167" i="12"/>
  <c r="I167" i="12"/>
  <c r="H167" i="12"/>
  <c r="G167" i="12"/>
  <c r="F167" i="12"/>
  <c r="E167" i="12"/>
  <c r="D167" i="12"/>
  <c r="C167" i="12"/>
  <c r="B167" i="12"/>
  <c r="AG166" i="12"/>
  <c r="K166" i="5" s="1"/>
  <c r="AG165" i="12"/>
  <c r="K165" i="5" s="1"/>
  <c r="AG164" i="12"/>
  <c r="K164" i="5" s="1"/>
  <c r="AG163" i="12"/>
  <c r="K163" i="5" s="1"/>
  <c r="AG162" i="12"/>
  <c r="K162" i="5" s="1"/>
  <c r="AG161" i="12"/>
  <c r="K161" i="5" s="1"/>
  <c r="AG160" i="12"/>
  <c r="K160" i="5" s="1"/>
  <c r="AG159" i="12"/>
  <c r="K159" i="5" s="1"/>
  <c r="AF158" i="12"/>
  <c r="AE158" i="12"/>
  <c r="AD158" i="12"/>
  <c r="AC158" i="12"/>
  <c r="AB158" i="12"/>
  <c r="AA158" i="12"/>
  <c r="Z158" i="12"/>
  <c r="Y158" i="12"/>
  <c r="X158" i="12"/>
  <c r="W158" i="12"/>
  <c r="V158" i="12"/>
  <c r="U158" i="12"/>
  <c r="T158" i="12"/>
  <c r="S158" i="12"/>
  <c r="R158" i="12"/>
  <c r="Q158" i="12"/>
  <c r="P158" i="12"/>
  <c r="O158" i="12"/>
  <c r="N158" i="12"/>
  <c r="M158" i="12"/>
  <c r="L158" i="12"/>
  <c r="K158" i="12"/>
  <c r="J158" i="12"/>
  <c r="I158" i="12"/>
  <c r="H158" i="12"/>
  <c r="G158" i="12"/>
  <c r="F158" i="12"/>
  <c r="E158" i="12"/>
  <c r="D158" i="12"/>
  <c r="C158" i="12"/>
  <c r="B158" i="12"/>
  <c r="AG157" i="12"/>
  <c r="K157" i="5" s="1"/>
  <c r="AG156" i="12"/>
  <c r="K156" i="5" s="1"/>
  <c r="AG155" i="12"/>
  <c r="K155" i="5" s="1"/>
  <c r="AG154" i="12"/>
  <c r="K154" i="5" s="1"/>
  <c r="AG153" i="12"/>
  <c r="K153" i="5" s="1"/>
  <c r="AG152" i="12"/>
  <c r="K152" i="5" s="1"/>
  <c r="AG151" i="12"/>
  <c r="K151" i="5" s="1"/>
  <c r="AG150" i="12"/>
  <c r="K150" i="5" s="1"/>
  <c r="AG149" i="12"/>
  <c r="K149" i="5" s="1"/>
  <c r="AF148" i="12"/>
  <c r="AF146" i="12" s="1"/>
  <c r="AE148" i="12"/>
  <c r="AD148" i="12"/>
  <c r="AC148" i="12"/>
  <c r="AC146" i="12" s="1"/>
  <c r="AC144" i="12" s="1"/>
  <c r="AB148" i="12"/>
  <c r="AA148" i="12"/>
  <c r="Z148" i="12"/>
  <c r="Z146" i="12" s="1"/>
  <c r="Z144" i="12" s="1"/>
  <c r="Y148" i="12"/>
  <c r="X148" i="12"/>
  <c r="X146" i="12" s="1"/>
  <c r="W148" i="12"/>
  <c r="W146" i="12" s="1"/>
  <c r="W144" i="12" s="1"/>
  <c r="V148" i="12"/>
  <c r="U148" i="12"/>
  <c r="U146" i="12" s="1"/>
  <c r="U144" i="12" s="1"/>
  <c r="T148" i="12"/>
  <c r="S148" i="12"/>
  <c r="R148" i="12"/>
  <c r="R146" i="12" s="1"/>
  <c r="R144" i="12" s="1"/>
  <c r="Q148" i="12"/>
  <c r="Q146" i="12" s="1"/>
  <c r="P148" i="12"/>
  <c r="P146" i="12" s="1"/>
  <c r="P144" i="12" s="1"/>
  <c r="O148" i="12"/>
  <c r="O146" i="12" s="1"/>
  <c r="O144" i="12" s="1"/>
  <c r="N148" i="12"/>
  <c r="N146" i="12" s="1"/>
  <c r="N144" i="12" s="1"/>
  <c r="M148" i="12"/>
  <c r="M146" i="12" s="1"/>
  <c r="M144" i="12" s="1"/>
  <c r="L148" i="12"/>
  <c r="K148" i="12"/>
  <c r="J148" i="12"/>
  <c r="I148" i="12"/>
  <c r="I146" i="12" s="1"/>
  <c r="I144" i="12" s="1"/>
  <c r="H148" i="12"/>
  <c r="H146" i="12" s="1"/>
  <c r="H144" i="12" s="1"/>
  <c r="G148" i="12"/>
  <c r="F148" i="12"/>
  <c r="F146" i="12" s="1"/>
  <c r="E148" i="12"/>
  <c r="E146" i="12" s="1"/>
  <c r="D148" i="12"/>
  <c r="D146" i="12" s="1"/>
  <c r="D144" i="12" s="1"/>
  <c r="C148" i="12"/>
  <c r="C146" i="12" s="1"/>
  <c r="B148" i="12"/>
  <c r="AE147" i="12"/>
  <c r="AD147" i="12"/>
  <c r="AC147" i="12"/>
  <c r="AB147" i="12"/>
  <c r="AA147" i="12"/>
  <c r="Z147" i="12"/>
  <c r="Y147" i="12"/>
  <c r="X147" i="12"/>
  <c r="W147" i="12"/>
  <c r="V147" i="12"/>
  <c r="U147" i="12"/>
  <c r="T147" i="12"/>
  <c r="S147" i="12"/>
  <c r="R147" i="12"/>
  <c r="Q147" i="12"/>
  <c r="P147" i="12"/>
  <c r="O147" i="12"/>
  <c r="N147" i="12"/>
  <c r="M147" i="12"/>
  <c r="L147" i="12"/>
  <c r="K147" i="12"/>
  <c r="J147" i="12"/>
  <c r="I147" i="12"/>
  <c r="H147" i="12"/>
  <c r="G147" i="12"/>
  <c r="F147" i="12"/>
  <c r="E147" i="12"/>
  <c r="D147" i="12"/>
  <c r="C147" i="12"/>
  <c r="B147" i="12"/>
  <c r="AE146" i="12"/>
  <c r="AE144" i="12" s="1"/>
  <c r="AD146" i="12"/>
  <c r="AB146" i="12"/>
  <c r="AA146" i="12"/>
  <c r="Y146" i="12"/>
  <c r="Y144" i="12" s="1"/>
  <c r="V146" i="12"/>
  <c r="T146" i="12"/>
  <c r="T144" i="12" s="1"/>
  <c r="S146" i="12"/>
  <c r="S144" i="12" s="1"/>
  <c r="L146" i="12"/>
  <c r="L144" i="12" s="1"/>
  <c r="K146" i="12"/>
  <c r="K144" i="12" s="1"/>
  <c r="J146" i="12"/>
  <c r="J144" i="12" s="1"/>
  <c r="G146" i="12"/>
  <c r="B146" i="12"/>
  <c r="B144" i="12" s="1"/>
  <c r="AF145" i="12"/>
  <c r="AE145" i="12"/>
  <c r="AD145" i="12"/>
  <c r="AC145" i="12"/>
  <c r="AB145" i="12"/>
  <c r="AA145" i="12"/>
  <c r="Z145" i="12"/>
  <c r="Y145" i="12"/>
  <c r="X145" i="12"/>
  <c r="W145" i="12"/>
  <c r="V145" i="12"/>
  <c r="U145" i="12"/>
  <c r="T145" i="12"/>
  <c r="S145" i="12"/>
  <c r="R145" i="12"/>
  <c r="Q145" i="12"/>
  <c r="P145" i="12"/>
  <c r="O145" i="12"/>
  <c r="N145" i="12"/>
  <c r="M145" i="12"/>
  <c r="L145" i="12"/>
  <c r="K145" i="12"/>
  <c r="J145" i="12"/>
  <c r="I145" i="12"/>
  <c r="H145" i="12"/>
  <c r="G145" i="12"/>
  <c r="F145" i="12"/>
  <c r="E145" i="12"/>
  <c r="D145" i="12"/>
  <c r="C145" i="12"/>
  <c r="B145" i="12"/>
  <c r="AG141" i="12"/>
  <c r="K141" i="5" s="1"/>
  <c r="AG140" i="12"/>
  <c r="K140" i="5" s="1"/>
  <c r="AG139" i="12"/>
  <c r="K139" i="5" s="1"/>
  <c r="AG138" i="12"/>
  <c r="K138" i="5" s="1"/>
  <c r="AG136" i="12"/>
  <c r="K136" i="5" s="1"/>
  <c r="AG135" i="12"/>
  <c r="K135" i="5" s="1"/>
  <c r="AG133" i="12"/>
  <c r="K133" i="5" s="1"/>
  <c r="AG132" i="12"/>
  <c r="K132" i="5" s="1"/>
  <c r="AG131" i="12"/>
  <c r="K131" i="5" s="1"/>
  <c r="AF130" i="12"/>
  <c r="AE130" i="12"/>
  <c r="AD130" i="12"/>
  <c r="AC130" i="12"/>
  <c r="AB130" i="12"/>
  <c r="AA130" i="12"/>
  <c r="Z130" i="12"/>
  <c r="Y130" i="12"/>
  <c r="X130" i="12"/>
  <c r="W130" i="12"/>
  <c r="V130" i="12"/>
  <c r="U130" i="12"/>
  <c r="T130" i="12"/>
  <c r="S130" i="12"/>
  <c r="R130" i="12"/>
  <c r="Q130" i="12"/>
  <c r="P130" i="12"/>
  <c r="O130" i="12"/>
  <c r="N130" i="12"/>
  <c r="M130" i="12"/>
  <c r="L130" i="12"/>
  <c r="K130" i="12"/>
  <c r="G130" i="12"/>
  <c r="D130" i="12"/>
  <c r="AG128" i="12"/>
  <c r="K128" i="5" s="1"/>
  <c r="AG127" i="12"/>
  <c r="K127" i="5" s="1"/>
  <c r="AG126" i="12"/>
  <c r="K126" i="5" s="1"/>
  <c r="AG125" i="12"/>
  <c r="K125" i="5" s="1"/>
  <c r="AG124" i="12"/>
  <c r="K124" i="5" s="1"/>
  <c r="AG123" i="12"/>
  <c r="K123" i="5" s="1"/>
  <c r="AG122" i="12"/>
  <c r="K122" i="5" s="1"/>
  <c r="AG121" i="12"/>
  <c r="K121" i="5" s="1"/>
  <c r="AG120" i="12"/>
  <c r="K120" i="5" s="1"/>
  <c r="AG119" i="12"/>
  <c r="K119" i="5" s="1"/>
  <c r="AG118" i="12"/>
  <c r="K118" i="5" s="1"/>
  <c r="AG117" i="12"/>
  <c r="K117" i="5" s="1"/>
  <c r="AF116" i="12"/>
  <c r="AE116" i="12"/>
  <c r="AD116" i="12"/>
  <c r="AC116" i="12"/>
  <c r="AB116" i="12"/>
  <c r="AA116" i="12"/>
  <c r="Z116" i="12"/>
  <c r="Y116" i="12"/>
  <c r="X116" i="12"/>
  <c r="W116" i="12"/>
  <c r="V116" i="12"/>
  <c r="U116" i="12"/>
  <c r="T116" i="12"/>
  <c r="S116" i="12"/>
  <c r="R116" i="12"/>
  <c r="Q116" i="12"/>
  <c r="P116" i="12"/>
  <c r="O116" i="12"/>
  <c r="N116" i="12"/>
  <c r="M116" i="12"/>
  <c r="L116" i="12"/>
  <c r="K116" i="12"/>
  <c r="J116" i="12"/>
  <c r="I116" i="12"/>
  <c r="H116" i="12"/>
  <c r="F116" i="12"/>
  <c r="E116" i="12"/>
  <c r="AG115" i="12"/>
  <c r="K115" i="5" s="1"/>
  <c r="AG114" i="12"/>
  <c r="K114" i="5" s="1"/>
  <c r="AG113" i="12"/>
  <c r="K113" i="5" s="1"/>
  <c r="AG112" i="12"/>
  <c r="K112" i="5" s="1"/>
  <c r="AG111" i="12"/>
  <c r="K111" i="5" s="1"/>
  <c r="AG110" i="12"/>
  <c r="K110" i="5" s="1"/>
  <c r="AG109" i="12"/>
  <c r="K109" i="5" s="1"/>
  <c r="AG108" i="12"/>
  <c r="K108" i="5" s="1"/>
  <c r="AG107" i="12"/>
  <c r="K107" i="5" s="1"/>
  <c r="AG106" i="12"/>
  <c r="K106" i="5" s="1"/>
  <c r="AG105" i="12"/>
  <c r="K105" i="5" s="1"/>
  <c r="AG104" i="12"/>
  <c r="K104" i="5" s="1"/>
  <c r="AG103" i="12"/>
  <c r="K103" i="5" s="1"/>
  <c r="AG102" i="12"/>
  <c r="K102" i="5" s="1"/>
  <c r="AG101" i="12"/>
  <c r="K101" i="5" s="1"/>
  <c r="AF100" i="12"/>
  <c r="AE100" i="12"/>
  <c r="AD100" i="12"/>
  <c r="AC100" i="12"/>
  <c r="AB100" i="12"/>
  <c r="AA100" i="12"/>
  <c r="Z100" i="12"/>
  <c r="Y100" i="12"/>
  <c r="X100" i="12"/>
  <c r="X93" i="12" s="1"/>
  <c r="W100" i="12"/>
  <c r="V100" i="12"/>
  <c r="U100" i="12"/>
  <c r="U93" i="12" s="1"/>
  <c r="T100" i="12"/>
  <c r="S100" i="12"/>
  <c r="R100" i="12"/>
  <c r="Q100" i="12"/>
  <c r="P100" i="12"/>
  <c r="O100" i="12"/>
  <c r="N100" i="12"/>
  <c r="N93" i="12" s="1"/>
  <c r="M100" i="12"/>
  <c r="L100" i="12"/>
  <c r="K100" i="12"/>
  <c r="J100" i="12"/>
  <c r="I100" i="12"/>
  <c r="H100" i="12"/>
  <c r="G100" i="12"/>
  <c r="F100" i="12"/>
  <c r="E100" i="12"/>
  <c r="D100" i="12"/>
  <c r="C100" i="12"/>
  <c r="B100" i="12"/>
  <c r="AG99" i="12"/>
  <c r="K99" i="5" s="1"/>
  <c r="AG98" i="12"/>
  <c r="K98" i="5" s="1"/>
  <c r="AG97" i="12"/>
  <c r="K97" i="5" s="1"/>
  <c r="AG96" i="12"/>
  <c r="K96" i="5" s="1"/>
  <c r="AG95" i="12"/>
  <c r="K95" i="5" s="1"/>
  <c r="AF94" i="12"/>
  <c r="AE94" i="12"/>
  <c r="AD94" i="12"/>
  <c r="AC94" i="12"/>
  <c r="AC93" i="12" s="1"/>
  <c r="AB94" i="12"/>
  <c r="AB93" i="12" s="1"/>
  <c r="AA94" i="12"/>
  <c r="AA93" i="12" s="1"/>
  <c r="Z94" i="12"/>
  <c r="Y94" i="12"/>
  <c r="X94" i="12"/>
  <c r="W94" i="12"/>
  <c r="V94" i="12"/>
  <c r="U94" i="12"/>
  <c r="T94" i="12"/>
  <c r="T93" i="12" s="1"/>
  <c r="S94" i="12"/>
  <c r="R94" i="12"/>
  <c r="Q94" i="12"/>
  <c r="Q93" i="12" s="1"/>
  <c r="P94" i="12"/>
  <c r="O94" i="12"/>
  <c r="O93" i="12" s="1"/>
  <c r="N94" i="12"/>
  <c r="M94" i="12"/>
  <c r="L94" i="12"/>
  <c r="K94" i="12"/>
  <c r="J94" i="12"/>
  <c r="I94" i="12"/>
  <c r="I93" i="12" s="1"/>
  <c r="H94" i="12"/>
  <c r="G94" i="12"/>
  <c r="G93" i="12" s="1"/>
  <c r="F94" i="12"/>
  <c r="E94" i="12"/>
  <c r="D94" i="12"/>
  <c r="C94" i="12"/>
  <c r="B94" i="12"/>
  <c r="M93" i="12"/>
  <c r="AG92" i="12"/>
  <c r="K92" i="5" s="1"/>
  <c r="AG91" i="12"/>
  <c r="K91" i="5" s="1"/>
  <c r="AG90" i="12"/>
  <c r="K90" i="5" s="1"/>
  <c r="AG89" i="12"/>
  <c r="K89" i="5" s="1"/>
  <c r="AG88" i="12"/>
  <c r="K88" i="5" s="1"/>
  <c r="AF87" i="12"/>
  <c r="AE87" i="12"/>
  <c r="AD87" i="12"/>
  <c r="AC87" i="12"/>
  <c r="AB87" i="12"/>
  <c r="AA87" i="12"/>
  <c r="Z87" i="12"/>
  <c r="Y87" i="12"/>
  <c r="X87" i="12"/>
  <c r="W87" i="12"/>
  <c r="V87" i="12"/>
  <c r="U87" i="12"/>
  <c r="T87" i="12"/>
  <c r="S87" i="12"/>
  <c r="R87" i="12"/>
  <c r="Q87" i="12"/>
  <c r="P87" i="12"/>
  <c r="O87" i="12"/>
  <c r="N87" i="12"/>
  <c r="M87" i="12"/>
  <c r="L87" i="12"/>
  <c r="K87" i="12"/>
  <c r="J87" i="12"/>
  <c r="I87" i="12"/>
  <c r="H87" i="12"/>
  <c r="G87" i="12"/>
  <c r="F87" i="12"/>
  <c r="E87" i="12"/>
  <c r="D87" i="12"/>
  <c r="C87" i="12"/>
  <c r="B87" i="12"/>
  <c r="AG86" i="12"/>
  <c r="K86" i="5" s="1"/>
  <c r="AG85" i="12"/>
  <c r="K85" i="5" s="1"/>
  <c r="AF84" i="12"/>
  <c r="AE84" i="12"/>
  <c r="AD84" i="12"/>
  <c r="AC84" i="12"/>
  <c r="AB84" i="12"/>
  <c r="AA84" i="12"/>
  <c r="Z84" i="12"/>
  <c r="Y84" i="12"/>
  <c r="X84" i="12"/>
  <c r="W84" i="12"/>
  <c r="V84" i="12"/>
  <c r="U84" i="12"/>
  <c r="T84" i="12"/>
  <c r="S84" i="12"/>
  <c r="R84" i="12"/>
  <c r="Q84" i="12"/>
  <c r="P84" i="12"/>
  <c r="O84" i="12"/>
  <c r="N84" i="12"/>
  <c r="M84" i="12"/>
  <c r="L84" i="12"/>
  <c r="K84" i="12"/>
  <c r="J84" i="12"/>
  <c r="I84" i="12"/>
  <c r="H84" i="12"/>
  <c r="G84" i="12"/>
  <c r="F84" i="12"/>
  <c r="E84" i="12"/>
  <c r="D84" i="12"/>
  <c r="C84" i="12"/>
  <c r="B84" i="12"/>
  <c r="AF83" i="12"/>
  <c r="AF81" i="12" s="1"/>
  <c r="AE83" i="12"/>
  <c r="AE81" i="12" s="1"/>
  <c r="AD82" i="12"/>
  <c r="AC82" i="12"/>
  <c r="AC83" i="12" s="1"/>
  <c r="AB82" i="12"/>
  <c r="AB83" i="12" s="1"/>
  <c r="AB81" i="12" s="1"/>
  <c r="AA82" i="12"/>
  <c r="AA83" i="12" s="1"/>
  <c r="AA81" i="12" s="1"/>
  <c r="Z82" i="12"/>
  <c r="Z83" i="12" s="1"/>
  <c r="Z81" i="12" s="1"/>
  <c r="Y83" i="12"/>
  <c r="X83" i="12"/>
  <c r="X81" i="12" s="1"/>
  <c r="W82" i="12"/>
  <c r="W83" i="12" s="1"/>
  <c r="W81" i="12" s="1"/>
  <c r="V82" i="12"/>
  <c r="U82" i="12"/>
  <c r="U83" i="12" s="1"/>
  <c r="T82" i="12"/>
  <c r="T83" i="12" s="1"/>
  <c r="T81" i="12" s="1"/>
  <c r="S82" i="12"/>
  <c r="S83" i="12" s="1"/>
  <c r="S81" i="12" s="1"/>
  <c r="R83" i="12"/>
  <c r="R81" i="12" s="1"/>
  <c r="Q83" i="12"/>
  <c r="P82" i="12"/>
  <c r="P83" i="12" s="1"/>
  <c r="P81" i="12" s="1"/>
  <c r="O82" i="12"/>
  <c r="O83" i="12" s="1"/>
  <c r="O81" i="12" s="1"/>
  <c r="N82" i="12"/>
  <c r="M82" i="12"/>
  <c r="M83" i="12" s="1"/>
  <c r="L83" i="12"/>
  <c r="L81" i="12" s="1"/>
  <c r="K83" i="12"/>
  <c r="K81" i="12" s="1"/>
  <c r="J83" i="12"/>
  <c r="J81" i="12" s="1"/>
  <c r="I82" i="12"/>
  <c r="I83" i="12" s="1"/>
  <c r="H82" i="12"/>
  <c r="H83" i="12" s="1"/>
  <c r="H81" i="12" s="1"/>
  <c r="G82" i="12"/>
  <c r="G83" i="12" s="1"/>
  <c r="G81" i="12" s="1"/>
  <c r="F82" i="12"/>
  <c r="E82" i="12"/>
  <c r="D83" i="12"/>
  <c r="D81" i="12" s="1"/>
  <c r="C83" i="12"/>
  <c r="C81" i="12" s="1"/>
  <c r="B82" i="12"/>
  <c r="B83" i="12" s="1"/>
  <c r="AF80" i="12"/>
  <c r="AF79" i="12" s="1"/>
  <c r="AF78" i="12" s="1"/>
  <c r="AC80" i="12"/>
  <c r="AC79" i="12" s="1"/>
  <c r="AC78" i="12" s="1"/>
  <c r="AB80" i="12"/>
  <c r="AB79" i="12" s="1"/>
  <c r="AB78" i="12" s="1"/>
  <c r="AA80" i="12"/>
  <c r="Y80" i="12"/>
  <c r="V80" i="12"/>
  <c r="U80" i="12"/>
  <c r="U79" i="12" s="1"/>
  <c r="U78" i="12" s="1"/>
  <c r="T80" i="12"/>
  <c r="T79" i="12" s="1"/>
  <c r="T78" i="12" s="1"/>
  <c r="S80" i="12"/>
  <c r="S79" i="12" s="1"/>
  <c r="S78" i="12" s="1"/>
  <c r="R80" i="12"/>
  <c r="R79" i="12" s="1"/>
  <c r="R78" i="12" s="1"/>
  <c r="O80" i="12"/>
  <c r="O79" i="12" s="1"/>
  <c r="O78" i="12" s="1"/>
  <c r="N80" i="12"/>
  <c r="N79" i="12" s="1"/>
  <c r="N78" i="12" s="1"/>
  <c r="M80" i="12"/>
  <c r="M79" i="12" s="1"/>
  <c r="M78" i="12" s="1"/>
  <c r="H80" i="12"/>
  <c r="G80" i="12"/>
  <c r="F80" i="12"/>
  <c r="AE79" i="12"/>
  <c r="AE78" i="12" s="1"/>
  <c r="AD79" i="12"/>
  <c r="AD78" i="12" s="1"/>
  <c r="AA79" i="12"/>
  <c r="AA78" i="12" s="1"/>
  <c r="Z79" i="12"/>
  <c r="Z78" i="12" s="1"/>
  <c r="Y79" i="12"/>
  <c r="Y78" i="12" s="1"/>
  <c r="X79" i="12"/>
  <c r="X78" i="12" s="1"/>
  <c r="W79" i="12"/>
  <c r="W78" i="12" s="1"/>
  <c r="V79" i="12"/>
  <c r="V78" i="12" s="1"/>
  <c r="Q79" i="12"/>
  <c r="P79" i="12"/>
  <c r="P78" i="12" s="1"/>
  <c r="L79" i="12"/>
  <c r="L78" i="12" s="1"/>
  <c r="K79" i="12"/>
  <c r="K78" i="12" s="1"/>
  <c r="J79" i="12"/>
  <c r="J78" i="12" s="1"/>
  <c r="I79" i="12"/>
  <c r="I78" i="12" s="1"/>
  <c r="H79" i="12"/>
  <c r="H78" i="12" s="1"/>
  <c r="G79" i="12"/>
  <c r="G78" i="12" s="1"/>
  <c r="E79" i="12"/>
  <c r="E78" i="12" s="1"/>
  <c r="D79" i="12"/>
  <c r="D78" i="12" s="1"/>
  <c r="C79" i="12"/>
  <c r="C78" i="12" s="1"/>
  <c r="B79" i="12"/>
  <c r="B78" i="12" s="1"/>
  <c r="Q78" i="12"/>
  <c r="AG77" i="12"/>
  <c r="K77" i="5" s="1"/>
  <c r="AG76" i="12"/>
  <c r="K76" i="5" s="1"/>
  <c r="AG75" i="12"/>
  <c r="K75" i="5" s="1"/>
  <c r="AG74" i="12"/>
  <c r="K74" i="5" s="1"/>
  <c r="AG73" i="12"/>
  <c r="K73" i="5" s="1"/>
  <c r="AG72" i="12"/>
  <c r="K72" i="5" s="1"/>
  <c r="AG71" i="12"/>
  <c r="K71" i="5" s="1"/>
  <c r="AG70" i="12"/>
  <c r="K70" i="5" s="1"/>
  <c r="AG69" i="12"/>
  <c r="K69" i="5" s="1"/>
  <c r="AG68" i="12"/>
  <c r="K68" i="5" s="1"/>
  <c r="AG67" i="12"/>
  <c r="K67" i="5" s="1"/>
  <c r="AG66" i="12"/>
  <c r="K66" i="5" s="1"/>
  <c r="AG65" i="12"/>
  <c r="K65" i="5" s="1"/>
  <c r="AG64" i="12"/>
  <c r="K64" i="5" s="1"/>
  <c r="AG63" i="12"/>
  <c r="K63" i="5" s="1"/>
  <c r="AG62" i="12"/>
  <c r="K62" i="5" s="1"/>
  <c r="AG61" i="12"/>
  <c r="K61" i="5" s="1"/>
  <c r="AG60" i="12"/>
  <c r="K60" i="5" s="1"/>
  <c r="AG59" i="12"/>
  <c r="K59" i="5" s="1"/>
  <c r="AG58" i="12"/>
  <c r="K58" i="5" s="1"/>
  <c r="AG57" i="12"/>
  <c r="K57" i="5" s="1"/>
  <c r="AG56" i="12"/>
  <c r="K56" i="5" s="1"/>
  <c r="AG55" i="12"/>
  <c r="K55" i="5" s="1"/>
  <c r="AG54" i="12"/>
  <c r="K54" i="5" s="1"/>
  <c r="AF53" i="12"/>
  <c r="AE53" i="12"/>
  <c r="AD53" i="12"/>
  <c r="AC53" i="12"/>
  <c r="AB53" i="12"/>
  <c r="AA53" i="12"/>
  <c r="Z53" i="12"/>
  <c r="Y53" i="12"/>
  <c r="X53" i="12"/>
  <c r="W53" i="12"/>
  <c r="V53" i="12"/>
  <c r="U53" i="12"/>
  <c r="T53" i="12"/>
  <c r="S53" i="12"/>
  <c r="R53" i="12"/>
  <c r="Q53" i="12"/>
  <c r="P53" i="12"/>
  <c r="O53" i="12"/>
  <c r="N53" i="12"/>
  <c r="M53" i="12"/>
  <c r="L53" i="12"/>
  <c r="K53" i="12"/>
  <c r="J53" i="12"/>
  <c r="I53" i="12"/>
  <c r="H53" i="12"/>
  <c r="G53" i="12"/>
  <c r="F53" i="12"/>
  <c r="E53" i="12"/>
  <c r="D53" i="12"/>
  <c r="C53" i="12"/>
  <c r="B53" i="12"/>
  <c r="AG52" i="12"/>
  <c r="K52" i="5" s="1"/>
  <c r="AG51" i="12"/>
  <c r="K51" i="5" s="1"/>
  <c r="AG50" i="12"/>
  <c r="K50" i="5" s="1"/>
  <c r="AG49" i="12"/>
  <c r="K49" i="5" s="1"/>
  <c r="AG48" i="12"/>
  <c r="K48" i="5" s="1"/>
  <c r="AG47" i="12"/>
  <c r="K47" i="5" s="1"/>
  <c r="AG46" i="12"/>
  <c r="K46" i="5" s="1"/>
  <c r="AG45" i="12"/>
  <c r="K45" i="5" s="1"/>
  <c r="AG44" i="12"/>
  <c r="K44" i="5" s="1"/>
  <c r="AG43" i="12"/>
  <c r="K43" i="5" s="1"/>
  <c r="AG42" i="12"/>
  <c r="K42" i="5" s="1"/>
  <c r="AG41" i="12"/>
  <c r="K41" i="5" s="1"/>
  <c r="AG40" i="12"/>
  <c r="K40" i="5" s="1"/>
  <c r="AG39" i="12"/>
  <c r="K39" i="5" s="1"/>
  <c r="AG38" i="12"/>
  <c r="K38" i="5" s="1"/>
  <c r="AG37" i="12"/>
  <c r="K37" i="5" s="1"/>
  <c r="AG36" i="12"/>
  <c r="K36" i="5" s="1"/>
  <c r="AG35" i="12"/>
  <c r="K35" i="5" s="1"/>
  <c r="AG34" i="12"/>
  <c r="K34" i="5" s="1"/>
  <c r="AG33" i="12"/>
  <c r="K33" i="5" s="1"/>
  <c r="AG32" i="12"/>
  <c r="K32" i="5" s="1"/>
  <c r="AG31" i="12"/>
  <c r="K31" i="5" s="1"/>
  <c r="AG30" i="12"/>
  <c r="K30" i="5" s="1"/>
  <c r="AG29" i="12"/>
  <c r="K29" i="5" s="1"/>
  <c r="AF28" i="12"/>
  <c r="AE28" i="12"/>
  <c r="AD28" i="12"/>
  <c r="AC28" i="12"/>
  <c r="AB28" i="12"/>
  <c r="AA28" i="12"/>
  <c r="Z28" i="12"/>
  <c r="Y28" i="12"/>
  <c r="X28" i="12"/>
  <c r="W28" i="12"/>
  <c r="V28" i="12"/>
  <c r="U28" i="12"/>
  <c r="T28" i="12"/>
  <c r="S28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B28" i="12"/>
  <c r="AG27" i="12"/>
  <c r="K27" i="5" s="1"/>
  <c r="AG26" i="12"/>
  <c r="K26" i="5" s="1"/>
  <c r="AG25" i="12"/>
  <c r="K25" i="5" s="1"/>
  <c r="AG24" i="12"/>
  <c r="K24" i="5" s="1"/>
  <c r="AG23" i="12"/>
  <c r="K23" i="5" s="1"/>
  <c r="AG22" i="12"/>
  <c r="K22" i="5" s="1"/>
  <c r="AG21" i="12"/>
  <c r="K21" i="5" s="1"/>
  <c r="AG20" i="12"/>
  <c r="K20" i="5" s="1"/>
  <c r="AG19" i="12"/>
  <c r="K19" i="5" s="1"/>
  <c r="AG18" i="12"/>
  <c r="K18" i="5" s="1"/>
  <c r="AG17" i="12"/>
  <c r="K17" i="5" s="1"/>
  <c r="AG16" i="12"/>
  <c r="K16" i="5" s="1"/>
  <c r="AG15" i="12"/>
  <c r="K15" i="5" s="1"/>
  <c r="AG14" i="12"/>
  <c r="K14" i="5" s="1"/>
  <c r="AG13" i="12"/>
  <c r="K13" i="5" s="1"/>
  <c r="AG12" i="12"/>
  <c r="K12" i="5" s="1"/>
  <c r="AG11" i="12"/>
  <c r="K11" i="5" s="1"/>
  <c r="AG10" i="12"/>
  <c r="K10" i="5" s="1"/>
  <c r="AG9" i="12"/>
  <c r="K9" i="5" s="1"/>
  <c r="AG8" i="12"/>
  <c r="K8" i="5" s="1"/>
  <c r="AG7" i="12"/>
  <c r="K7" i="5" s="1"/>
  <c r="AG6" i="12"/>
  <c r="K6" i="5" s="1"/>
  <c r="AG5" i="12"/>
  <c r="K5" i="5" s="1"/>
  <c r="AG4" i="12"/>
  <c r="K4" i="5" s="1"/>
  <c r="AF3" i="12"/>
  <c r="AE3" i="12"/>
  <c r="AD3" i="12"/>
  <c r="AC3" i="12"/>
  <c r="AB3" i="12"/>
  <c r="AA3" i="12"/>
  <c r="Z3" i="12"/>
  <c r="Y3" i="12"/>
  <c r="X3" i="12"/>
  <c r="W3" i="12"/>
  <c r="V3" i="12"/>
  <c r="U3" i="12"/>
  <c r="T3" i="12"/>
  <c r="S3" i="12"/>
  <c r="R3" i="12"/>
  <c r="Q3" i="12"/>
  <c r="P3" i="12"/>
  <c r="O3" i="12"/>
  <c r="N3" i="12"/>
  <c r="M3" i="12"/>
  <c r="L3" i="12"/>
  <c r="K3" i="12"/>
  <c r="J3" i="12"/>
  <c r="I3" i="12"/>
  <c r="H3" i="12"/>
  <c r="G3" i="12"/>
  <c r="F3" i="12"/>
  <c r="E3" i="12"/>
  <c r="D3" i="12"/>
  <c r="C3" i="12"/>
  <c r="B3" i="12"/>
  <c r="AC2" i="12"/>
  <c r="C2" i="12"/>
  <c r="D2" i="12" s="1"/>
  <c r="E2" i="12" s="1"/>
  <c r="F2" i="12" s="1"/>
  <c r="G2" i="12" s="1"/>
  <c r="H2" i="12" s="1"/>
  <c r="I2" i="12" s="1"/>
  <c r="J2" i="12" s="1"/>
  <c r="K2" i="12" s="1"/>
  <c r="L2" i="12" s="1"/>
  <c r="M2" i="12" s="1"/>
  <c r="N2" i="12" s="1"/>
  <c r="O2" i="12" s="1"/>
  <c r="P2" i="12" s="1"/>
  <c r="Q2" i="12" s="1"/>
  <c r="R2" i="12" s="1"/>
  <c r="S2" i="12" s="1"/>
  <c r="T2" i="12" s="1"/>
  <c r="U2" i="12" s="1"/>
  <c r="V2" i="12" s="1"/>
  <c r="W2" i="12" s="1"/>
  <c r="X2" i="12" s="1"/>
  <c r="Y2" i="12" s="1"/>
  <c r="Z2" i="12" s="1"/>
  <c r="AA2" i="12" s="1"/>
  <c r="AE134" i="11"/>
  <c r="AE142" i="11"/>
  <c r="AE143" i="11"/>
  <c r="AE129" i="11"/>
  <c r="J93" i="12" l="1"/>
  <c r="AG148" i="12"/>
  <c r="K148" i="5" s="1"/>
  <c r="V144" i="12"/>
  <c r="AG134" i="12"/>
  <c r="K134" i="5" s="1"/>
  <c r="E144" i="12"/>
  <c r="F144" i="12"/>
  <c r="AF93" i="12"/>
  <c r="AA144" i="12"/>
  <c r="I130" i="12"/>
  <c r="X144" i="12"/>
  <c r="AG147" i="12"/>
  <c r="K147" i="5" s="1"/>
  <c r="Q144" i="12"/>
  <c r="W93" i="12"/>
  <c r="H93" i="12"/>
  <c r="Y93" i="12"/>
  <c r="AH93" i="13"/>
  <c r="AH209" i="13"/>
  <c r="AH144" i="13"/>
  <c r="AF144" i="12"/>
  <c r="AE93" i="12"/>
  <c r="AD93" i="12"/>
  <c r="AB144" i="12"/>
  <c r="Z93" i="12"/>
  <c r="V93" i="12"/>
  <c r="AG82" i="12"/>
  <c r="K82" i="5" s="1"/>
  <c r="S93" i="12"/>
  <c r="R93" i="12"/>
  <c r="P93" i="12"/>
  <c r="AG146" i="12"/>
  <c r="K146" i="5" s="1"/>
  <c r="AG224" i="12"/>
  <c r="K225" i="5" s="1"/>
  <c r="AG215" i="12"/>
  <c r="K215" i="5" s="1"/>
  <c r="AG220" i="12"/>
  <c r="K221" i="5" s="1"/>
  <c r="L93" i="12"/>
  <c r="AG158" i="12"/>
  <c r="K158" i="5" s="1"/>
  <c r="K93" i="12"/>
  <c r="J130" i="12"/>
  <c r="AG143" i="12"/>
  <c r="K143" i="5" s="1"/>
  <c r="AG129" i="12"/>
  <c r="K129" i="5" s="1"/>
  <c r="G144" i="12"/>
  <c r="AG80" i="12"/>
  <c r="K80" i="5" s="1"/>
  <c r="AG145" i="12"/>
  <c r="K145" i="5" s="1"/>
  <c r="AG142" i="12"/>
  <c r="K142" i="5" s="1"/>
  <c r="F93" i="12"/>
  <c r="F79" i="12"/>
  <c r="F78" i="12" s="1"/>
  <c r="AG177" i="12"/>
  <c r="K177" i="5" s="1"/>
  <c r="E130" i="12"/>
  <c r="E93" i="12"/>
  <c r="AG87" i="12"/>
  <c r="K87" i="5" s="1"/>
  <c r="AG182" i="12"/>
  <c r="K182" i="5" s="1"/>
  <c r="D93" i="12"/>
  <c r="AG53" i="12"/>
  <c r="K53" i="5" s="1"/>
  <c r="AG173" i="12"/>
  <c r="K173" i="5" s="1"/>
  <c r="C144" i="12"/>
  <c r="AG167" i="12"/>
  <c r="K167" i="5" s="1"/>
  <c r="C130" i="12"/>
  <c r="AG100" i="12"/>
  <c r="K100" i="5" s="1"/>
  <c r="C93" i="12"/>
  <c r="AG94" i="12"/>
  <c r="K94" i="5" s="1"/>
  <c r="AG84" i="12"/>
  <c r="K84" i="5" s="1"/>
  <c r="AG28" i="12"/>
  <c r="K28" i="5" s="1"/>
  <c r="AG209" i="12"/>
  <c r="K209" i="5" s="1"/>
  <c r="AG116" i="12"/>
  <c r="K116" i="5" s="1"/>
  <c r="AG3" i="12"/>
  <c r="K3" i="5" s="1"/>
  <c r="B81" i="12"/>
  <c r="AG78" i="12"/>
  <c r="K78" i="5" s="1"/>
  <c r="AG79" i="12"/>
  <c r="K79" i="5" s="1"/>
  <c r="V83" i="12"/>
  <c r="V81" i="12" s="1"/>
  <c r="F83" i="12"/>
  <c r="F81" i="12" s="1"/>
  <c r="B93" i="12"/>
  <c r="AD83" i="12"/>
  <c r="AD81" i="12" s="1"/>
  <c r="M81" i="12"/>
  <c r="U81" i="12"/>
  <c r="AC81" i="12"/>
  <c r="N83" i="12"/>
  <c r="N81" i="12" s="1"/>
  <c r="E83" i="12"/>
  <c r="E81" i="12" s="1"/>
  <c r="I81" i="12"/>
  <c r="Q81" i="12"/>
  <c r="Y81" i="12"/>
  <c r="AD142" i="11"/>
  <c r="AD143" i="11"/>
  <c r="AD129" i="11"/>
  <c r="AC134" i="11"/>
  <c r="AC142" i="11"/>
  <c r="AC143" i="11"/>
  <c r="AC129" i="11"/>
  <c r="AB171" i="11"/>
  <c r="AB134" i="11"/>
  <c r="AB142" i="11"/>
  <c r="AA134" i="11"/>
  <c r="AA142" i="11"/>
  <c r="AA143" i="11"/>
  <c r="AA129" i="11"/>
  <c r="Z134" i="11"/>
  <c r="Z142" i="11"/>
  <c r="Z143" i="11"/>
  <c r="Z129" i="11"/>
  <c r="Y134" i="11"/>
  <c r="Y142" i="11"/>
  <c r="Y137" i="11"/>
  <c r="Y143" i="11"/>
  <c r="Y129" i="11"/>
  <c r="X134" i="11"/>
  <c r="X142" i="11"/>
  <c r="X143" i="11"/>
  <c r="X129" i="11"/>
  <c r="W142" i="11"/>
  <c r="W137" i="11"/>
  <c r="W143" i="11"/>
  <c r="W129" i="11"/>
  <c r="V142" i="11"/>
  <c r="U134" i="11"/>
  <c r="U142" i="11"/>
  <c r="U143" i="11"/>
  <c r="U129" i="11"/>
  <c r="T142" i="11"/>
  <c r="T143" i="11"/>
  <c r="T129" i="11"/>
  <c r="S142" i="11"/>
  <c r="S143" i="11"/>
  <c r="S129" i="11"/>
  <c r="R134" i="11"/>
  <c r="R142" i="11"/>
  <c r="R143" i="11"/>
  <c r="R129" i="11"/>
  <c r="AG144" i="12" l="1"/>
  <c r="K144" i="5" s="1"/>
  <c r="AG130" i="12"/>
  <c r="K130" i="5" s="1"/>
  <c r="AH87" i="12"/>
  <c r="AG93" i="12"/>
  <c r="K93" i="5" s="1"/>
  <c r="AG83" i="12"/>
  <c r="AG81" i="12"/>
  <c r="Q134" i="11"/>
  <c r="Q142" i="11"/>
  <c r="Q143" i="11"/>
  <c r="Q129" i="11"/>
  <c r="P142" i="11"/>
  <c r="P143" i="11"/>
  <c r="P129" i="11"/>
  <c r="O134" i="11"/>
  <c r="O142" i="11"/>
  <c r="O137" i="11"/>
  <c r="O143" i="11"/>
  <c r="O129" i="11"/>
  <c r="N134" i="11"/>
  <c r="N142" i="11"/>
  <c r="N139" i="11"/>
  <c r="N143" i="11"/>
  <c r="N129" i="11"/>
  <c r="M134" i="11"/>
  <c r="M142" i="11"/>
  <c r="M143" i="11"/>
  <c r="M129" i="11"/>
  <c r="L143" i="11"/>
  <c r="L129" i="11"/>
  <c r="K142" i="11"/>
  <c r="K143" i="11"/>
  <c r="K129" i="11"/>
  <c r="J134" i="11"/>
  <c r="J142" i="11"/>
  <c r="J143" i="11"/>
  <c r="J129" i="11"/>
  <c r="I142" i="11"/>
  <c r="I137" i="11"/>
  <c r="I143" i="11"/>
  <c r="I129" i="11"/>
  <c r="H215" i="11"/>
  <c r="H142" i="11"/>
  <c r="H143" i="11"/>
  <c r="H129" i="11"/>
  <c r="G143" i="11"/>
  <c r="G129" i="11"/>
  <c r="AH81" i="12" l="1"/>
  <c r="K81" i="5"/>
  <c r="AH84" i="12"/>
  <c r="K83" i="5"/>
  <c r="AH130" i="12"/>
  <c r="AH93" i="12"/>
  <c r="AH144" i="12"/>
  <c r="AH209" i="12"/>
  <c r="F142" i="11"/>
  <c r="F143" i="11"/>
  <c r="F129" i="11"/>
  <c r="E134" i="11"/>
  <c r="E142" i="11"/>
  <c r="E143" i="11"/>
  <c r="E129" i="11"/>
  <c r="E116" i="11" s="1"/>
  <c r="D134" i="11"/>
  <c r="D142" i="11"/>
  <c r="D143" i="11"/>
  <c r="D129" i="11"/>
  <c r="D116" i="11" s="1"/>
  <c r="C134" i="11"/>
  <c r="C130" i="11" s="1"/>
  <c r="C142" i="11"/>
  <c r="C143" i="11"/>
  <c r="C129" i="11"/>
  <c r="B142" i="11"/>
  <c r="B137" i="11"/>
  <c r="B143" i="11"/>
  <c r="AG143" i="11" s="1"/>
  <c r="J143" i="5" s="1"/>
  <c r="B129" i="11"/>
  <c r="B116" i="11" s="1"/>
  <c r="AG227" i="11"/>
  <c r="AG226" i="11"/>
  <c r="J227" i="5" s="1"/>
  <c r="AG225" i="11"/>
  <c r="J226" i="5" s="1"/>
  <c r="AF224" i="11"/>
  <c r="AE224" i="11"/>
  <c r="AD224" i="11"/>
  <c r="AC224" i="11"/>
  <c r="AB224" i="11"/>
  <c r="AA224" i="11"/>
  <c r="Z224" i="11"/>
  <c r="Y224" i="11"/>
  <c r="X224" i="11"/>
  <c r="W224" i="11"/>
  <c r="V224" i="11"/>
  <c r="U224" i="11"/>
  <c r="T224" i="11"/>
  <c r="S224" i="11"/>
  <c r="R224" i="11"/>
  <c r="Q224" i="11"/>
  <c r="P224" i="11"/>
  <c r="O224" i="11"/>
  <c r="N224" i="11"/>
  <c r="M224" i="11"/>
  <c r="L224" i="11"/>
  <c r="K224" i="11"/>
  <c r="J224" i="11"/>
  <c r="I224" i="11"/>
  <c r="H224" i="11"/>
  <c r="G224" i="11"/>
  <c r="F224" i="11"/>
  <c r="E224" i="11"/>
  <c r="D224" i="11"/>
  <c r="C224" i="11"/>
  <c r="B224" i="11"/>
  <c r="AG223" i="11"/>
  <c r="J224" i="5" s="1"/>
  <c r="AG222" i="11"/>
  <c r="J223" i="5" s="1"/>
  <c r="AG221" i="11"/>
  <c r="J222" i="5" s="1"/>
  <c r="AF220" i="11"/>
  <c r="AE220" i="11"/>
  <c r="AD220" i="11"/>
  <c r="AC220" i="11"/>
  <c r="AB220" i="11"/>
  <c r="AA220" i="11"/>
  <c r="Z220" i="11"/>
  <c r="Y220" i="11"/>
  <c r="X220" i="11"/>
  <c r="W220" i="11"/>
  <c r="V220" i="11"/>
  <c r="U220" i="11"/>
  <c r="T220" i="11"/>
  <c r="S220" i="11"/>
  <c r="R220" i="11"/>
  <c r="Q220" i="11"/>
  <c r="P220" i="11"/>
  <c r="O220" i="11"/>
  <c r="N220" i="11"/>
  <c r="M220" i="11"/>
  <c r="L220" i="11"/>
  <c r="K220" i="11"/>
  <c r="J220" i="11"/>
  <c r="I220" i="11"/>
  <c r="H220" i="11"/>
  <c r="G220" i="11"/>
  <c r="F220" i="11"/>
  <c r="E220" i="11"/>
  <c r="D220" i="11"/>
  <c r="C220" i="11"/>
  <c r="B220" i="11"/>
  <c r="AG219" i="11"/>
  <c r="J220" i="5" s="1"/>
  <c r="AG218" i="11"/>
  <c r="J219" i="5" s="1"/>
  <c r="AG217" i="11"/>
  <c r="J217" i="5" s="1"/>
  <c r="AG216" i="11"/>
  <c r="J216" i="5" s="1"/>
  <c r="AF215" i="11"/>
  <c r="AE215" i="11"/>
  <c r="AD215" i="11"/>
  <c r="AC215" i="11"/>
  <c r="AB215" i="11"/>
  <c r="AA215" i="11"/>
  <c r="Z215" i="11"/>
  <c r="Y215" i="11"/>
  <c r="X215" i="11"/>
  <c r="W215" i="11"/>
  <c r="V215" i="11"/>
  <c r="U215" i="11"/>
  <c r="T215" i="11"/>
  <c r="S215" i="11"/>
  <c r="R215" i="11"/>
  <c r="Q215" i="11"/>
  <c r="P215" i="11"/>
  <c r="O215" i="11"/>
  <c r="N215" i="11"/>
  <c r="M215" i="11"/>
  <c r="L215" i="11"/>
  <c r="K215" i="11"/>
  <c r="J215" i="11"/>
  <c r="I215" i="11"/>
  <c r="G215" i="11"/>
  <c r="F215" i="11"/>
  <c r="E215" i="11"/>
  <c r="D215" i="11"/>
  <c r="C215" i="11"/>
  <c r="B215" i="11"/>
  <c r="AG214" i="11"/>
  <c r="J214" i="5" s="1"/>
  <c r="AG213" i="11"/>
  <c r="J213" i="5" s="1"/>
  <c r="AG212" i="11"/>
  <c r="J212" i="5" s="1"/>
  <c r="AG211" i="11"/>
  <c r="J211" i="5" s="1"/>
  <c r="AG210" i="11"/>
  <c r="J210" i="5" s="1"/>
  <c r="AF209" i="11"/>
  <c r="AE209" i="11"/>
  <c r="AD209" i="11"/>
  <c r="AC209" i="11"/>
  <c r="AB209" i="11"/>
  <c r="AA209" i="11"/>
  <c r="Z209" i="11"/>
  <c r="Y209" i="11"/>
  <c r="X209" i="11"/>
  <c r="W209" i="11"/>
  <c r="V209" i="11"/>
  <c r="U209" i="11"/>
  <c r="T209" i="11"/>
  <c r="S209" i="11"/>
  <c r="R209" i="11"/>
  <c r="Q209" i="11"/>
  <c r="P209" i="11"/>
  <c r="O209" i="11"/>
  <c r="N209" i="11"/>
  <c r="M209" i="11"/>
  <c r="L209" i="11"/>
  <c r="K209" i="11"/>
  <c r="J209" i="11"/>
  <c r="I209" i="11"/>
  <c r="H209" i="11"/>
  <c r="G209" i="11"/>
  <c r="F209" i="11"/>
  <c r="E209" i="11"/>
  <c r="D209" i="11"/>
  <c r="C209" i="11"/>
  <c r="B209" i="11"/>
  <c r="AG208" i="11"/>
  <c r="J208" i="5" s="1"/>
  <c r="AG207" i="11"/>
  <c r="J207" i="5" s="1"/>
  <c r="AG206" i="11"/>
  <c r="J206" i="5" s="1"/>
  <c r="AG205" i="11"/>
  <c r="J205" i="5" s="1"/>
  <c r="AG204" i="11"/>
  <c r="J204" i="5" s="1"/>
  <c r="AG203" i="11"/>
  <c r="J203" i="5" s="1"/>
  <c r="AG202" i="11"/>
  <c r="J202" i="5" s="1"/>
  <c r="AG201" i="11"/>
  <c r="J201" i="5" s="1"/>
  <c r="AG200" i="11"/>
  <c r="J200" i="5" s="1"/>
  <c r="AG199" i="11"/>
  <c r="J199" i="5" s="1"/>
  <c r="AG198" i="11"/>
  <c r="J198" i="5" s="1"/>
  <c r="AG197" i="11"/>
  <c r="J197" i="5" s="1"/>
  <c r="AG196" i="11"/>
  <c r="J196" i="5" s="1"/>
  <c r="AG195" i="11"/>
  <c r="J195" i="5" s="1"/>
  <c r="AG194" i="11"/>
  <c r="J194" i="5" s="1"/>
  <c r="AG193" i="11"/>
  <c r="J193" i="5" s="1"/>
  <c r="AG192" i="11"/>
  <c r="J192" i="5" s="1"/>
  <c r="AG191" i="11"/>
  <c r="J191" i="5" s="1"/>
  <c r="AG190" i="11"/>
  <c r="J190" i="5" s="1"/>
  <c r="AG189" i="11"/>
  <c r="J189" i="5" s="1"/>
  <c r="AG188" i="11"/>
  <c r="J188" i="5" s="1"/>
  <c r="AG187" i="11"/>
  <c r="J187" i="5" s="1"/>
  <c r="AG186" i="11"/>
  <c r="J186" i="5" s="1"/>
  <c r="AG185" i="11"/>
  <c r="J185" i="5" s="1"/>
  <c r="AG184" i="11"/>
  <c r="J184" i="5" s="1"/>
  <c r="AG183" i="11"/>
  <c r="J183" i="5" s="1"/>
  <c r="AF182" i="11"/>
  <c r="AE182" i="11"/>
  <c r="AD182" i="11"/>
  <c r="AC182" i="11"/>
  <c r="AB182" i="11"/>
  <c r="AA182" i="11"/>
  <c r="Z182" i="11"/>
  <c r="Y182" i="11"/>
  <c r="X182" i="11"/>
  <c r="W182" i="11"/>
  <c r="V182" i="11"/>
  <c r="U182" i="11"/>
  <c r="T182" i="11"/>
  <c r="S182" i="11"/>
  <c r="R182" i="11"/>
  <c r="Q182" i="11"/>
  <c r="P182" i="11"/>
  <c r="O182" i="11"/>
  <c r="N182" i="11"/>
  <c r="M182" i="11"/>
  <c r="L182" i="11"/>
  <c r="K182" i="11"/>
  <c r="J182" i="11"/>
  <c r="I182" i="11"/>
  <c r="H182" i="11"/>
  <c r="G182" i="11"/>
  <c r="F182" i="11"/>
  <c r="E182" i="11"/>
  <c r="D182" i="11"/>
  <c r="C182" i="11"/>
  <c r="B182" i="11"/>
  <c r="AG181" i="11"/>
  <c r="J181" i="5" s="1"/>
  <c r="AG180" i="11"/>
  <c r="J180" i="5" s="1"/>
  <c r="AG179" i="11"/>
  <c r="J179" i="5" s="1"/>
  <c r="AG178" i="11"/>
  <c r="J178" i="5" s="1"/>
  <c r="AF177" i="11"/>
  <c r="AE177" i="11"/>
  <c r="AD177" i="11"/>
  <c r="AC177" i="11"/>
  <c r="AB177" i="11"/>
  <c r="AA177" i="11"/>
  <c r="Z177" i="11"/>
  <c r="Y177" i="11"/>
  <c r="X177" i="11"/>
  <c r="W177" i="11"/>
  <c r="V177" i="11"/>
  <c r="U177" i="11"/>
  <c r="T177" i="11"/>
  <c r="S177" i="11"/>
  <c r="R177" i="11"/>
  <c r="Q177" i="11"/>
  <c r="P177" i="11"/>
  <c r="O177" i="11"/>
  <c r="N177" i="11"/>
  <c r="M177" i="11"/>
  <c r="L177" i="11"/>
  <c r="K177" i="11"/>
  <c r="J177" i="11"/>
  <c r="I177" i="11"/>
  <c r="H177" i="11"/>
  <c r="G177" i="11"/>
  <c r="F177" i="11"/>
  <c r="E177" i="11"/>
  <c r="D177" i="11"/>
  <c r="C177" i="11"/>
  <c r="B177" i="11"/>
  <c r="AG176" i="11"/>
  <c r="J176" i="5" s="1"/>
  <c r="AG175" i="11"/>
  <c r="J175" i="5" s="1"/>
  <c r="AG174" i="11"/>
  <c r="J174" i="5" s="1"/>
  <c r="AF173" i="11"/>
  <c r="AE173" i="11"/>
  <c r="AD173" i="11"/>
  <c r="AC173" i="11"/>
  <c r="AB173" i="11"/>
  <c r="AA173" i="11"/>
  <c r="Z173" i="11"/>
  <c r="Y173" i="11"/>
  <c r="X173" i="11"/>
  <c r="W173" i="11"/>
  <c r="V173" i="11"/>
  <c r="U173" i="11"/>
  <c r="T173" i="11"/>
  <c r="S173" i="11"/>
  <c r="R173" i="11"/>
  <c r="Q173" i="11"/>
  <c r="P173" i="11"/>
  <c r="O173" i="11"/>
  <c r="N173" i="11"/>
  <c r="M173" i="11"/>
  <c r="L173" i="11"/>
  <c r="K173" i="11"/>
  <c r="J173" i="11"/>
  <c r="I173" i="11"/>
  <c r="H173" i="11"/>
  <c r="G173" i="11"/>
  <c r="F173" i="11"/>
  <c r="E173" i="11"/>
  <c r="D173" i="11"/>
  <c r="C173" i="11"/>
  <c r="B173" i="11"/>
  <c r="AG172" i="11"/>
  <c r="J172" i="5" s="1"/>
  <c r="AG171" i="11"/>
  <c r="J171" i="5" s="1"/>
  <c r="AG170" i="11"/>
  <c r="J170" i="5" s="1"/>
  <c r="AG169" i="11"/>
  <c r="J169" i="5" s="1"/>
  <c r="AG168" i="11"/>
  <c r="J168" i="5" s="1"/>
  <c r="AF167" i="11"/>
  <c r="AE167" i="11"/>
  <c r="AD167" i="11"/>
  <c r="AC167" i="11"/>
  <c r="AB167" i="11"/>
  <c r="AA167" i="11"/>
  <c r="Z167" i="11"/>
  <c r="Y167" i="11"/>
  <c r="X167" i="11"/>
  <c r="W167" i="11"/>
  <c r="V167" i="11"/>
  <c r="U167" i="11"/>
  <c r="T167" i="11"/>
  <c r="S167" i="11"/>
  <c r="R167" i="11"/>
  <c r="Q167" i="11"/>
  <c r="P167" i="11"/>
  <c r="O167" i="11"/>
  <c r="N167" i="11"/>
  <c r="M167" i="11"/>
  <c r="L167" i="11"/>
  <c r="K167" i="11"/>
  <c r="J167" i="11"/>
  <c r="I167" i="11"/>
  <c r="H167" i="11"/>
  <c r="G167" i="11"/>
  <c r="F167" i="11"/>
  <c r="E167" i="11"/>
  <c r="D167" i="11"/>
  <c r="C167" i="11"/>
  <c r="B167" i="11"/>
  <c r="AG166" i="11"/>
  <c r="J166" i="5" s="1"/>
  <c r="AG165" i="11"/>
  <c r="J165" i="5" s="1"/>
  <c r="AG164" i="11"/>
  <c r="J164" i="5" s="1"/>
  <c r="AG163" i="11"/>
  <c r="J163" i="5" s="1"/>
  <c r="AG162" i="11"/>
  <c r="J162" i="5" s="1"/>
  <c r="AG161" i="11"/>
  <c r="J161" i="5" s="1"/>
  <c r="AG160" i="11"/>
  <c r="J160" i="5" s="1"/>
  <c r="AG159" i="11"/>
  <c r="J159" i="5" s="1"/>
  <c r="AF158" i="11"/>
  <c r="AE158" i="11"/>
  <c r="AD158" i="11"/>
  <c r="AC158" i="11"/>
  <c r="AB158" i="11"/>
  <c r="AA158" i="11"/>
  <c r="Z158" i="11"/>
  <c r="Y158" i="11"/>
  <c r="X158" i="11"/>
  <c r="W158" i="11"/>
  <c r="V158" i="11"/>
  <c r="U158" i="11"/>
  <c r="T158" i="11"/>
  <c r="S158" i="11"/>
  <c r="R158" i="11"/>
  <c r="Q158" i="11"/>
  <c r="P158" i="11"/>
  <c r="O158" i="11"/>
  <c r="N158" i="11"/>
  <c r="M158" i="11"/>
  <c r="L158" i="11"/>
  <c r="K158" i="11"/>
  <c r="J158" i="11"/>
  <c r="I158" i="11"/>
  <c r="H158" i="11"/>
  <c r="G158" i="11"/>
  <c r="F158" i="11"/>
  <c r="E158" i="11"/>
  <c r="D158" i="11"/>
  <c r="C158" i="11"/>
  <c r="B158" i="11"/>
  <c r="AG157" i="11"/>
  <c r="J157" i="5" s="1"/>
  <c r="AG156" i="11"/>
  <c r="J156" i="5" s="1"/>
  <c r="AG155" i="11"/>
  <c r="J155" i="5" s="1"/>
  <c r="AG154" i="11"/>
  <c r="J154" i="5" s="1"/>
  <c r="AG153" i="11"/>
  <c r="J153" i="5" s="1"/>
  <c r="AG152" i="11"/>
  <c r="J152" i="5" s="1"/>
  <c r="AG151" i="11"/>
  <c r="J151" i="5" s="1"/>
  <c r="AG150" i="11"/>
  <c r="J150" i="5" s="1"/>
  <c r="AG149" i="11"/>
  <c r="J149" i="5" s="1"/>
  <c r="AF148" i="11"/>
  <c r="AF146" i="11" s="1"/>
  <c r="AF144" i="11" s="1"/>
  <c r="AE148" i="11"/>
  <c r="AE146" i="11" s="1"/>
  <c r="AD148" i="11"/>
  <c r="AD146" i="11" s="1"/>
  <c r="AC148" i="11"/>
  <c r="AC146" i="11" s="1"/>
  <c r="AC144" i="11" s="1"/>
  <c r="AB148" i="11"/>
  <c r="AA148" i="11"/>
  <c r="AA146" i="11" s="1"/>
  <c r="Z148" i="11"/>
  <c r="Y148" i="11"/>
  <c r="Y146" i="11" s="1"/>
  <c r="Y144" i="11" s="1"/>
  <c r="X148" i="11"/>
  <c r="X146" i="11" s="1"/>
  <c r="X144" i="11" s="1"/>
  <c r="W148" i="11"/>
  <c r="W146" i="11" s="1"/>
  <c r="V148" i="11"/>
  <c r="U148" i="11"/>
  <c r="U146" i="11" s="1"/>
  <c r="T148" i="11"/>
  <c r="T146" i="11" s="1"/>
  <c r="T144" i="11" s="1"/>
  <c r="S148" i="11"/>
  <c r="S146" i="11" s="1"/>
  <c r="S144" i="11" s="1"/>
  <c r="R148" i="11"/>
  <c r="R146" i="11" s="1"/>
  <c r="Q148" i="11"/>
  <c r="Q146" i="11" s="1"/>
  <c r="P148" i="11"/>
  <c r="P146" i="11" s="1"/>
  <c r="O148" i="11"/>
  <c r="O146" i="11" s="1"/>
  <c r="O144" i="11" s="1"/>
  <c r="N148" i="11"/>
  <c r="N146" i="11" s="1"/>
  <c r="N144" i="11" s="1"/>
  <c r="M148" i="11"/>
  <c r="M146" i="11" s="1"/>
  <c r="L148" i="11"/>
  <c r="L146" i="11" s="1"/>
  <c r="K148" i="11"/>
  <c r="K146" i="11" s="1"/>
  <c r="J148" i="11"/>
  <c r="J146" i="11" s="1"/>
  <c r="J144" i="11" s="1"/>
  <c r="I148" i="11"/>
  <c r="I146" i="11" s="1"/>
  <c r="H148" i="11"/>
  <c r="H146" i="11" s="1"/>
  <c r="H144" i="11" s="1"/>
  <c r="G148" i="11"/>
  <c r="G146" i="11" s="1"/>
  <c r="F148" i="11"/>
  <c r="E148" i="11"/>
  <c r="E146" i="11" s="1"/>
  <c r="E144" i="11" s="1"/>
  <c r="D148" i="11"/>
  <c r="C148" i="11"/>
  <c r="C146" i="11" s="1"/>
  <c r="B148" i="11"/>
  <c r="AE147" i="11"/>
  <c r="AD147" i="11"/>
  <c r="AC147" i="11"/>
  <c r="AB147" i="11"/>
  <c r="AA147" i="11"/>
  <c r="Z147" i="11"/>
  <c r="Y147" i="11"/>
  <c r="X147" i="11"/>
  <c r="W147" i="11"/>
  <c r="V147" i="11"/>
  <c r="U147" i="11"/>
  <c r="T147" i="11"/>
  <c r="S147" i="11"/>
  <c r="R147" i="11"/>
  <c r="Q147" i="11"/>
  <c r="P147" i="11"/>
  <c r="O147" i="11"/>
  <c r="N147" i="11"/>
  <c r="M147" i="11"/>
  <c r="L147" i="11"/>
  <c r="K147" i="11"/>
  <c r="J147" i="11"/>
  <c r="I147" i="11"/>
  <c r="H147" i="11"/>
  <c r="G147" i="11"/>
  <c r="F147" i="11"/>
  <c r="E147" i="11"/>
  <c r="D147" i="11"/>
  <c r="C147" i="11"/>
  <c r="B147" i="11"/>
  <c r="AB146" i="11"/>
  <c r="AB144" i="11" s="1"/>
  <c r="Z146" i="11"/>
  <c r="Z144" i="11" s="1"/>
  <c r="V146" i="11"/>
  <c r="V144" i="11" s="1"/>
  <c r="F146" i="11"/>
  <c r="D146" i="11"/>
  <c r="D144" i="11" s="1"/>
  <c r="B146" i="11"/>
  <c r="AF145" i="11"/>
  <c r="AE145" i="11"/>
  <c r="AD145" i="11"/>
  <c r="AC145" i="11"/>
  <c r="AB145" i="11"/>
  <c r="AA145" i="11"/>
  <c r="Z145" i="11"/>
  <c r="Y145" i="11"/>
  <c r="X145" i="11"/>
  <c r="W145" i="11"/>
  <c r="V145" i="11"/>
  <c r="U145" i="11"/>
  <c r="T145" i="11"/>
  <c r="S145" i="11"/>
  <c r="R145" i="11"/>
  <c r="Q145" i="11"/>
  <c r="P145" i="11"/>
  <c r="O145" i="11"/>
  <c r="N145" i="11"/>
  <c r="M145" i="11"/>
  <c r="L145" i="11"/>
  <c r="K145" i="11"/>
  <c r="J145" i="11"/>
  <c r="I145" i="11"/>
  <c r="H145" i="11"/>
  <c r="G145" i="11"/>
  <c r="F145" i="11"/>
  <c r="E145" i="11"/>
  <c r="D145" i="11"/>
  <c r="C145" i="11"/>
  <c r="B145" i="11"/>
  <c r="AG141" i="11"/>
  <c r="J141" i="5" s="1"/>
  <c r="AG140" i="11"/>
  <c r="J140" i="5" s="1"/>
  <c r="AG139" i="11"/>
  <c r="J139" i="5" s="1"/>
  <c r="AG138" i="11"/>
  <c r="J138" i="5" s="1"/>
  <c r="AG137" i="11"/>
  <c r="J137" i="5" s="1"/>
  <c r="AG136" i="11"/>
  <c r="J136" i="5" s="1"/>
  <c r="AG135" i="11"/>
  <c r="J135" i="5" s="1"/>
  <c r="AG133" i="11"/>
  <c r="J133" i="5" s="1"/>
  <c r="AG132" i="11"/>
  <c r="J132" i="5" s="1"/>
  <c r="AG131" i="11"/>
  <c r="J131" i="5" s="1"/>
  <c r="AF130" i="11"/>
  <c r="AE130" i="11"/>
  <c r="AD130" i="11"/>
  <c r="AC130" i="11"/>
  <c r="AB130" i="11"/>
  <c r="AA130" i="11"/>
  <c r="Z130" i="11"/>
  <c r="Y130" i="11"/>
  <c r="X130" i="11"/>
  <c r="W130" i="11"/>
  <c r="V130" i="11"/>
  <c r="U130" i="11"/>
  <c r="T130" i="11"/>
  <c r="S130" i="11"/>
  <c r="R130" i="11"/>
  <c r="Q130" i="11"/>
  <c r="P130" i="11"/>
  <c r="O130" i="11"/>
  <c r="N130" i="11"/>
  <c r="M130" i="11"/>
  <c r="L130" i="11"/>
  <c r="K130" i="11"/>
  <c r="J130" i="11"/>
  <c r="I130" i="11"/>
  <c r="H130" i="11"/>
  <c r="G130" i="11"/>
  <c r="AG128" i="11"/>
  <c r="J128" i="5" s="1"/>
  <c r="AG127" i="11"/>
  <c r="J127" i="5" s="1"/>
  <c r="AG126" i="11"/>
  <c r="J126" i="5" s="1"/>
  <c r="AG125" i="11"/>
  <c r="J125" i="5" s="1"/>
  <c r="AG124" i="11"/>
  <c r="J124" i="5" s="1"/>
  <c r="AG123" i="11"/>
  <c r="J123" i="5" s="1"/>
  <c r="AG122" i="11"/>
  <c r="J122" i="5" s="1"/>
  <c r="AG121" i="11"/>
  <c r="J121" i="5" s="1"/>
  <c r="AG120" i="11"/>
  <c r="J120" i="5" s="1"/>
  <c r="AG119" i="11"/>
  <c r="J119" i="5" s="1"/>
  <c r="AG118" i="11"/>
  <c r="J118" i="5" s="1"/>
  <c r="AG117" i="11"/>
  <c r="J117" i="5" s="1"/>
  <c r="AF116" i="11"/>
  <c r="AE116" i="11"/>
  <c r="AD116" i="11"/>
  <c r="AC116" i="11"/>
  <c r="AB116" i="11"/>
  <c r="AA116" i="11"/>
  <c r="Z116" i="11"/>
  <c r="Y116" i="11"/>
  <c r="X116" i="11"/>
  <c r="W116" i="11"/>
  <c r="V116" i="11"/>
  <c r="U116" i="11"/>
  <c r="T116" i="11"/>
  <c r="S116" i="11"/>
  <c r="R116" i="11"/>
  <c r="Q116" i="11"/>
  <c r="P116" i="11"/>
  <c r="O116" i="11"/>
  <c r="N116" i="11"/>
  <c r="M116" i="11"/>
  <c r="L116" i="11"/>
  <c r="K116" i="11"/>
  <c r="J116" i="11"/>
  <c r="I116" i="11"/>
  <c r="H116" i="11"/>
  <c r="G116" i="11"/>
  <c r="F116" i="11"/>
  <c r="C116" i="11"/>
  <c r="AG115" i="11"/>
  <c r="J115" i="5" s="1"/>
  <c r="AG114" i="11"/>
  <c r="J114" i="5" s="1"/>
  <c r="AG113" i="11"/>
  <c r="J113" i="5" s="1"/>
  <c r="AG112" i="11"/>
  <c r="J112" i="5" s="1"/>
  <c r="AG111" i="11"/>
  <c r="J111" i="5" s="1"/>
  <c r="AG110" i="11"/>
  <c r="J110" i="5" s="1"/>
  <c r="AG109" i="11"/>
  <c r="J109" i="5" s="1"/>
  <c r="AG108" i="11"/>
  <c r="J108" i="5" s="1"/>
  <c r="AG107" i="11"/>
  <c r="J107" i="5" s="1"/>
  <c r="AG106" i="11"/>
  <c r="J106" i="5" s="1"/>
  <c r="AG105" i="11"/>
  <c r="J105" i="5" s="1"/>
  <c r="AG104" i="11"/>
  <c r="J104" i="5" s="1"/>
  <c r="AG103" i="11"/>
  <c r="J103" i="5" s="1"/>
  <c r="AG102" i="11"/>
  <c r="J102" i="5" s="1"/>
  <c r="AG101" i="11"/>
  <c r="J101" i="5" s="1"/>
  <c r="AF100" i="11"/>
  <c r="AE100" i="11"/>
  <c r="AD100" i="11"/>
  <c r="AC100" i="11"/>
  <c r="AB100" i="11"/>
  <c r="AA100" i="11"/>
  <c r="Z100" i="11"/>
  <c r="Y100" i="11"/>
  <c r="X100" i="11"/>
  <c r="W100" i="11"/>
  <c r="V100" i="11"/>
  <c r="U100" i="11"/>
  <c r="T100" i="11"/>
  <c r="S100" i="11"/>
  <c r="S93" i="11" s="1"/>
  <c r="R100" i="11"/>
  <c r="Q100" i="11"/>
  <c r="P100" i="11"/>
  <c r="O100" i="11"/>
  <c r="N100" i="11"/>
  <c r="N93" i="11" s="1"/>
  <c r="M100" i="11"/>
  <c r="L100" i="11"/>
  <c r="K100" i="11"/>
  <c r="J100" i="11"/>
  <c r="I100" i="11"/>
  <c r="H100" i="11"/>
  <c r="G100" i="11"/>
  <c r="F100" i="11"/>
  <c r="E100" i="11"/>
  <c r="D100" i="11"/>
  <c r="C100" i="11"/>
  <c r="C93" i="11" s="1"/>
  <c r="B100" i="11"/>
  <c r="AG99" i="11"/>
  <c r="J99" i="5" s="1"/>
  <c r="AG98" i="11"/>
  <c r="J98" i="5" s="1"/>
  <c r="AG97" i="11"/>
  <c r="J97" i="5" s="1"/>
  <c r="AG96" i="11"/>
  <c r="J96" i="5" s="1"/>
  <c r="AG95" i="11"/>
  <c r="J95" i="5" s="1"/>
  <c r="AF94" i="11"/>
  <c r="AE94" i="11"/>
  <c r="AD94" i="11"/>
  <c r="AC94" i="11"/>
  <c r="AB94" i="11"/>
  <c r="AA94" i="11"/>
  <c r="AA93" i="11" s="1"/>
  <c r="Z94" i="11"/>
  <c r="Y94" i="11"/>
  <c r="X94" i="11"/>
  <c r="W94" i="11"/>
  <c r="V94" i="11"/>
  <c r="U94" i="11"/>
  <c r="T94" i="11"/>
  <c r="S94" i="11"/>
  <c r="R94" i="11"/>
  <c r="R93" i="11" s="1"/>
  <c r="Q94" i="11"/>
  <c r="P94" i="11"/>
  <c r="O94" i="11"/>
  <c r="N94" i="11"/>
  <c r="M94" i="11"/>
  <c r="L94" i="11"/>
  <c r="K94" i="11"/>
  <c r="K93" i="11" s="1"/>
  <c r="J94" i="11"/>
  <c r="J93" i="11" s="1"/>
  <c r="I94" i="11"/>
  <c r="H94" i="11"/>
  <c r="G94" i="11"/>
  <c r="F94" i="11"/>
  <c r="E94" i="11"/>
  <c r="D94" i="11"/>
  <c r="C94" i="11"/>
  <c r="B94" i="11"/>
  <c r="E93" i="11"/>
  <c r="AG92" i="11"/>
  <c r="J92" i="5" s="1"/>
  <c r="AG91" i="11"/>
  <c r="J91" i="5" s="1"/>
  <c r="AG90" i="11"/>
  <c r="J90" i="5" s="1"/>
  <c r="AG89" i="11"/>
  <c r="J89" i="5" s="1"/>
  <c r="AG88" i="11"/>
  <c r="J88" i="5" s="1"/>
  <c r="AF87" i="11"/>
  <c r="AE87" i="11"/>
  <c r="AD87" i="11"/>
  <c r="AC87" i="11"/>
  <c r="AB87" i="11"/>
  <c r="AA87" i="11"/>
  <c r="Z87" i="11"/>
  <c r="Y87" i="11"/>
  <c r="X87" i="11"/>
  <c r="W87" i="11"/>
  <c r="V87" i="11"/>
  <c r="U87" i="11"/>
  <c r="T87" i="11"/>
  <c r="S87" i="11"/>
  <c r="R87" i="11"/>
  <c r="Q87" i="11"/>
  <c r="P87" i="11"/>
  <c r="O87" i="11"/>
  <c r="N87" i="11"/>
  <c r="M87" i="11"/>
  <c r="L87" i="11"/>
  <c r="K87" i="11"/>
  <c r="J87" i="11"/>
  <c r="I87" i="11"/>
  <c r="H87" i="11"/>
  <c r="G87" i="11"/>
  <c r="F87" i="11"/>
  <c r="E87" i="11"/>
  <c r="D87" i="11"/>
  <c r="C87" i="11"/>
  <c r="B87" i="11"/>
  <c r="AG86" i="11"/>
  <c r="J86" i="5" s="1"/>
  <c r="AG85" i="11"/>
  <c r="J85" i="5" s="1"/>
  <c r="AF84" i="11"/>
  <c r="AE84" i="11"/>
  <c r="AD84" i="11"/>
  <c r="AC84" i="11"/>
  <c r="AB84" i="11"/>
  <c r="AA84" i="11"/>
  <c r="Z84" i="11"/>
  <c r="Y84" i="11"/>
  <c r="X84" i="11"/>
  <c r="W84" i="11"/>
  <c r="V84" i="11"/>
  <c r="U84" i="11"/>
  <c r="T84" i="11"/>
  <c r="S84" i="11"/>
  <c r="R84" i="11"/>
  <c r="Q84" i="11"/>
  <c r="P84" i="11"/>
  <c r="O84" i="11"/>
  <c r="N84" i="11"/>
  <c r="M84" i="11"/>
  <c r="L84" i="11"/>
  <c r="K84" i="11"/>
  <c r="J84" i="11"/>
  <c r="I84" i="11"/>
  <c r="H84" i="11"/>
  <c r="G84" i="11"/>
  <c r="F84" i="11"/>
  <c r="E84" i="11"/>
  <c r="D84" i="11"/>
  <c r="C84" i="11"/>
  <c r="B84" i="11"/>
  <c r="AF82" i="11"/>
  <c r="AF83" i="11" s="1"/>
  <c r="AF81" i="11" s="1"/>
  <c r="AE82" i="11"/>
  <c r="AE83" i="11" s="1"/>
  <c r="AE81" i="11" s="1"/>
  <c r="AD82" i="11"/>
  <c r="AD83" i="11" s="1"/>
  <c r="AC82" i="11"/>
  <c r="AC83" i="11" s="1"/>
  <c r="AC81" i="11" s="1"/>
  <c r="AB82" i="11"/>
  <c r="AB83" i="11" s="1"/>
  <c r="AB81" i="11" s="1"/>
  <c r="AA83" i="11"/>
  <c r="AA81" i="11" s="1"/>
  <c r="Z83" i="11"/>
  <c r="Z81" i="11" s="1"/>
  <c r="Y82" i="11"/>
  <c r="Y83" i="11" s="1"/>
  <c r="Y81" i="11" s="1"/>
  <c r="X82" i="11"/>
  <c r="X83" i="11" s="1"/>
  <c r="X81" i="11" s="1"/>
  <c r="W82" i="11"/>
  <c r="W83" i="11" s="1"/>
  <c r="W81" i="11" s="1"/>
  <c r="V82" i="11"/>
  <c r="V83" i="11" s="1"/>
  <c r="U82" i="11"/>
  <c r="U83" i="11" s="1"/>
  <c r="U81" i="11" s="1"/>
  <c r="T83" i="11"/>
  <c r="T81" i="11" s="1"/>
  <c r="S83" i="11"/>
  <c r="S81" i="11" s="1"/>
  <c r="R83" i="11"/>
  <c r="R81" i="11" s="1"/>
  <c r="Q82" i="11"/>
  <c r="Q83" i="11" s="1"/>
  <c r="Q81" i="11" s="1"/>
  <c r="P82" i="11"/>
  <c r="P83" i="11" s="1"/>
  <c r="P81" i="11" s="1"/>
  <c r="O82" i="11"/>
  <c r="O83" i="11" s="1"/>
  <c r="O81" i="11" s="1"/>
  <c r="N82" i="11"/>
  <c r="M83" i="11"/>
  <c r="M81" i="11" s="1"/>
  <c r="L83" i="11"/>
  <c r="L81" i="11" s="1"/>
  <c r="K82" i="11"/>
  <c r="K83" i="11" s="1"/>
  <c r="K81" i="11" s="1"/>
  <c r="J82" i="11"/>
  <c r="J83" i="11" s="1"/>
  <c r="J81" i="11" s="1"/>
  <c r="I82" i="11"/>
  <c r="I83" i="11" s="1"/>
  <c r="I81" i="11" s="1"/>
  <c r="H82" i="11"/>
  <c r="H83" i="11" s="1"/>
  <c r="H81" i="11" s="1"/>
  <c r="G82" i="11"/>
  <c r="G83" i="11" s="1"/>
  <c r="G81" i="11" s="1"/>
  <c r="F83" i="11"/>
  <c r="E83" i="11"/>
  <c r="E81" i="11" s="1"/>
  <c r="D82" i="11"/>
  <c r="D83" i="11" s="1"/>
  <c r="D81" i="11" s="1"/>
  <c r="C82" i="11"/>
  <c r="C83" i="11" s="1"/>
  <c r="C81" i="11" s="1"/>
  <c r="B82" i="11"/>
  <c r="AF80" i="11"/>
  <c r="AF79" i="11" s="1"/>
  <c r="AF78" i="11" s="1"/>
  <c r="AC80" i="11"/>
  <c r="AC79" i="11" s="1"/>
  <c r="AC78" i="11" s="1"/>
  <c r="AB80" i="11"/>
  <c r="AB79" i="11" s="1"/>
  <c r="AB78" i="11" s="1"/>
  <c r="AA80" i="11"/>
  <c r="AA79" i="11" s="1"/>
  <c r="AA78" i="11" s="1"/>
  <c r="Y80" i="11"/>
  <c r="Y79" i="11" s="1"/>
  <c r="Y78" i="11" s="1"/>
  <c r="V80" i="11"/>
  <c r="V79" i="11" s="1"/>
  <c r="V78" i="11" s="1"/>
  <c r="U80" i="11"/>
  <c r="U79" i="11" s="1"/>
  <c r="U78" i="11" s="1"/>
  <c r="T80" i="11"/>
  <c r="T79" i="11" s="1"/>
  <c r="T78" i="11" s="1"/>
  <c r="S80" i="11"/>
  <c r="S79" i="11" s="1"/>
  <c r="S78" i="11" s="1"/>
  <c r="R80" i="11"/>
  <c r="R79" i="11" s="1"/>
  <c r="R78" i="11" s="1"/>
  <c r="O80" i="11"/>
  <c r="O79" i="11" s="1"/>
  <c r="O78" i="11" s="1"/>
  <c r="N80" i="11"/>
  <c r="N79" i="11" s="1"/>
  <c r="N78" i="11" s="1"/>
  <c r="M80" i="11"/>
  <c r="M79" i="11" s="1"/>
  <c r="M78" i="11" s="1"/>
  <c r="H80" i="11"/>
  <c r="G80" i="11"/>
  <c r="G79" i="11" s="1"/>
  <c r="G78" i="11" s="1"/>
  <c r="F80" i="11"/>
  <c r="F79" i="11" s="1"/>
  <c r="F78" i="11" s="1"/>
  <c r="AE79" i="11"/>
  <c r="AE78" i="11" s="1"/>
  <c r="AD79" i="11"/>
  <c r="AD78" i="11" s="1"/>
  <c r="Z79" i="11"/>
  <c r="Z78" i="11" s="1"/>
  <c r="X79" i="11"/>
  <c r="X78" i="11" s="1"/>
  <c r="W79" i="11"/>
  <c r="W78" i="11" s="1"/>
  <c r="Q79" i="11"/>
  <c r="Q78" i="11" s="1"/>
  <c r="P79" i="11"/>
  <c r="P78" i="11" s="1"/>
  <c r="L79" i="11"/>
  <c r="L78" i="11" s="1"/>
  <c r="K79" i="11"/>
  <c r="K78" i="11" s="1"/>
  <c r="J79" i="11"/>
  <c r="J78" i="11" s="1"/>
  <c r="I79" i="11"/>
  <c r="I78" i="11" s="1"/>
  <c r="H79" i="11"/>
  <c r="H78" i="11" s="1"/>
  <c r="E79" i="11"/>
  <c r="E78" i="11" s="1"/>
  <c r="D79" i="11"/>
  <c r="D78" i="11" s="1"/>
  <c r="C79" i="11"/>
  <c r="C78" i="11" s="1"/>
  <c r="B79" i="11"/>
  <c r="B78" i="11" s="1"/>
  <c r="AG77" i="11"/>
  <c r="J77" i="5" s="1"/>
  <c r="AG76" i="11"/>
  <c r="J76" i="5" s="1"/>
  <c r="AG75" i="11"/>
  <c r="J75" i="5" s="1"/>
  <c r="AG74" i="11"/>
  <c r="J74" i="5" s="1"/>
  <c r="AG73" i="11"/>
  <c r="J73" i="5" s="1"/>
  <c r="AG72" i="11"/>
  <c r="J72" i="5" s="1"/>
  <c r="AG71" i="11"/>
  <c r="J71" i="5" s="1"/>
  <c r="AG70" i="11"/>
  <c r="J70" i="5" s="1"/>
  <c r="AG69" i="11"/>
  <c r="J69" i="5" s="1"/>
  <c r="AG68" i="11"/>
  <c r="J68" i="5" s="1"/>
  <c r="AG67" i="11"/>
  <c r="J67" i="5" s="1"/>
  <c r="AG66" i="11"/>
  <c r="J66" i="5" s="1"/>
  <c r="AG65" i="11"/>
  <c r="J65" i="5" s="1"/>
  <c r="AG64" i="11"/>
  <c r="J64" i="5" s="1"/>
  <c r="AG63" i="11"/>
  <c r="J63" i="5" s="1"/>
  <c r="AG62" i="11"/>
  <c r="J62" i="5" s="1"/>
  <c r="AG61" i="11"/>
  <c r="J61" i="5" s="1"/>
  <c r="AG60" i="11"/>
  <c r="J60" i="5" s="1"/>
  <c r="AG59" i="11"/>
  <c r="J59" i="5" s="1"/>
  <c r="AG58" i="11"/>
  <c r="J58" i="5" s="1"/>
  <c r="AG57" i="11"/>
  <c r="J57" i="5" s="1"/>
  <c r="AG56" i="11"/>
  <c r="J56" i="5" s="1"/>
  <c r="AG55" i="11"/>
  <c r="J55" i="5" s="1"/>
  <c r="AG54" i="11"/>
  <c r="J54" i="5" s="1"/>
  <c r="AF53" i="11"/>
  <c r="AE53" i="11"/>
  <c r="AD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O53" i="11"/>
  <c r="N53" i="11"/>
  <c r="M53" i="11"/>
  <c r="L53" i="11"/>
  <c r="K53" i="11"/>
  <c r="J53" i="11"/>
  <c r="I53" i="11"/>
  <c r="H53" i="11"/>
  <c r="G53" i="11"/>
  <c r="F53" i="11"/>
  <c r="E53" i="11"/>
  <c r="D53" i="11"/>
  <c r="C53" i="11"/>
  <c r="B53" i="11"/>
  <c r="AG52" i="11"/>
  <c r="J52" i="5" s="1"/>
  <c r="AG51" i="11"/>
  <c r="J51" i="5" s="1"/>
  <c r="AG50" i="11"/>
  <c r="J50" i="5" s="1"/>
  <c r="AG49" i="11"/>
  <c r="J49" i="5" s="1"/>
  <c r="AG48" i="11"/>
  <c r="J48" i="5" s="1"/>
  <c r="AG47" i="11"/>
  <c r="J47" i="5" s="1"/>
  <c r="AG46" i="11"/>
  <c r="J46" i="5" s="1"/>
  <c r="AG45" i="11"/>
  <c r="J45" i="5" s="1"/>
  <c r="AG44" i="11"/>
  <c r="J44" i="5" s="1"/>
  <c r="AG43" i="11"/>
  <c r="J43" i="5" s="1"/>
  <c r="AG42" i="11"/>
  <c r="J42" i="5" s="1"/>
  <c r="AG41" i="11"/>
  <c r="J41" i="5" s="1"/>
  <c r="AG40" i="11"/>
  <c r="J40" i="5" s="1"/>
  <c r="AG39" i="11"/>
  <c r="J39" i="5" s="1"/>
  <c r="AG38" i="11"/>
  <c r="J38" i="5" s="1"/>
  <c r="AG37" i="11"/>
  <c r="J37" i="5" s="1"/>
  <c r="AG36" i="11"/>
  <c r="J36" i="5" s="1"/>
  <c r="AG35" i="11"/>
  <c r="J35" i="5" s="1"/>
  <c r="AG34" i="11"/>
  <c r="J34" i="5" s="1"/>
  <c r="AG33" i="11"/>
  <c r="J33" i="5" s="1"/>
  <c r="AG32" i="11"/>
  <c r="J32" i="5" s="1"/>
  <c r="AG31" i="11"/>
  <c r="J31" i="5" s="1"/>
  <c r="AG30" i="11"/>
  <c r="J30" i="5" s="1"/>
  <c r="AG29" i="11"/>
  <c r="J29" i="5" s="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B28" i="11"/>
  <c r="AG27" i="11"/>
  <c r="J27" i="5" s="1"/>
  <c r="AG26" i="11"/>
  <c r="J26" i="5" s="1"/>
  <c r="AG25" i="11"/>
  <c r="J25" i="5" s="1"/>
  <c r="AG24" i="11"/>
  <c r="J24" i="5" s="1"/>
  <c r="AG23" i="11"/>
  <c r="J23" i="5" s="1"/>
  <c r="AG22" i="11"/>
  <c r="J22" i="5" s="1"/>
  <c r="AG21" i="11"/>
  <c r="J21" i="5" s="1"/>
  <c r="AG20" i="11"/>
  <c r="J20" i="5" s="1"/>
  <c r="AG19" i="11"/>
  <c r="J19" i="5" s="1"/>
  <c r="AG18" i="11"/>
  <c r="J18" i="5" s="1"/>
  <c r="AG17" i="11"/>
  <c r="J17" i="5" s="1"/>
  <c r="AG16" i="11"/>
  <c r="J16" i="5" s="1"/>
  <c r="AG15" i="11"/>
  <c r="J15" i="5" s="1"/>
  <c r="AG14" i="11"/>
  <c r="J14" i="5" s="1"/>
  <c r="AG13" i="11"/>
  <c r="J13" i="5" s="1"/>
  <c r="AG12" i="11"/>
  <c r="J12" i="5" s="1"/>
  <c r="AG11" i="11"/>
  <c r="J11" i="5" s="1"/>
  <c r="AG10" i="11"/>
  <c r="J10" i="5" s="1"/>
  <c r="AG9" i="11"/>
  <c r="J9" i="5" s="1"/>
  <c r="AG8" i="11"/>
  <c r="J8" i="5" s="1"/>
  <c r="AG7" i="11"/>
  <c r="J7" i="5" s="1"/>
  <c r="AG6" i="11"/>
  <c r="J6" i="5" s="1"/>
  <c r="AG5" i="11"/>
  <c r="J5" i="5" s="1"/>
  <c r="AG4" i="11"/>
  <c r="J4" i="5" s="1"/>
  <c r="AF3" i="11"/>
  <c r="AE3" i="11"/>
  <c r="AD3" i="11"/>
  <c r="AC3" i="11"/>
  <c r="AB3" i="11"/>
  <c r="AA3" i="11"/>
  <c r="Z3" i="11"/>
  <c r="Y3" i="11"/>
  <c r="X3" i="11"/>
  <c r="W3" i="11"/>
  <c r="V3" i="11"/>
  <c r="U3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E3" i="11"/>
  <c r="D3" i="11"/>
  <c r="C3" i="11"/>
  <c r="B3" i="11"/>
  <c r="AC2" i="11"/>
  <c r="C2" i="11"/>
  <c r="D2" i="11" s="1"/>
  <c r="E2" i="11" s="1"/>
  <c r="F2" i="11" s="1"/>
  <c r="G2" i="11" s="1"/>
  <c r="H2" i="11" s="1"/>
  <c r="I2" i="11" s="1"/>
  <c r="J2" i="11" s="1"/>
  <c r="K2" i="11" s="1"/>
  <c r="L2" i="11" s="1"/>
  <c r="M2" i="11" s="1"/>
  <c r="N2" i="11" s="1"/>
  <c r="O2" i="11" s="1"/>
  <c r="P2" i="11" s="1"/>
  <c r="Q2" i="11" s="1"/>
  <c r="R2" i="11" s="1"/>
  <c r="S2" i="11" s="1"/>
  <c r="T2" i="11" s="1"/>
  <c r="U2" i="11" s="1"/>
  <c r="V2" i="11" s="1"/>
  <c r="W2" i="11" s="1"/>
  <c r="X2" i="11" s="1"/>
  <c r="Y2" i="11" s="1"/>
  <c r="Z2" i="11" s="1"/>
  <c r="AA2" i="11" s="1"/>
  <c r="AF134" i="10"/>
  <c r="AF142" i="10"/>
  <c r="AF143" i="10"/>
  <c r="AF129" i="10"/>
  <c r="AE134" i="10"/>
  <c r="AE142" i="10"/>
  <c r="AE143" i="10"/>
  <c r="AE129" i="10"/>
  <c r="AD134" i="10"/>
  <c r="AD142" i="10"/>
  <c r="AD137" i="10"/>
  <c r="AC142" i="10"/>
  <c r="AC134" i="10"/>
  <c r="AC143" i="10"/>
  <c r="AC129" i="10"/>
  <c r="AA134" i="10"/>
  <c r="AA142" i="10"/>
  <c r="AB142" i="10"/>
  <c r="AB143" i="10"/>
  <c r="AB129" i="10"/>
  <c r="AG218" i="1"/>
  <c r="N218" i="5"/>
  <c r="AG218" i="10"/>
  <c r="I219" i="5" s="1"/>
  <c r="Z93" i="11" l="1"/>
  <c r="K144" i="11"/>
  <c r="AE144" i="11"/>
  <c r="AE93" i="11"/>
  <c r="M144" i="11"/>
  <c r="R144" i="11"/>
  <c r="F130" i="11"/>
  <c r="AD144" i="11"/>
  <c r="V93" i="11"/>
  <c r="C144" i="11"/>
  <c r="W144" i="11"/>
  <c r="B130" i="11"/>
  <c r="F144" i="11"/>
  <c r="G144" i="11"/>
  <c r="AD93" i="11"/>
  <c r="AC93" i="11"/>
  <c r="U93" i="11"/>
  <c r="Q93" i="11"/>
  <c r="Y93" i="11"/>
  <c r="AG148" i="11"/>
  <c r="J148" i="5" s="1"/>
  <c r="F93" i="11"/>
  <c r="B93" i="11"/>
  <c r="AA144" i="11"/>
  <c r="AD81" i="11"/>
  <c r="AG147" i="11"/>
  <c r="J147" i="5" s="1"/>
  <c r="E130" i="11"/>
  <c r="P144" i="11"/>
  <c r="AG142" i="11"/>
  <c r="J142" i="5" s="1"/>
  <c r="AB93" i="11"/>
  <c r="P93" i="11"/>
  <c r="X93" i="11"/>
  <c r="AF93" i="11"/>
  <c r="Q144" i="11"/>
  <c r="D130" i="11"/>
  <c r="W93" i="11"/>
  <c r="AG215" i="11"/>
  <c r="J215" i="5" s="1"/>
  <c r="AG220" i="11"/>
  <c r="J221" i="5" s="1"/>
  <c r="AG224" i="11"/>
  <c r="J225" i="5" s="1"/>
  <c r="U144" i="11"/>
  <c r="T93" i="11"/>
  <c r="O93" i="11"/>
  <c r="M93" i="11"/>
  <c r="L144" i="11"/>
  <c r="L93" i="11"/>
  <c r="AG167" i="11"/>
  <c r="J167" i="5" s="1"/>
  <c r="I144" i="11"/>
  <c r="AG158" i="11"/>
  <c r="J158" i="5" s="1"/>
  <c r="I93" i="11"/>
  <c r="H93" i="11"/>
  <c r="AG134" i="11"/>
  <c r="J134" i="5" s="1"/>
  <c r="AG129" i="11"/>
  <c r="J129" i="5" s="1"/>
  <c r="AG209" i="11"/>
  <c r="J209" i="5" s="1"/>
  <c r="AG177" i="11"/>
  <c r="J177" i="5" s="1"/>
  <c r="AG145" i="11"/>
  <c r="J145" i="5" s="1"/>
  <c r="D93" i="11"/>
  <c r="AG84" i="11"/>
  <c r="J84" i="5" s="1"/>
  <c r="AG182" i="11"/>
  <c r="J182" i="5" s="1"/>
  <c r="AG116" i="11"/>
  <c r="J116" i="5" s="1"/>
  <c r="AG94" i="11"/>
  <c r="J94" i="5" s="1"/>
  <c r="AG53" i="11"/>
  <c r="J53" i="5" s="1"/>
  <c r="AG82" i="11"/>
  <c r="J82" i="5" s="1"/>
  <c r="AG173" i="11"/>
  <c r="J173" i="5" s="1"/>
  <c r="B144" i="11"/>
  <c r="AG130" i="11"/>
  <c r="J130" i="5" s="1"/>
  <c r="AG100" i="11"/>
  <c r="J100" i="5" s="1"/>
  <c r="AG87" i="11"/>
  <c r="J87" i="5" s="1"/>
  <c r="AG28" i="11"/>
  <c r="J28" i="5" s="1"/>
  <c r="AG3" i="11"/>
  <c r="J3" i="5" s="1"/>
  <c r="AG78" i="11"/>
  <c r="J78" i="5" s="1"/>
  <c r="AG79" i="11"/>
  <c r="J79" i="5" s="1"/>
  <c r="B83" i="11"/>
  <c r="N83" i="11"/>
  <c r="N81" i="11" s="1"/>
  <c r="AG80" i="11"/>
  <c r="J80" i="5" s="1"/>
  <c r="F81" i="11"/>
  <c r="V81" i="11"/>
  <c r="G93" i="11"/>
  <c r="Z134" i="10"/>
  <c r="Z142" i="10"/>
  <c r="Z143" i="10"/>
  <c r="Z129" i="10"/>
  <c r="Z116" i="10" s="1"/>
  <c r="Y134" i="10"/>
  <c r="Y142" i="10"/>
  <c r="Y143" i="10"/>
  <c r="Y129" i="10"/>
  <c r="Y116" i="10" s="1"/>
  <c r="X142" i="10"/>
  <c r="X143" i="10"/>
  <c r="X129" i="10"/>
  <c r="W142" i="10"/>
  <c r="W143" i="10"/>
  <c r="W130" i="10" s="1"/>
  <c r="W129" i="10"/>
  <c r="W87" i="10"/>
  <c r="V134" i="10"/>
  <c r="V142" i="10"/>
  <c r="V143" i="10"/>
  <c r="V130" i="10" s="1"/>
  <c r="V129" i="10"/>
  <c r="V116" i="10" s="1"/>
  <c r="V84" i="10"/>
  <c r="U134" i="10"/>
  <c r="U130" i="10" s="1"/>
  <c r="U142" i="10"/>
  <c r="U143" i="10"/>
  <c r="U129" i="10"/>
  <c r="T134" i="10"/>
  <c r="T142" i="10"/>
  <c r="T143" i="10"/>
  <c r="T129" i="10"/>
  <c r="T116" i="10" s="1"/>
  <c r="S142" i="10"/>
  <c r="S143" i="10"/>
  <c r="S129" i="10"/>
  <c r="S116" i="10" s="1"/>
  <c r="R134" i="10"/>
  <c r="R142" i="10"/>
  <c r="R143" i="10"/>
  <c r="R129" i="10"/>
  <c r="R116" i="10" s="1"/>
  <c r="Q134" i="10"/>
  <c r="Q142" i="10"/>
  <c r="Q143" i="10"/>
  <c r="Q129" i="10"/>
  <c r="Q116" i="10" s="1"/>
  <c r="P134" i="10"/>
  <c r="P142" i="10"/>
  <c r="P143" i="10"/>
  <c r="P129" i="10"/>
  <c r="P116" i="10" s="1"/>
  <c r="O134" i="10"/>
  <c r="O142" i="10"/>
  <c r="O143" i="10"/>
  <c r="O129" i="10"/>
  <c r="N134" i="10"/>
  <c r="N142" i="10"/>
  <c r="N143" i="10"/>
  <c r="N129" i="10"/>
  <c r="N116" i="10" s="1"/>
  <c r="M134" i="10"/>
  <c r="M142" i="10"/>
  <c r="M143" i="10"/>
  <c r="U100" i="10"/>
  <c r="M129" i="10"/>
  <c r="L134" i="10"/>
  <c r="L142" i="10"/>
  <c r="L130" i="10" s="1"/>
  <c r="L143" i="10"/>
  <c r="L129" i="10"/>
  <c r="K134" i="10"/>
  <c r="K142" i="10"/>
  <c r="K143" i="10"/>
  <c r="K130" i="10" s="1"/>
  <c r="K129" i="10"/>
  <c r="K116" i="10" s="1"/>
  <c r="J134" i="10"/>
  <c r="J142" i="10"/>
  <c r="J143" i="10"/>
  <c r="J129" i="10"/>
  <c r="J116" i="10" s="1"/>
  <c r="I134" i="10"/>
  <c r="I142" i="10"/>
  <c r="I139" i="10"/>
  <c r="I143" i="10"/>
  <c r="I129" i="10"/>
  <c r="H171" i="10"/>
  <c r="H167" i="10" s="1"/>
  <c r="H134" i="10"/>
  <c r="H142" i="10"/>
  <c r="H137" i="10"/>
  <c r="H143" i="10"/>
  <c r="H129" i="10"/>
  <c r="H116" i="10" s="1"/>
  <c r="G134" i="10"/>
  <c r="G143" i="10"/>
  <c r="G129" i="10"/>
  <c r="G116" i="10" s="1"/>
  <c r="F134" i="10"/>
  <c r="F142" i="10"/>
  <c r="F143" i="10"/>
  <c r="F129" i="10"/>
  <c r="F116" i="10" s="1"/>
  <c r="E134" i="10"/>
  <c r="E142" i="10"/>
  <c r="E130" i="10" s="1"/>
  <c r="E143" i="10"/>
  <c r="E129" i="10"/>
  <c r="D134" i="10"/>
  <c r="D142" i="10"/>
  <c r="D137" i="10"/>
  <c r="D143" i="10"/>
  <c r="D129" i="10"/>
  <c r="D116" i="10" s="1"/>
  <c r="C134" i="10"/>
  <c r="C142" i="10"/>
  <c r="C143" i="10"/>
  <c r="C129" i="10"/>
  <c r="B134" i="10"/>
  <c r="B142" i="10"/>
  <c r="B143" i="10"/>
  <c r="B129" i="10"/>
  <c r="B116" i="10" s="1"/>
  <c r="AG227" i="10"/>
  <c r="AG226" i="10"/>
  <c r="I227" i="5" s="1"/>
  <c r="AG225" i="10"/>
  <c r="I226" i="5" s="1"/>
  <c r="AF224" i="10"/>
  <c r="AE224" i="10"/>
  <c r="AD224" i="10"/>
  <c r="AC224" i="10"/>
  <c r="AB224" i="10"/>
  <c r="AA224" i="10"/>
  <c r="Z224" i="10"/>
  <c r="Y224" i="10"/>
  <c r="X224" i="10"/>
  <c r="W224" i="10"/>
  <c r="V224" i="10"/>
  <c r="U224" i="10"/>
  <c r="T224" i="10"/>
  <c r="S224" i="10"/>
  <c r="R224" i="10"/>
  <c r="Q224" i="10"/>
  <c r="P224" i="10"/>
  <c r="O224" i="10"/>
  <c r="N224" i="10"/>
  <c r="M224" i="10"/>
  <c r="L224" i="10"/>
  <c r="K224" i="10"/>
  <c r="J224" i="10"/>
  <c r="I224" i="10"/>
  <c r="H224" i="10"/>
  <c r="G224" i="10"/>
  <c r="F224" i="10"/>
  <c r="E224" i="10"/>
  <c r="D224" i="10"/>
  <c r="C224" i="10"/>
  <c r="B224" i="10"/>
  <c r="AG223" i="10"/>
  <c r="I224" i="5" s="1"/>
  <c r="AG222" i="10"/>
  <c r="I223" i="5" s="1"/>
  <c r="AG221" i="10"/>
  <c r="I222" i="5" s="1"/>
  <c r="AF220" i="10"/>
  <c r="AE220" i="10"/>
  <c r="AD220" i="10"/>
  <c r="AC220" i="10"/>
  <c r="AB220" i="10"/>
  <c r="AA220" i="10"/>
  <c r="Z220" i="10"/>
  <c r="Y220" i="10"/>
  <c r="X220" i="10"/>
  <c r="W220" i="10"/>
  <c r="V220" i="10"/>
  <c r="U220" i="10"/>
  <c r="T220" i="10"/>
  <c r="S220" i="10"/>
  <c r="R220" i="10"/>
  <c r="Q220" i="10"/>
  <c r="P220" i="10"/>
  <c r="O220" i="10"/>
  <c r="N220" i="10"/>
  <c r="M220" i="10"/>
  <c r="L220" i="10"/>
  <c r="K220" i="10"/>
  <c r="J220" i="10"/>
  <c r="I220" i="10"/>
  <c r="H220" i="10"/>
  <c r="G220" i="10"/>
  <c r="F220" i="10"/>
  <c r="E220" i="10"/>
  <c r="D220" i="10"/>
  <c r="C220" i="10"/>
  <c r="B220" i="10"/>
  <c r="AG219" i="10"/>
  <c r="I220" i="5" s="1"/>
  <c r="AG217" i="10"/>
  <c r="I217" i="5" s="1"/>
  <c r="AG216" i="10"/>
  <c r="I216" i="5" s="1"/>
  <c r="AF215" i="10"/>
  <c r="AE215" i="10"/>
  <c r="AD215" i="10"/>
  <c r="AC215" i="10"/>
  <c r="AB215" i="10"/>
  <c r="AA215" i="10"/>
  <c r="Z215" i="10"/>
  <c r="Y215" i="10"/>
  <c r="X215" i="10"/>
  <c r="W215" i="10"/>
  <c r="V215" i="10"/>
  <c r="U215" i="10"/>
  <c r="T215" i="10"/>
  <c r="S215" i="10"/>
  <c r="R215" i="10"/>
  <c r="Q215" i="10"/>
  <c r="P215" i="10"/>
  <c r="O215" i="10"/>
  <c r="N215" i="10"/>
  <c r="M215" i="10"/>
  <c r="L215" i="10"/>
  <c r="K215" i="10"/>
  <c r="J215" i="10"/>
  <c r="I215" i="10"/>
  <c r="H215" i="10"/>
  <c r="G215" i="10"/>
  <c r="F215" i="10"/>
  <c r="E215" i="10"/>
  <c r="D215" i="10"/>
  <c r="C215" i="10"/>
  <c r="B215" i="10"/>
  <c r="AG214" i="10"/>
  <c r="I214" i="5" s="1"/>
  <c r="AG213" i="10"/>
  <c r="I213" i="5" s="1"/>
  <c r="AG212" i="10"/>
  <c r="I212" i="5" s="1"/>
  <c r="AG211" i="10"/>
  <c r="I211" i="5" s="1"/>
  <c r="AG210" i="10"/>
  <c r="I210" i="5" s="1"/>
  <c r="AF209" i="10"/>
  <c r="AE209" i="10"/>
  <c r="AD209" i="10"/>
  <c r="AC209" i="10"/>
  <c r="AB209" i="10"/>
  <c r="AA209" i="10"/>
  <c r="Z209" i="10"/>
  <c r="Y209" i="10"/>
  <c r="X209" i="10"/>
  <c r="W209" i="10"/>
  <c r="V209" i="10"/>
  <c r="U209" i="10"/>
  <c r="T209" i="10"/>
  <c r="S209" i="10"/>
  <c r="R209" i="10"/>
  <c r="Q209" i="10"/>
  <c r="P209" i="10"/>
  <c r="O209" i="10"/>
  <c r="N209" i="10"/>
  <c r="M209" i="10"/>
  <c r="L209" i="10"/>
  <c r="K209" i="10"/>
  <c r="J209" i="10"/>
  <c r="I209" i="10"/>
  <c r="H209" i="10"/>
  <c r="G209" i="10"/>
  <c r="F209" i="10"/>
  <c r="E209" i="10"/>
  <c r="D209" i="10"/>
  <c r="C209" i="10"/>
  <c r="B209" i="10"/>
  <c r="AG208" i="10"/>
  <c r="I208" i="5" s="1"/>
  <c r="AG207" i="10"/>
  <c r="I207" i="5" s="1"/>
  <c r="AG206" i="10"/>
  <c r="I206" i="5" s="1"/>
  <c r="AG205" i="10"/>
  <c r="I205" i="5" s="1"/>
  <c r="AG204" i="10"/>
  <c r="I204" i="5" s="1"/>
  <c r="AG203" i="10"/>
  <c r="I203" i="5" s="1"/>
  <c r="AG202" i="10"/>
  <c r="I202" i="5" s="1"/>
  <c r="AG201" i="10"/>
  <c r="I201" i="5" s="1"/>
  <c r="AG200" i="10"/>
  <c r="I200" i="5" s="1"/>
  <c r="AG199" i="10"/>
  <c r="I199" i="5" s="1"/>
  <c r="AG198" i="10"/>
  <c r="I198" i="5" s="1"/>
  <c r="AG197" i="10"/>
  <c r="I197" i="5" s="1"/>
  <c r="AG196" i="10"/>
  <c r="I196" i="5" s="1"/>
  <c r="AG195" i="10"/>
  <c r="I195" i="5" s="1"/>
  <c r="AG194" i="10"/>
  <c r="I194" i="5" s="1"/>
  <c r="AG193" i="10"/>
  <c r="I193" i="5" s="1"/>
  <c r="AG192" i="10"/>
  <c r="I192" i="5" s="1"/>
  <c r="AG191" i="10"/>
  <c r="I191" i="5" s="1"/>
  <c r="AG190" i="10"/>
  <c r="I190" i="5" s="1"/>
  <c r="AG189" i="10"/>
  <c r="I189" i="5" s="1"/>
  <c r="AG188" i="10"/>
  <c r="I188" i="5" s="1"/>
  <c r="AG187" i="10"/>
  <c r="I187" i="5" s="1"/>
  <c r="AG186" i="10"/>
  <c r="I186" i="5" s="1"/>
  <c r="AG185" i="10"/>
  <c r="I185" i="5" s="1"/>
  <c r="AG184" i="10"/>
  <c r="I184" i="5" s="1"/>
  <c r="AG183" i="10"/>
  <c r="I183" i="5" s="1"/>
  <c r="AF182" i="10"/>
  <c r="AE182" i="10"/>
  <c r="AD182" i="10"/>
  <c r="AC182" i="10"/>
  <c r="AB182" i="10"/>
  <c r="AA182" i="10"/>
  <c r="Z182" i="10"/>
  <c r="Y182" i="10"/>
  <c r="X182" i="10"/>
  <c r="W182" i="10"/>
  <c r="V182" i="10"/>
  <c r="U182" i="10"/>
  <c r="T182" i="10"/>
  <c r="S182" i="10"/>
  <c r="R182" i="10"/>
  <c r="Q182" i="10"/>
  <c r="P182" i="10"/>
  <c r="O182" i="10"/>
  <c r="N182" i="10"/>
  <c r="M182" i="10"/>
  <c r="L182" i="10"/>
  <c r="K182" i="10"/>
  <c r="J182" i="10"/>
  <c r="I182" i="10"/>
  <c r="H182" i="10"/>
  <c r="G182" i="10"/>
  <c r="F182" i="10"/>
  <c r="E182" i="10"/>
  <c r="D182" i="10"/>
  <c r="C182" i="10"/>
  <c r="B182" i="10"/>
  <c r="AG181" i="10"/>
  <c r="I181" i="5" s="1"/>
  <c r="AG180" i="10"/>
  <c r="I180" i="5" s="1"/>
  <c r="AG179" i="10"/>
  <c r="I179" i="5" s="1"/>
  <c r="AG178" i="10"/>
  <c r="I178" i="5" s="1"/>
  <c r="AF177" i="10"/>
  <c r="AE177" i="10"/>
  <c r="AD177" i="10"/>
  <c r="AC177" i="10"/>
  <c r="AB177" i="10"/>
  <c r="AA177" i="10"/>
  <c r="Z177" i="10"/>
  <c r="Y177" i="10"/>
  <c r="X177" i="10"/>
  <c r="W177" i="10"/>
  <c r="V177" i="10"/>
  <c r="U177" i="10"/>
  <c r="T177" i="10"/>
  <c r="S177" i="10"/>
  <c r="R177" i="10"/>
  <c r="Q177" i="10"/>
  <c r="P177" i="10"/>
  <c r="O177" i="10"/>
  <c r="N177" i="10"/>
  <c r="M177" i="10"/>
  <c r="L177" i="10"/>
  <c r="K177" i="10"/>
  <c r="J177" i="10"/>
  <c r="I177" i="10"/>
  <c r="H177" i="10"/>
  <c r="G177" i="10"/>
  <c r="F177" i="10"/>
  <c r="E177" i="10"/>
  <c r="D177" i="10"/>
  <c r="C177" i="10"/>
  <c r="B177" i="10"/>
  <c r="AG176" i="10"/>
  <c r="I176" i="5" s="1"/>
  <c r="AG175" i="10"/>
  <c r="I175" i="5" s="1"/>
  <c r="AG174" i="10"/>
  <c r="I174" i="5" s="1"/>
  <c r="AF173" i="10"/>
  <c r="AE173" i="10"/>
  <c r="AD173" i="10"/>
  <c r="AC173" i="10"/>
  <c r="AB173" i="10"/>
  <c r="AA173" i="10"/>
  <c r="Z173" i="10"/>
  <c r="Y173" i="10"/>
  <c r="X173" i="10"/>
  <c r="W173" i="10"/>
  <c r="V173" i="10"/>
  <c r="U173" i="10"/>
  <c r="T173" i="10"/>
  <c r="S173" i="10"/>
  <c r="R173" i="10"/>
  <c r="Q173" i="10"/>
  <c r="P173" i="10"/>
  <c r="O173" i="10"/>
  <c r="N173" i="10"/>
  <c r="M173" i="10"/>
  <c r="L173" i="10"/>
  <c r="K173" i="10"/>
  <c r="J173" i="10"/>
  <c r="I173" i="10"/>
  <c r="H173" i="10"/>
  <c r="G173" i="10"/>
  <c r="F173" i="10"/>
  <c r="E173" i="10"/>
  <c r="D173" i="10"/>
  <c r="C173" i="10"/>
  <c r="B173" i="10"/>
  <c r="AG172" i="10"/>
  <c r="I172" i="5" s="1"/>
  <c r="AG170" i="10"/>
  <c r="I170" i="5" s="1"/>
  <c r="AG169" i="10"/>
  <c r="I169" i="5" s="1"/>
  <c r="AG168" i="10"/>
  <c r="I168" i="5" s="1"/>
  <c r="AF167" i="10"/>
  <c r="AE167" i="10"/>
  <c r="AD167" i="10"/>
  <c r="AC167" i="10"/>
  <c r="AB167" i="10"/>
  <c r="AA167" i="10"/>
  <c r="Z167" i="10"/>
  <c r="Y167" i="10"/>
  <c r="X167" i="10"/>
  <c r="W167" i="10"/>
  <c r="V167" i="10"/>
  <c r="U167" i="10"/>
  <c r="T167" i="10"/>
  <c r="S167" i="10"/>
  <c r="R167" i="10"/>
  <c r="Q167" i="10"/>
  <c r="P167" i="10"/>
  <c r="O167" i="10"/>
  <c r="N167" i="10"/>
  <c r="M167" i="10"/>
  <c r="L167" i="10"/>
  <c r="K167" i="10"/>
  <c r="J167" i="10"/>
  <c r="I167" i="10"/>
  <c r="G167" i="10"/>
  <c r="F167" i="10"/>
  <c r="E167" i="10"/>
  <c r="D167" i="10"/>
  <c r="C167" i="10"/>
  <c r="B167" i="10"/>
  <c r="AG166" i="10"/>
  <c r="I166" i="5" s="1"/>
  <c r="AG165" i="10"/>
  <c r="I165" i="5" s="1"/>
  <c r="AG164" i="10"/>
  <c r="I164" i="5" s="1"/>
  <c r="AG163" i="10"/>
  <c r="I163" i="5" s="1"/>
  <c r="AG162" i="10"/>
  <c r="I162" i="5" s="1"/>
  <c r="AG161" i="10"/>
  <c r="I161" i="5" s="1"/>
  <c r="AG160" i="10"/>
  <c r="I160" i="5" s="1"/>
  <c r="AG159" i="10"/>
  <c r="I159" i="5" s="1"/>
  <c r="AF158" i="10"/>
  <c r="AE158" i="10"/>
  <c r="AD158" i="10"/>
  <c r="AC158" i="10"/>
  <c r="AB158" i="10"/>
  <c r="AA158" i="10"/>
  <c r="Z158" i="10"/>
  <c r="Y158" i="10"/>
  <c r="X158" i="10"/>
  <c r="W158" i="10"/>
  <c r="V158" i="10"/>
  <c r="U158" i="10"/>
  <c r="T158" i="10"/>
  <c r="S158" i="10"/>
  <c r="R158" i="10"/>
  <c r="Q158" i="10"/>
  <c r="P158" i="10"/>
  <c r="O158" i="10"/>
  <c r="N158" i="10"/>
  <c r="M158" i="10"/>
  <c r="L158" i="10"/>
  <c r="K158" i="10"/>
  <c r="J158" i="10"/>
  <c r="I158" i="10"/>
  <c r="H158" i="10"/>
  <c r="G158" i="10"/>
  <c r="F158" i="10"/>
  <c r="E158" i="10"/>
  <c r="D158" i="10"/>
  <c r="C158" i="10"/>
  <c r="B158" i="10"/>
  <c r="AG157" i="10"/>
  <c r="I157" i="5" s="1"/>
  <c r="AG156" i="10"/>
  <c r="I156" i="5" s="1"/>
  <c r="AG155" i="10"/>
  <c r="I155" i="5" s="1"/>
  <c r="AG154" i="10"/>
  <c r="I154" i="5" s="1"/>
  <c r="AG153" i="10"/>
  <c r="I153" i="5" s="1"/>
  <c r="AG152" i="10"/>
  <c r="I152" i="5" s="1"/>
  <c r="AG151" i="10"/>
  <c r="I151" i="5" s="1"/>
  <c r="AG150" i="10"/>
  <c r="I150" i="5" s="1"/>
  <c r="AG149" i="10"/>
  <c r="I149" i="5" s="1"/>
  <c r="AF148" i="10"/>
  <c r="AF146" i="10" s="1"/>
  <c r="AF144" i="10" s="1"/>
  <c r="AE148" i="10"/>
  <c r="AE146" i="10" s="1"/>
  <c r="AD148" i="10"/>
  <c r="AD146" i="10" s="1"/>
  <c r="AC148" i="10"/>
  <c r="AC146" i="10" s="1"/>
  <c r="AB148" i="10"/>
  <c r="AB146" i="10" s="1"/>
  <c r="AB144" i="10" s="1"/>
  <c r="AA148" i="10"/>
  <c r="AA146" i="10" s="1"/>
  <c r="AA144" i="10" s="1"/>
  <c r="Z148" i="10"/>
  <c r="Z146" i="10" s="1"/>
  <c r="Y148" i="10"/>
  <c r="X148" i="10"/>
  <c r="X146" i="10" s="1"/>
  <c r="W148" i="10"/>
  <c r="W146" i="10" s="1"/>
  <c r="V148" i="10"/>
  <c r="V146" i="10" s="1"/>
  <c r="U148" i="10"/>
  <c r="U146" i="10" s="1"/>
  <c r="T148" i="10"/>
  <c r="T146" i="10" s="1"/>
  <c r="T144" i="10" s="1"/>
  <c r="S148" i="10"/>
  <c r="S146" i="10" s="1"/>
  <c r="S144" i="10" s="1"/>
  <c r="R148" i="10"/>
  <c r="R146" i="10" s="1"/>
  <c r="Q148" i="10"/>
  <c r="P148" i="10"/>
  <c r="P146" i="10" s="1"/>
  <c r="O148" i="10"/>
  <c r="O146" i="10" s="1"/>
  <c r="N148" i="10"/>
  <c r="N146" i="10" s="1"/>
  <c r="M148" i="10"/>
  <c r="L148" i="10"/>
  <c r="L146" i="10" s="1"/>
  <c r="K148" i="10"/>
  <c r="K146" i="10" s="1"/>
  <c r="J148" i="10"/>
  <c r="J146" i="10" s="1"/>
  <c r="I148" i="10"/>
  <c r="I146" i="10" s="1"/>
  <c r="I144" i="10" s="1"/>
  <c r="H148" i="10"/>
  <c r="H146" i="10" s="1"/>
  <c r="G148" i="10"/>
  <c r="G146" i="10" s="1"/>
  <c r="G144" i="10" s="1"/>
  <c r="F148" i="10"/>
  <c r="F146" i="10" s="1"/>
  <c r="E148" i="10"/>
  <c r="E146" i="10" s="1"/>
  <c r="D148" i="10"/>
  <c r="D146" i="10" s="1"/>
  <c r="C148" i="10"/>
  <c r="C146" i="10" s="1"/>
  <c r="B148" i="10"/>
  <c r="AE147" i="10"/>
  <c r="AD147" i="10"/>
  <c r="AC147" i="10"/>
  <c r="AB147" i="10"/>
  <c r="AA147" i="10"/>
  <c r="Z147" i="10"/>
  <c r="Y147" i="10"/>
  <c r="X147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Y146" i="10"/>
  <c r="Q146" i="10"/>
  <c r="Q144" i="10" s="1"/>
  <c r="M146" i="10"/>
  <c r="M144" i="10" s="1"/>
  <c r="AF145" i="10"/>
  <c r="AE145" i="10"/>
  <c r="AD145" i="10"/>
  <c r="AC145" i="10"/>
  <c r="AB145" i="10"/>
  <c r="AA145" i="10"/>
  <c r="Z145" i="10"/>
  <c r="Y145" i="10"/>
  <c r="X145" i="10"/>
  <c r="W145" i="10"/>
  <c r="V145" i="10"/>
  <c r="U145" i="10"/>
  <c r="T145" i="10"/>
  <c r="S145" i="10"/>
  <c r="R145" i="10"/>
  <c r="Q145" i="10"/>
  <c r="P145" i="10"/>
  <c r="O145" i="10"/>
  <c r="N145" i="10"/>
  <c r="M145" i="10"/>
  <c r="L145" i="10"/>
  <c r="K145" i="10"/>
  <c r="J145" i="10"/>
  <c r="I145" i="10"/>
  <c r="H145" i="10"/>
  <c r="G145" i="10"/>
  <c r="F145" i="10"/>
  <c r="E145" i="10"/>
  <c r="D145" i="10"/>
  <c r="C145" i="10"/>
  <c r="B145" i="10"/>
  <c r="AG141" i="10"/>
  <c r="I141" i="5" s="1"/>
  <c r="AG140" i="10"/>
  <c r="I140" i="5" s="1"/>
  <c r="AG139" i="10"/>
  <c r="I139" i="5" s="1"/>
  <c r="AG138" i="10"/>
  <c r="I138" i="5" s="1"/>
  <c r="AG137" i="10"/>
  <c r="I137" i="5" s="1"/>
  <c r="AG136" i="10"/>
  <c r="I136" i="5" s="1"/>
  <c r="AG135" i="10"/>
  <c r="I135" i="5" s="1"/>
  <c r="AG133" i="10"/>
  <c r="I133" i="5" s="1"/>
  <c r="AG132" i="10"/>
  <c r="I132" i="5" s="1"/>
  <c r="AG131" i="10"/>
  <c r="I131" i="5" s="1"/>
  <c r="AF130" i="10"/>
  <c r="AE130" i="10"/>
  <c r="AD130" i="10"/>
  <c r="AC130" i="10"/>
  <c r="AB130" i="10"/>
  <c r="AA130" i="10"/>
  <c r="X130" i="10"/>
  <c r="S130" i="10"/>
  <c r="AG128" i="10"/>
  <c r="I128" i="5" s="1"/>
  <c r="AG127" i="10"/>
  <c r="I127" i="5" s="1"/>
  <c r="AG126" i="10"/>
  <c r="I126" i="5" s="1"/>
  <c r="AG125" i="10"/>
  <c r="I125" i="5" s="1"/>
  <c r="AG124" i="10"/>
  <c r="I124" i="5" s="1"/>
  <c r="AG123" i="10"/>
  <c r="I123" i="5" s="1"/>
  <c r="AG122" i="10"/>
  <c r="I122" i="5" s="1"/>
  <c r="AG121" i="10"/>
  <c r="I121" i="5" s="1"/>
  <c r="AG120" i="10"/>
  <c r="I120" i="5" s="1"/>
  <c r="AG119" i="10"/>
  <c r="I119" i="5" s="1"/>
  <c r="AG118" i="10"/>
  <c r="I118" i="5" s="1"/>
  <c r="AG117" i="10"/>
  <c r="I117" i="5" s="1"/>
  <c r="AF116" i="10"/>
  <c r="AE116" i="10"/>
  <c r="AD116" i="10"/>
  <c r="AC116" i="10"/>
  <c r="AB116" i="10"/>
  <c r="AA116" i="10"/>
  <c r="X116" i="10"/>
  <c r="W116" i="10"/>
  <c r="U116" i="10"/>
  <c r="O116" i="10"/>
  <c r="M116" i="10"/>
  <c r="L116" i="10"/>
  <c r="E116" i="10"/>
  <c r="C116" i="10"/>
  <c r="AG115" i="10"/>
  <c r="I115" i="5" s="1"/>
  <c r="AG114" i="10"/>
  <c r="I114" i="5" s="1"/>
  <c r="AG113" i="10"/>
  <c r="I113" i="5" s="1"/>
  <c r="AG112" i="10"/>
  <c r="I112" i="5" s="1"/>
  <c r="AG111" i="10"/>
  <c r="I111" i="5" s="1"/>
  <c r="AG110" i="10"/>
  <c r="I110" i="5" s="1"/>
  <c r="AG108" i="10"/>
  <c r="I108" i="5" s="1"/>
  <c r="AG107" i="10"/>
  <c r="I107" i="5" s="1"/>
  <c r="AG106" i="10"/>
  <c r="I106" i="5" s="1"/>
  <c r="AG105" i="10"/>
  <c r="I105" i="5" s="1"/>
  <c r="AG104" i="10"/>
  <c r="I104" i="5" s="1"/>
  <c r="AG103" i="10"/>
  <c r="I103" i="5" s="1"/>
  <c r="AG102" i="10"/>
  <c r="I102" i="5" s="1"/>
  <c r="AG101" i="10"/>
  <c r="I101" i="5" s="1"/>
  <c r="AF100" i="10"/>
  <c r="AE100" i="10"/>
  <c r="AD100" i="10"/>
  <c r="AC100" i="10"/>
  <c r="AB100" i="10"/>
  <c r="AA100" i="10"/>
  <c r="AA93" i="10" s="1"/>
  <c r="Z100" i="10"/>
  <c r="Y100" i="10"/>
  <c r="X100" i="10"/>
  <c r="W100" i="10"/>
  <c r="V100" i="10"/>
  <c r="V93" i="10" s="1"/>
  <c r="T100" i="10"/>
  <c r="S100" i="10"/>
  <c r="R100" i="10"/>
  <c r="Q100" i="10"/>
  <c r="P100" i="10"/>
  <c r="O100" i="10"/>
  <c r="N100" i="10"/>
  <c r="M100" i="10"/>
  <c r="L100" i="10"/>
  <c r="K100" i="10"/>
  <c r="J100" i="10"/>
  <c r="I100" i="10"/>
  <c r="H100" i="10"/>
  <c r="G100" i="10"/>
  <c r="F100" i="10"/>
  <c r="E100" i="10"/>
  <c r="D100" i="10"/>
  <c r="C100" i="10"/>
  <c r="C93" i="10" s="1"/>
  <c r="B100" i="10"/>
  <c r="AG99" i="10"/>
  <c r="I99" i="5" s="1"/>
  <c r="AG98" i="10"/>
  <c r="I98" i="5" s="1"/>
  <c r="AG97" i="10"/>
  <c r="I97" i="5" s="1"/>
  <c r="AG96" i="10"/>
  <c r="I96" i="5" s="1"/>
  <c r="AG95" i="10"/>
  <c r="I95" i="5" s="1"/>
  <c r="AF94" i="10"/>
  <c r="AE94" i="10"/>
  <c r="AD94" i="10"/>
  <c r="AC94" i="10"/>
  <c r="AB94" i="10"/>
  <c r="AA94" i="10"/>
  <c r="Z94" i="10"/>
  <c r="Z93" i="10" s="1"/>
  <c r="Y94" i="10"/>
  <c r="X94" i="10"/>
  <c r="W94" i="10"/>
  <c r="V94" i="10"/>
  <c r="U94" i="10"/>
  <c r="T94" i="10"/>
  <c r="T93" i="10" s="1"/>
  <c r="S94" i="10"/>
  <c r="S93" i="10" s="1"/>
  <c r="R94" i="10"/>
  <c r="Q94" i="10"/>
  <c r="P94" i="10"/>
  <c r="O94" i="10"/>
  <c r="N94" i="10"/>
  <c r="M94" i="10"/>
  <c r="L94" i="10"/>
  <c r="L93" i="10" s="1"/>
  <c r="K94" i="10"/>
  <c r="J94" i="10"/>
  <c r="I94" i="10"/>
  <c r="H94" i="10"/>
  <c r="G94" i="10"/>
  <c r="G93" i="10" s="1"/>
  <c r="F94" i="10"/>
  <c r="E94" i="10"/>
  <c r="D94" i="10"/>
  <c r="C94" i="10"/>
  <c r="B94" i="10"/>
  <c r="AG92" i="10"/>
  <c r="I92" i="5" s="1"/>
  <c r="AG91" i="10"/>
  <c r="I91" i="5" s="1"/>
  <c r="AG90" i="10"/>
  <c r="I90" i="5" s="1"/>
  <c r="AG89" i="10"/>
  <c r="I89" i="5" s="1"/>
  <c r="AG88" i="10"/>
  <c r="I88" i="5" s="1"/>
  <c r="AF87" i="10"/>
  <c r="AE87" i="10"/>
  <c r="AD87" i="10"/>
  <c r="AC87" i="10"/>
  <c r="AB87" i="10"/>
  <c r="AA87" i="10"/>
  <c r="Z87" i="10"/>
  <c r="Y87" i="10"/>
  <c r="X87" i="10"/>
  <c r="V87" i="10"/>
  <c r="U87" i="10"/>
  <c r="T87" i="10"/>
  <c r="S87" i="10"/>
  <c r="R87" i="10"/>
  <c r="Q87" i="10"/>
  <c r="P87" i="10"/>
  <c r="O87" i="10"/>
  <c r="N87" i="10"/>
  <c r="M87" i="10"/>
  <c r="L87" i="10"/>
  <c r="K87" i="10"/>
  <c r="J87" i="10"/>
  <c r="I87" i="10"/>
  <c r="H87" i="10"/>
  <c r="G87" i="10"/>
  <c r="F87" i="10"/>
  <c r="E87" i="10"/>
  <c r="D87" i="10"/>
  <c r="C87" i="10"/>
  <c r="B87" i="10"/>
  <c r="AG86" i="10"/>
  <c r="I86" i="5" s="1"/>
  <c r="AG85" i="10"/>
  <c r="I85" i="5" s="1"/>
  <c r="AF84" i="10"/>
  <c r="AE84" i="10"/>
  <c r="AD84" i="10"/>
  <c r="AC84" i="10"/>
  <c r="AB84" i="10"/>
  <c r="AA84" i="10"/>
  <c r="Z84" i="10"/>
  <c r="Y84" i="10"/>
  <c r="X84" i="10"/>
  <c r="W84" i="10"/>
  <c r="U84" i="10"/>
  <c r="T84" i="10"/>
  <c r="S84" i="10"/>
  <c r="R84" i="10"/>
  <c r="Q84" i="10"/>
  <c r="P84" i="10"/>
  <c r="O84" i="10"/>
  <c r="N84" i="10"/>
  <c r="M84" i="10"/>
  <c r="L84" i="10"/>
  <c r="K84" i="10"/>
  <c r="J84" i="10"/>
  <c r="I84" i="10"/>
  <c r="H84" i="10"/>
  <c r="G84" i="10"/>
  <c r="F84" i="10"/>
  <c r="E84" i="10"/>
  <c r="D84" i="10"/>
  <c r="C84" i="10"/>
  <c r="B84" i="10"/>
  <c r="AF82" i="10"/>
  <c r="AF83" i="10" s="1"/>
  <c r="AF81" i="10" s="1"/>
  <c r="AE82" i="10"/>
  <c r="AD83" i="10"/>
  <c r="AC83" i="10"/>
  <c r="AC81" i="10" s="1"/>
  <c r="AB82" i="10"/>
  <c r="AB83" i="10" s="1"/>
  <c r="AB81" i="10" s="1"/>
  <c r="AA82" i="10"/>
  <c r="AA83" i="10" s="1"/>
  <c r="Z82" i="10"/>
  <c r="Z83" i="10" s="1"/>
  <c r="Z81" i="10" s="1"/>
  <c r="Y82" i="10"/>
  <c r="Y83" i="10" s="1"/>
  <c r="Y81" i="10" s="1"/>
  <c r="X82" i="10"/>
  <c r="X83" i="10" s="1"/>
  <c r="X81" i="10" s="1"/>
  <c r="V83" i="10"/>
  <c r="U83" i="10"/>
  <c r="U81" i="10" s="1"/>
  <c r="T82" i="10"/>
  <c r="T83" i="10" s="1"/>
  <c r="T81" i="10" s="1"/>
  <c r="S82" i="10"/>
  <c r="S83" i="10" s="1"/>
  <c r="R82" i="10"/>
  <c r="R83" i="10" s="1"/>
  <c r="R81" i="10" s="1"/>
  <c r="Q82" i="10"/>
  <c r="Q83" i="10" s="1"/>
  <c r="Q81" i="10" s="1"/>
  <c r="P83" i="10"/>
  <c r="P81" i="10" s="1"/>
  <c r="N82" i="10"/>
  <c r="N83" i="10" s="1"/>
  <c r="M82" i="10"/>
  <c r="M83" i="10" s="1"/>
  <c r="M81" i="10" s="1"/>
  <c r="L82" i="10"/>
  <c r="L83" i="10" s="1"/>
  <c r="L81" i="10" s="1"/>
  <c r="K82" i="10"/>
  <c r="K83" i="10" s="1"/>
  <c r="J82" i="10"/>
  <c r="J83" i="10" s="1"/>
  <c r="J81" i="10" s="1"/>
  <c r="I83" i="10"/>
  <c r="I81" i="10" s="1"/>
  <c r="H83" i="10"/>
  <c r="H81" i="10" s="1"/>
  <c r="G82" i="10"/>
  <c r="F82" i="10"/>
  <c r="F83" i="10" s="1"/>
  <c r="E82" i="10"/>
  <c r="E83" i="10" s="1"/>
  <c r="E81" i="10" s="1"/>
  <c r="D82" i="10"/>
  <c r="D83" i="10" s="1"/>
  <c r="D81" i="10" s="1"/>
  <c r="C82" i="10"/>
  <c r="C83" i="10" s="1"/>
  <c r="B83" i="10"/>
  <c r="AF80" i="10"/>
  <c r="AF79" i="10" s="1"/>
  <c r="AF78" i="10" s="1"/>
  <c r="AC80" i="10"/>
  <c r="AC79" i="10" s="1"/>
  <c r="AC78" i="10" s="1"/>
  <c r="AB80" i="10"/>
  <c r="AB79" i="10" s="1"/>
  <c r="AB78" i="10" s="1"/>
  <c r="AA80" i="10"/>
  <c r="AA79" i="10" s="1"/>
  <c r="AA78" i="10" s="1"/>
  <c r="Y80" i="10"/>
  <c r="Y79" i="10" s="1"/>
  <c r="Y78" i="10" s="1"/>
  <c r="V80" i="10"/>
  <c r="V79" i="10" s="1"/>
  <c r="V78" i="10" s="1"/>
  <c r="U80" i="10"/>
  <c r="U79" i="10" s="1"/>
  <c r="U78" i="10" s="1"/>
  <c r="T80" i="10"/>
  <c r="T79" i="10" s="1"/>
  <c r="T78" i="10" s="1"/>
  <c r="S80" i="10"/>
  <c r="S79" i="10" s="1"/>
  <c r="S78" i="10" s="1"/>
  <c r="R80" i="10"/>
  <c r="R79" i="10" s="1"/>
  <c r="R78" i="10" s="1"/>
  <c r="O80" i="10"/>
  <c r="O79" i="10" s="1"/>
  <c r="O78" i="10" s="1"/>
  <c r="N80" i="10"/>
  <c r="M80" i="10"/>
  <c r="M79" i="10" s="1"/>
  <c r="M78" i="10" s="1"/>
  <c r="H80" i="10"/>
  <c r="H79" i="10" s="1"/>
  <c r="H78" i="10" s="1"/>
  <c r="G80" i="10"/>
  <c r="G79" i="10" s="1"/>
  <c r="G78" i="10" s="1"/>
  <c r="F80" i="10"/>
  <c r="F79" i="10" s="1"/>
  <c r="AE79" i="10"/>
  <c r="AE78" i="10" s="1"/>
  <c r="AD79" i="10"/>
  <c r="AD78" i="10" s="1"/>
  <c r="Z79" i="10"/>
  <c r="Z78" i="10" s="1"/>
  <c r="X79" i="10"/>
  <c r="X78" i="10" s="1"/>
  <c r="W79" i="10"/>
  <c r="W78" i="10" s="1"/>
  <c r="Q79" i="10"/>
  <c r="Q78" i="10" s="1"/>
  <c r="P79" i="10"/>
  <c r="P78" i="10" s="1"/>
  <c r="N79" i="10"/>
  <c r="N78" i="10" s="1"/>
  <c r="L79" i="10"/>
  <c r="L78" i="10" s="1"/>
  <c r="K79" i="10"/>
  <c r="K78" i="10" s="1"/>
  <c r="J79" i="10"/>
  <c r="J78" i="10" s="1"/>
  <c r="I79" i="10"/>
  <c r="I78" i="10" s="1"/>
  <c r="E79" i="10"/>
  <c r="E78" i="10" s="1"/>
  <c r="D79" i="10"/>
  <c r="D78" i="10" s="1"/>
  <c r="C79" i="10"/>
  <c r="C78" i="10" s="1"/>
  <c r="B79" i="10"/>
  <c r="B78" i="10" s="1"/>
  <c r="AG77" i="10"/>
  <c r="I77" i="5" s="1"/>
  <c r="AG76" i="10"/>
  <c r="I76" i="5" s="1"/>
  <c r="AG75" i="10"/>
  <c r="I75" i="5" s="1"/>
  <c r="AG74" i="10"/>
  <c r="I74" i="5" s="1"/>
  <c r="AG73" i="10"/>
  <c r="I73" i="5" s="1"/>
  <c r="AG72" i="10"/>
  <c r="I72" i="5" s="1"/>
  <c r="AG71" i="10"/>
  <c r="I71" i="5" s="1"/>
  <c r="AG70" i="10"/>
  <c r="I70" i="5" s="1"/>
  <c r="AG69" i="10"/>
  <c r="I69" i="5" s="1"/>
  <c r="AG68" i="10"/>
  <c r="I68" i="5" s="1"/>
  <c r="AG67" i="10"/>
  <c r="I67" i="5" s="1"/>
  <c r="AG66" i="10"/>
  <c r="I66" i="5" s="1"/>
  <c r="AG65" i="10"/>
  <c r="I65" i="5" s="1"/>
  <c r="AG64" i="10"/>
  <c r="I64" i="5" s="1"/>
  <c r="AG63" i="10"/>
  <c r="I63" i="5" s="1"/>
  <c r="AG62" i="10"/>
  <c r="I62" i="5" s="1"/>
  <c r="AG61" i="10"/>
  <c r="I61" i="5" s="1"/>
  <c r="AG60" i="10"/>
  <c r="I60" i="5" s="1"/>
  <c r="AG59" i="10"/>
  <c r="I59" i="5" s="1"/>
  <c r="AG58" i="10"/>
  <c r="I58" i="5" s="1"/>
  <c r="AG57" i="10"/>
  <c r="I57" i="5" s="1"/>
  <c r="AG56" i="10"/>
  <c r="I56" i="5" s="1"/>
  <c r="AG55" i="10"/>
  <c r="I55" i="5" s="1"/>
  <c r="AG54" i="10"/>
  <c r="I54" i="5" s="1"/>
  <c r="AF53" i="10"/>
  <c r="AE53" i="10"/>
  <c r="AD53" i="10"/>
  <c r="AC53" i="10"/>
  <c r="AB53" i="10"/>
  <c r="AA53" i="10"/>
  <c r="Z53" i="10"/>
  <c r="Y53" i="10"/>
  <c r="X53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B53" i="10"/>
  <c r="AG52" i="10"/>
  <c r="I52" i="5" s="1"/>
  <c r="AG51" i="10"/>
  <c r="I51" i="5" s="1"/>
  <c r="AG50" i="10"/>
  <c r="I50" i="5" s="1"/>
  <c r="AG49" i="10"/>
  <c r="I49" i="5" s="1"/>
  <c r="AG48" i="10"/>
  <c r="I48" i="5" s="1"/>
  <c r="AG47" i="10"/>
  <c r="I47" i="5" s="1"/>
  <c r="AG46" i="10"/>
  <c r="I46" i="5" s="1"/>
  <c r="AG45" i="10"/>
  <c r="I45" i="5" s="1"/>
  <c r="AG44" i="10"/>
  <c r="I44" i="5" s="1"/>
  <c r="AG43" i="10"/>
  <c r="I43" i="5" s="1"/>
  <c r="AG42" i="10"/>
  <c r="I42" i="5" s="1"/>
  <c r="AG41" i="10"/>
  <c r="I41" i="5" s="1"/>
  <c r="AG40" i="10"/>
  <c r="I40" i="5" s="1"/>
  <c r="AG39" i="10"/>
  <c r="I39" i="5" s="1"/>
  <c r="AG38" i="10"/>
  <c r="I38" i="5" s="1"/>
  <c r="AG37" i="10"/>
  <c r="I37" i="5" s="1"/>
  <c r="AG36" i="10"/>
  <c r="I36" i="5" s="1"/>
  <c r="AG35" i="10"/>
  <c r="I35" i="5" s="1"/>
  <c r="AG34" i="10"/>
  <c r="I34" i="5" s="1"/>
  <c r="AG33" i="10"/>
  <c r="I33" i="5" s="1"/>
  <c r="AG32" i="10"/>
  <c r="I32" i="5" s="1"/>
  <c r="AG31" i="10"/>
  <c r="I31" i="5" s="1"/>
  <c r="AG30" i="10"/>
  <c r="I30" i="5" s="1"/>
  <c r="AG29" i="10"/>
  <c r="I29" i="5" s="1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28" i="10"/>
  <c r="AG27" i="10"/>
  <c r="I27" i="5" s="1"/>
  <c r="AG26" i="10"/>
  <c r="I26" i="5" s="1"/>
  <c r="AG25" i="10"/>
  <c r="I25" i="5" s="1"/>
  <c r="AG24" i="10"/>
  <c r="I24" i="5" s="1"/>
  <c r="AG23" i="10"/>
  <c r="I23" i="5" s="1"/>
  <c r="AG22" i="10"/>
  <c r="I22" i="5" s="1"/>
  <c r="AG21" i="10"/>
  <c r="I21" i="5" s="1"/>
  <c r="AG20" i="10"/>
  <c r="I20" i="5" s="1"/>
  <c r="AG19" i="10"/>
  <c r="I19" i="5" s="1"/>
  <c r="AG18" i="10"/>
  <c r="I18" i="5" s="1"/>
  <c r="AG17" i="10"/>
  <c r="I17" i="5" s="1"/>
  <c r="AG16" i="10"/>
  <c r="I16" i="5" s="1"/>
  <c r="AG15" i="10"/>
  <c r="I15" i="5" s="1"/>
  <c r="AG14" i="10"/>
  <c r="I14" i="5" s="1"/>
  <c r="AG13" i="10"/>
  <c r="I13" i="5" s="1"/>
  <c r="AG12" i="10"/>
  <c r="I12" i="5" s="1"/>
  <c r="AG11" i="10"/>
  <c r="I11" i="5" s="1"/>
  <c r="AG10" i="10"/>
  <c r="I10" i="5" s="1"/>
  <c r="AG9" i="10"/>
  <c r="I9" i="5" s="1"/>
  <c r="AG8" i="10"/>
  <c r="I8" i="5" s="1"/>
  <c r="AG7" i="10"/>
  <c r="I7" i="5" s="1"/>
  <c r="AG6" i="10"/>
  <c r="I6" i="5" s="1"/>
  <c r="AG5" i="10"/>
  <c r="I5" i="5" s="1"/>
  <c r="AG4" i="10"/>
  <c r="I4" i="5" s="1"/>
  <c r="AF3" i="10"/>
  <c r="AE3" i="10"/>
  <c r="AD3" i="10"/>
  <c r="AC3" i="10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E3" i="10"/>
  <c r="D3" i="10"/>
  <c r="C3" i="10"/>
  <c r="B3" i="10"/>
  <c r="AC2" i="10"/>
  <c r="C2" i="10"/>
  <c r="D2" i="10" s="1"/>
  <c r="E2" i="10" s="1"/>
  <c r="F2" i="10" s="1"/>
  <c r="G2" i="10" s="1"/>
  <c r="H2" i="10" s="1"/>
  <c r="I2" i="10" s="1"/>
  <c r="J2" i="10" s="1"/>
  <c r="K2" i="10" s="1"/>
  <c r="L2" i="10" s="1"/>
  <c r="M2" i="10" s="1"/>
  <c r="N2" i="10" s="1"/>
  <c r="O2" i="10" s="1"/>
  <c r="P2" i="10" s="1"/>
  <c r="Q2" i="10" s="1"/>
  <c r="R2" i="10" s="1"/>
  <c r="S2" i="10" s="1"/>
  <c r="T2" i="10" s="1"/>
  <c r="U2" i="10" s="1"/>
  <c r="V2" i="10" s="1"/>
  <c r="W2" i="10" s="1"/>
  <c r="X2" i="10" s="1"/>
  <c r="Y2" i="10" s="1"/>
  <c r="Z2" i="10" s="1"/>
  <c r="AA2" i="10" s="1"/>
  <c r="AF134" i="9"/>
  <c r="AF142" i="9"/>
  <c r="AF139" i="9"/>
  <c r="AF137" i="9"/>
  <c r="AF143" i="9"/>
  <c r="AF129" i="9"/>
  <c r="AE142" i="9"/>
  <c r="AE143" i="9"/>
  <c r="AE129" i="9"/>
  <c r="AD134" i="9"/>
  <c r="AD142" i="9"/>
  <c r="AD143" i="9"/>
  <c r="AD129" i="9"/>
  <c r="AC134" i="9"/>
  <c r="AC142" i="9"/>
  <c r="AC137" i="9"/>
  <c r="AC143" i="9"/>
  <c r="AC129" i="9"/>
  <c r="AB134" i="9"/>
  <c r="AB142" i="9"/>
  <c r="AB143" i="9"/>
  <c r="AB129" i="9"/>
  <c r="AA134" i="9"/>
  <c r="AA142" i="9"/>
  <c r="AA143" i="9"/>
  <c r="AA129" i="9"/>
  <c r="Z142" i="9"/>
  <c r="Z139" i="9"/>
  <c r="Z143" i="9"/>
  <c r="Z129" i="9"/>
  <c r="Y134" i="9"/>
  <c r="Y142" i="9"/>
  <c r="Y143" i="9"/>
  <c r="Y129" i="9"/>
  <c r="X134" i="9"/>
  <c r="X142" i="9"/>
  <c r="X143" i="9"/>
  <c r="X129" i="9"/>
  <c r="W134" i="9"/>
  <c r="W142" i="9"/>
  <c r="W137" i="9"/>
  <c r="W143" i="9"/>
  <c r="W129" i="9"/>
  <c r="V134" i="9"/>
  <c r="V142" i="9"/>
  <c r="V143" i="9"/>
  <c r="V129" i="9"/>
  <c r="U134" i="9"/>
  <c r="U142" i="9"/>
  <c r="U143" i="9"/>
  <c r="U129" i="9"/>
  <c r="T134" i="9"/>
  <c r="T142" i="9"/>
  <c r="T139" i="9"/>
  <c r="T143" i="9"/>
  <c r="T129" i="9"/>
  <c r="S142" i="9"/>
  <c r="S143" i="9"/>
  <c r="S129" i="9"/>
  <c r="R134" i="9"/>
  <c r="R142" i="9"/>
  <c r="R139" i="9"/>
  <c r="R143" i="9"/>
  <c r="R129" i="9"/>
  <c r="Q134" i="9"/>
  <c r="Q142" i="9"/>
  <c r="Q143" i="9"/>
  <c r="Q129" i="9"/>
  <c r="P134" i="9"/>
  <c r="P142" i="9"/>
  <c r="P143" i="9"/>
  <c r="P129" i="9"/>
  <c r="O134" i="9"/>
  <c r="O142" i="9"/>
  <c r="O143" i="9"/>
  <c r="O129" i="9"/>
  <c r="N134" i="9"/>
  <c r="N142" i="9"/>
  <c r="N129" i="9"/>
  <c r="M134" i="9"/>
  <c r="L134" i="9"/>
  <c r="L142" i="9"/>
  <c r="L143" i="9"/>
  <c r="L129" i="9"/>
  <c r="K129" i="9"/>
  <c r="K143" i="9"/>
  <c r="K134" i="9"/>
  <c r="K142" i="9"/>
  <c r="K137" i="9"/>
  <c r="J134" i="9"/>
  <c r="J142" i="9"/>
  <c r="J143" i="9"/>
  <c r="J129" i="9"/>
  <c r="P130" i="10" l="1"/>
  <c r="G130" i="10"/>
  <c r="D144" i="10"/>
  <c r="X144" i="10"/>
  <c r="AG148" i="10"/>
  <c r="I148" i="5" s="1"/>
  <c r="E144" i="10"/>
  <c r="Q130" i="10"/>
  <c r="M130" i="10"/>
  <c r="I93" i="10"/>
  <c r="K144" i="10"/>
  <c r="AD93" i="10"/>
  <c r="R93" i="10"/>
  <c r="P144" i="10"/>
  <c r="AG146" i="11"/>
  <c r="J146" i="5" s="1"/>
  <c r="O93" i="10"/>
  <c r="J130" i="10"/>
  <c r="AG144" i="11"/>
  <c r="J144" i="5" s="1"/>
  <c r="AG93" i="11"/>
  <c r="AH87" i="11"/>
  <c r="AG83" i="11"/>
  <c r="B81" i="11"/>
  <c r="AG81" i="11" s="1"/>
  <c r="AE93" i="10"/>
  <c r="AC144" i="10"/>
  <c r="AB93" i="10"/>
  <c r="I130" i="10"/>
  <c r="AG147" i="10"/>
  <c r="I147" i="5" s="1"/>
  <c r="AG215" i="10"/>
  <c r="I215" i="5" s="1"/>
  <c r="N130" i="10"/>
  <c r="C144" i="10"/>
  <c r="B146" i="10"/>
  <c r="B144" i="10" s="1"/>
  <c r="R130" i="10"/>
  <c r="Z144" i="10"/>
  <c r="J93" i="10"/>
  <c r="W93" i="10"/>
  <c r="F144" i="10"/>
  <c r="N144" i="10"/>
  <c r="V144" i="10"/>
  <c r="AD144" i="10"/>
  <c r="O130" i="10"/>
  <c r="X93" i="10"/>
  <c r="AF93" i="10"/>
  <c r="O144" i="10"/>
  <c r="W144" i="10"/>
  <c r="AE144" i="10"/>
  <c r="Z130" i="10"/>
  <c r="R144" i="10"/>
  <c r="M93" i="10"/>
  <c r="AC93" i="10"/>
  <c r="Y144" i="10"/>
  <c r="Y130" i="10"/>
  <c r="Y93" i="10"/>
  <c r="U144" i="10"/>
  <c r="T130" i="10"/>
  <c r="AG224" i="10"/>
  <c r="I225" i="5" s="1"/>
  <c r="AG220" i="10"/>
  <c r="I221" i="5" s="1"/>
  <c r="Q93" i="10"/>
  <c r="P93" i="10"/>
  <c r="N93" i="10"/>
  <c r="U93" i="10"/>
  <c r="AG109" i="10"/>
  <c r="I109" i="5" s="1"/>
  <c r="L144" i="10"/>
  <c r="AG129" i="10"/>
  <c r="I129" i="5" s="1"/>
  <c r="K93" i="10"/>
  <c r="J144" i="10"/>
  <c r="AG134" i="10"/>
  <c r="I134" i="5" s="1"/>
  <c r="I116" i="10"/>
  <c r="AG171" i="10"/>
  <c r="I171" i="5" s="1"/>
  <c r="H144" i="10"/>
  <c r="H130" i="10"/>
  <c r="F130" i="10"/>
  <c r="AG143" i="10"/>
  <c r="I143" i="5" s="1"/>
  <c r="F93" i="10"/>
  <c r="AG173" i="10"/>
  <c r="I173" i="5" s="1"/>
  <c r="AG146" i="10"/>
  <c r="I146" i="5" s="1"/>
  <c r="AG167" i="10"/>
  <c r="I167" i="5" s="1"/>
  <c r="AG142" i="10"/>
  <c r="I142" i="5" s="1"/>
  <c r="E93" i="10"/>
  <c r="AG94" i="10"/>
  <c r="I94" i="5" s="1"/>
  <c r="AG209" i="10"/>
  <c r="I209" i="5" s="1"/>
  <c r="AG177" i="10"/>
  <c r="I177" i="5" s="1"/>
  <c r="D130" i="10"/>
  <c r="D93" i="10"/>
  <c r="AG145" i="10"/>
  <c r="I145" i="5" s="1"/>
  <c r="AG158" i="10"/>
  <c r="I158" i="5" s="1"/>
  <c r="C130" i="10"/>
  <c r="AG53" i="10"/>
  <c r="I53" i="5" s="1"/>
  <c r="AG28" i="10"/>
  <c r="I28" i="5" s="1"/>
  <c r="AG182" i="10"/>
  <c r="I182" i="5" s="1"/>
  <c r="B130" i="10"/>
  <c r="AG116" i="10"/>
  <c r="I116" i="5" s="1"/>
  <c r="AG100" i="10"/>
  <c r="I100" i="5" s="1"/>
  <c r="B93" i="10"/>
  <c r="AG87" i="10"/>
  <c r="I87" i="5" s="1"/>
  <c r="AG84" i="10"/>
  <c r="I84" i="5" s="1"/>
  <c r="AG3" i="10"/>
  <c r="I3" i="5" s="1"/>
  <c r="AG79" i="10"/>
  <c r="I79" i="5" s="1"/>
  <c r="F78" i="10"/>
  <c r="AG78" i="10" s="1"/>
  <c r="I78" i="5" s="1"/>
  <c r="B81" i="10"/>
  <c r="G83" i="10"/>
  <c r="G81" i="10" s="1"/>
  <c r="AG82" i="10"/>
  <c r="I82" i="5" s="1"/>
  <c r="H93" i="10"/>
  <c r="O83" i="10"/>
  <c r="O81" i="10" s="1"/>
  <c r="C81" i="10"/>
  <c r="K81" i="10"/>
  <c r="S81" i="10"/>
  <c r="AA81" i="10"/>
  <c r="AG80" i="10"/>
  <c r="I80" i="5" s="1"/>
  <c r="W83" i="10"/>
  <c r="W81" i="10" s="1"/>
  <c r="F81" i="10"/>
  <c r="N81" i="10"/>
  <c r="V81" i="10"/>
  <c r="AD81" i="10"/>
  <c r="AE83" i="10"/>
  <c r="AE81" i="10" s="1"/>
  <c r="I142" i="9"/>
  <c r="I143" i="9"/>
  <c r="I129" i="9"/>
  <c r="H134" i="9"/>
  <c r="H142" i="9"/>
  <c r="H143" i="9"/>
  <c r="H129" i="9"/>
  <c r="AH84" i="11" l="1"/>
  <c r="J83" i="5"/>
  <c r="AH209" i="11"/>
  <c r="J93" i="5"/>
  <c r="AH81" i="11"/>
  <c r="J81" i="5"/>
  <c r="AH130" i="11"/>
  <c r="AH144" i="11"/>
  <c r="AH93" i="11"/>
  <c r="AG144" i="10"/>
  <c r="I144" i="5" s="1"/>
  <c r="AG130" i="10"/>
  <c r="I130" i="5" s="1"/>
  <c r="AG93" i="10"/>
  <c r="AH87" i="10"/>
  <c r="AG83" i="10"/>
  <c r="AG81" i="10"/>
  <c r="G134" i="9"/>
  <c r="G142" i="9"/>
  <c r="G143" i="9"/>
  <c r="G129" i="9"/>
  <c r="F134" i="9"/>
  <c r="F142" i="9"/>
  <c r="F143" i="9"/>
  <c r="F129" i="9"/>
  <c r="F116" i="9" s="1"/>
  <c r="E134" i="9"/>
  <c r="E142" i="9"/>
  <c r="E143" i="9"/>
  <c r="E130" i="9" s="1"/>
  <c r="E129" i="9"/>
  <c r="AI150" i="9"/>
  <c r="D143" i="9"/>
  <c r="D142" i="9"/>
  <c r="D134" i="9"/>
  <c r="D137" i="9"/>
  <c r="AG137" i="9" s="1"/>
  <c r="H137" i="5" s="1"/>
  <c r="D129" i="9"/>
  <c r="D116" i="9" s="1"/>
  <c r="C134" i="9"/>
  <c r="C142" i="9"/>
  <c r="C143" i="9"/>
  <c r="C129" i="9"/>
  <c r="B134" i="9"/>
  <c r="B142" i="9"/>
  <c r="AG226" i="9"/>
  <c r="H227" i="5" s="1"/>
  <c r="AG225" i="9"/>
  <c r="H226" i="5" s="1"/>
  <c r="AG224" i="9"/>
  <c r="H225" i="5" s="1"/>
  <c r="AF223" i="9"/>
  <c r="AE223" i="9"/>
  <c r="AD223" i="9"/>
  <c r="AC223" i="9"/>
  <c r="AB223" i="9"/>
  <c r="AA223" i="9"/>
  <c r="Z223" i="9"/>
  <c r="Y223" i="9"/>
  <c r="X223" i="9"/>
  <c r="W223" i="9"/>
  <c r="V223" i="9"/>
  <c r="U223" i="9"/>
  <c r="T223" i="9"/>
  <c r="S223" i="9"/>
  <c r="R223" i="9"/>
  <c r="Q223" i="9"/>
  <c r="P223" i="9"/>
  <c r="O223" i="9"/>
  <c r="N223" i="9"/>
  <c r="M223" i="9"/>
  <c r="L223" i="9"/>
  <c r="K223" i="9"/>
  <c r="J223" i="9"/>
  <c r="I223" i="9"/>
  <c r="H223" i="9"/>
  <c r="G223" i="9"/>
  <c r="F223" i="9"/>
  <c r="E223" i="9"/>
  <c r="D223" i="9"/>
  <c r="C223" i="9"/>
  <c r="B223" i="9"/>
  <c r="AG222" i="9"/>
  <c r="H223" i="5" s="1"/>
  <c r="AG221" i="9"/>
  <c r="H222" i="5" s="1"/>
  <c r="AG220" i="9"/>
  <c r="H221" i="5" s="1"/>
  <c r="AF219" i="9"/>
  <c r="AE219" i="9"/>
  <c r="AD219" i="9"/>
  <c r="AC219" i="9"/>
  <c r="AB219" i="9"/>
  <c r="AA219" i="9"/>
  <c r="Z219" i="9"/>
  <c r="Y219" i="9"/>
  <c r="X219" i="9"/>
  <c r="W219" i="9"/>
  <c r="V219" i="9"/>
  <c r="U219" i="9"/>
  <c r="T219" i="9"/>
  <c r="S219" i="9"/>
  <c r="R219" i="9"/>
  <c r="Q219" i="9"/>
  <c r="P219" i="9"/>
  <c r="O219" i="9"/>
  <c r="N219" i="9"/>
  <c r="M219" i="9"/>
  <c r="L219" i="9"/>
  <c r="K219" i="9"/>
  <c r="J219" i="9"/>
  <c r="I219" i="9"/>
  <c r="H219" i="9"/>
  <c r="G219" i="9"/>
  <c r="F219" i="9"/>
  <c r="E219" i="9"/>
  <c r="D219" i="9"/>
  <c r="C219" i="9"/>
  <c r="B219" i="9"/>
  <c r="AG218" i="9"/>
  <c r="H219" i="5" s="1"/>
  <c r="AG217" i="9"/>
  <c r="H217" i="5" s="1"/>
  <c r="AG216" i="9"/>
  <c r="H216" i="5" s="1"/>
  <c r="AF215" i="9"/>
  <c r="AE215" i="9"/>
  <c r="AD215" i="9"/>
  <c r="AC215" i="9"/>
  <c r="AB215" i="9"/>
  <c r="AA215" i="9"/>
  <c r="Z215" i="9"/>
  <c r="Y215" i="9"/>
  <c r="X215" i="9"/>
  <c r="W215" i="9"/>
  <c r="V215" i="9"/>
  <c r="U215" i="9"/>
  <c r="T215" i="9"/>
  <c r="S215" i="9"/>
  <c r="R215" i="9"/>
  <c r="Q215" i="9"/>
  <c r="P215" i="9"/>
  <c r="O215" i="9"/>
  <c r="N215" i="9"/>
  <c r="M215" i="9"/>
  <c r="L215" i="9"/>
  <c r="K215" i="9"/>
  <c r="J215" i="9"/>
  <c r="I215" i="9"/>
  <c r="H215" i="9"/>
  <c r="G215" i="9"/>
  <c r="F215" i="9"/>
  <c r="E215" i="9"/>
  <c r="D215" i="9"/>
  <c r="C215" i="9"/>
  <c r="B215" i="9"/>
  <c r="AG214" i="9"/>
  <c r="H214" i="5" s="1"/>
  <c r="AG213" i="9"/>
  <c r="H213" i="5" s="1"/>
  <c r="AG212" i="9"/>
  <c r="H212" i="5" s="1"/>
  <c r="AG211" i="9"/>
  <c r="H211" i="5" s="1"/>
  <c r="AG210" i="9"/>
  <c r="H210" i="5" s="1"/>
  <c r="AF209" i="9"/>
  <c r="AE209" i="9"/>
  <c r="AD209" i="9"/>
  <c r="AC209" i="9"/>
  <c r="AB209" i="9"/>
  <c r="AA209" i="9"/>
  <c r="Z209" i="9"/>
  <c r="Y209" i="9"/>
  <c r="X209" i="9"/>
  <c r="W209" i="9"/>
  <c r="V209" i="9"/>
  <c r="U209" i="9"/>
  <c r="T209" i="9"/>
  <c r="S209" i="9"/>
  <c r="R209" i="9"/>
  <c r="Q209" i="9"/>
  <c r="P209" i="9"/>
  <c r="O209" i="9"/>
  <c r="N209" i="9"/>
  <c r="M209" i="9"/>
  <c r="L209" i="9"/>
  <c r="K209" i="9"/>
  <c r="J209" i="9"/>
  <c r="I209" i="9"/>
  <c r="H209" i="9"/>
  <c r="G209" i="9"/>
  <c r="F209" i="9"/>
  <c r="E209" i="9"/>
  <c r="D209" i="9"/>
  <c r="C209" i="9"/>
  <c r="B209" i="9"/>
  <c r="AG208" i="9"/>
  <c r="H208" i="5" s="1"/>
  <c r="AG207" i="9"/>
  <c r="H207" i="5" s="1"/>
  <c r="AG206" i="9"/>
  <c r="H206" i="5" s="1"/>
  <c r="AG205" i="9"/>
  <c r="H205" i="5" s="1"/>
  <c r="AG204" i="9"/>
  <c r="H204" i="5" s="1"/>
  <c r="AG203" i="9"/>
  <c r="H203" i="5" s="1"/>
  <c r="AG202" i="9"/>
  <c r="H202" i="5" s="1"/>
  <c r="AG201" i="9"/>
  <c r="H201" i="5" s="1"/>
  <c r="AG200" i="9"/>
  <c r="H200" i="5" s="1"/>
  <c r="AG199" i="9"/>
  <c r="H199" i="5" s="1"/>
  <c r="AG198" i="9"/>
  <c r="H198" i="5" s="1"/>
  <c r="AG197" i="9"/>
  <c r="H197" i="5" s="1"/>
  <c r="AG196" i="9"/>
  <c r="H196" i="5" s="1"/>
  <c r="AG195" i="9"/>
  <c r="H195" i="5" s="1"/>
  <c r="AG194" i="9"/>
  <c r="H194" i="5" s="1"/>
  <c r="AG193" i="9"/>
  <c r="H193" i="5" s="1"/>
  <c r="AG192" i="9"/>
  <c r="H192" i="5" s="1"/>
  <c r="AG191" i="9"/>
  <c r="H191" i="5" s="1"/>
  <c r="AG190" i="9"/>
  <c r="H190" i="5" s="1"/>
  <c r="AG189" i="9"/>
  <c r="H189" i="5" s="1"/>
  <c r="AG188" i="9"/>
  <c r="H188" i="5" s="1"/>
  <c r="AG187" i="9"/>
  <c r="H187" i="5" s="1"/>
  <c r="AG186" i="9"/>
  <c r="H186" i="5" s="1"/>
  <c r="AG185" i="9"/>
  <c r="H185" i="5" s="1"/>
  <c r="AG184" i="9"/>
  <c r="H184" i="5" s="1"/>
  <c r="AG183" i="9"/>
  <c r="H183" i="5" s="1"/>
  <c r="AF182" i="9"/>
  <c r="AE182" i="9"/>
  <c r="AD182" i="9"/>
  <c r="AC182" i="9"/>
  <c r="AB182" i="9"/>
  <c r="AA182" i="9"/>
  <c r="Z182" i="9"/>
  <c r="Y182" i="9"/>
  <c r="X182" i="9"/>
  <c r="W182" i="9"/>
  <c r="V182" i="9"/>
  <c r="U182" i="9"/>
  <c r="T182" i="9"/>
  <c r="S182" i="9"/>
  <c r="R182" i="9"/>
  <c r="Q182" i="9"/>
  <c r="P182" i="9"/>
  <c r="O182" i="9"/>
  <c r="N182" i="9"/>
  <c r="M182" i="9"/>
  <c r="L182" i="9"/>
  <c r="K182" i="9"/>
  <c r="J182" i="9"/>
  <c r="I182" i="9"/>
  <c r="H182" i="9"/>
  <c r="G182" i="9"/>
  <c r="F182" i="9"/>
  <c r="E182" i="9"/>
  <c r="D182" i="9"/>
  <c r="C182" i="9"/>
  <c r="B182" i="9"/>
  <c r="AG181" i="9"/>
  <c r="H181" i="5" s="1"/>
  <c r="AG180" i="9"/>
  <c r="H180" i="5" s="1"/>
  <c r="AG179" i="9"/>
  <c r="H179" i="5" s="1"/>
  <c r="AG178" i="9"/>
  <c r="H178" i="5" s="1"/>
  <c r="AF177" i="9"/>
  <c r="AE177" i="9"/>
  <c r="AD177" i="9"/>
  <c r="AC177" i="9"/>
  <c r="AB177" i="9"/>
  <c r="AA177" i="9"/>
  <c r="Z177" i="9"/>
  <c r="Y177" i="9"/>
  <c r="X177" i="9"/>
  <c r="W177" i="9"/>
  <c r="V177" i="9"/>
  <c r="U177" i="9"/>
  <c r="T177" i="9"/>
  <c r="S177" i="9"/>
  <c r="R177" i="9"/>
  <c r="Q177" i="9"/>
  <c r="P177" i="9"/>
  <c r="O177" i="9"/>
  <c r="N177" i="9"/>
  <c r="M177" i="9"/>
  <c r="L177" i="9"/>
  <c r="K177" i="9"/>
  <c r="J177" i="9"/>
  <c r="I177" i="9"/>
  <c r="H177" i="9"/>
  <c r="G177" i="9"/>
  <c r="F177" i="9"/>
  <c r="E177" i="9"/>
  <c r="D177" i="9"/>
  <c r="C177" i="9"/>
  <c r="B177" i="9"/>
  <c r="AG176" i="9"/>
  <c r="H176" i="5" s="1"/>
  <c r="AG175" i="9"/>
  <c r="H175" i="5" s="1"/>
  <c r="AG174" i="9"/>
  <c r="H174" i="5" s="1"/>
  <c r="AF173" i="9"/>
  <c r="AE173" i="9"/>
  <c r="AD173" i="9"/>
  <c r="AC173" i="9"/>
  <c r="AB173" i="9"/>
  <c r="AA173" i="9"/>
  <c r="Z173" i="9"/>
  <c r="Y173" i="9"/>
  <c r="X173" i="9"/>
  <c r="W173" i="9"/>
  <c r="V173" i="9"/>
  <c r="U173" i="9"/>
  <c r="T173" i="9"/>
  <c r="S173" i="9"/>
  <c r="R173" i="9"/>
  <c r="Q173" i="9"/>
  <c r="P173" i="9"/>
  <c r="O173" i="9"/>
  <c r="N173" i="9"/>
  <c r="M173" i="9"/>
  <c r="L173" i="9"/>
  <c r="K173" i="9"/>
  <c r="J173" i="9"/>
  <c r="I173" i="9"/>
  <c r="H173" i="9"/>
  <c r="G173" i="9"/>
  <c r="F173" i="9"/>
  <c r="E173" i="9"/>
  <c r="D173" i="9"/>
  <c r="C173" i="9"/>
  <c r="B173" i="9"/>
  <c r="AG172" i="9"/>
  <c r="H172" i="5" s="1"/>
  <c r="AG171" i="9"/>
  <c r="H171" i="5" s="1"/>
  <c r="AG170" i="9"/>
  <c r="H170" i="5" s="1"/>
  <c r="AG169" i="9"/>
  <c r="H169" i="5" s="1"/>
  <c r="AG168" i="9"/>
  <c r="H168" i="5" s="1"/>
  <c r="AF167" i="9"/>
  <c r="AE167" i="9"/>
  <c r="AD167" i="9"/>
  <c r="AC167" i="9"/>
  <c r="AB167" i="9"/>
  <c r="AA167" i="9"/>
  <c r="Z167" i="9"/>
  <c r="Y167" i="9"/>
  <c r="X167" i="9"/>
  <c r="W167" i="9"/>
  <c r="V167" i="9"/>
  <c r="U167" i="9"/>
  <c r="T167" i="9"/>
  <c r="S167" i="9"/>
  <c r="R167" i="9"/>
  <c r="Q167" i="9"/>
  <c r="P167" i="9"/>
  <c r="O167" i="9"/>
  <c r="N167" i="9"/>
  <c r="M167" i="9"/>
  <c r="L167" i="9"/>
  <c r="K167" i="9"/>
  <c r="J167" i="9"/>
  <c r="I167" i="9"/>
  <c r="H167" i="9"/>
  <c r="G167" i="9"/>
  <c r="F167" i="9"/>
  <c r="E167" i="9"/>
  <c r="D167" i="9"/>
  <c r="C167" i="9"/>
  <c r="B167" i="9"/>
  <c r="AG166" i="9"/>
  <c r="H166" i="5" s="1"/>
  <c r="AG165" i="9"/>
  <c r="H165" i="5" s="1"/>
  <c r="AG164" i="9"/>
  <c r="H164" i="5" s="1"/>
  <c r="AG163" i="9"/>
  <c r="H163" i="5" s="1"/>
  <c r="AG162" i="9"/>
  <c r="H162" i="5" s="1"/>
  <c r="AG161" i="9"/>
  <c r="H161" i="5" s="1"/>
  <c r="AG160" i="9"/>
  <c r="H160" i="5" s="1"/>
  <c r="AG159" i="9"/>
  <c r="H159" i="5" s="1"/>
  <c r="AF158" i="9"/>
  <c r="AE158" i="9"/>
  <c r="AD158" i="9"/>
  <c r="AC158" i="9"/>
  <c r="AB158" i="9"/>
  <c r="AA158" i="9"/>
  <c r="Z158" i="9"/>
  <c r="Y158" i="9"/>
  <c r="X158" i="9"/>
  <c r="W158" i="9"/>
  <c r="V158" i="9"/>
  <c r="U158" i="9"/>
  <c r="T158" i="9"/>
  <c r="S158" i="9"/>
  <c r="R158" i="9"/>
  <c r="Q158" i="9"/>
  <c r="P158" i="9"/>
  <c r="O158" i="9"/>
  <c r="N158" i="9"/>
  <c r="M158" i="9"/>
  <c r="L158" i="9"/>
  <c r="K158" i="9"/>
  <c r="J158" i="9"/>
  <c r="I158" i="9"/>
  <c r="H158" i="9"/>
  <c r="G158" i="9"/>
  <c r="F158" i="9"/>
  <c r="E158" i="9"/>
  <c r="D158" i="9"/>
  <c r="C158" i="9"/>
  <c r="B158" i="9"/>
  <c r="AG157" i="9"/>
  <c r="H157" i="5" s="1"/>
  <c r="AG156" i="9"/>
  <c r="H156" i="5" s="1"/>
  <c r="AG155" i="9"/>
  <c r="H155" i="5" s="1"/>
  <c r="AG154" i="9"/>
  <c r="H154" i="5" s="1"/>
  <c r="AG153" i="9"/>
  <c r="H153" i="5" s="1"/>
  <c r="AG152" i="9"/>
  <c r="H152" i="5" s="1"/>
  <c r="AG151" i="9"/>
  <c r="H151" i="5" s="1"/>
  <c r="AG150" i="9"/>
  <c r="H150" i="5" s="1"/>
  <c r="AG149" i="9"/>
  <c r="H149" i="5" s="1"/>
  <c r="AF148" i="9"/>
  <c r="AF146" i="9" s="1"/>
  <c r="AF144" i="9" s="1"/>
  <c r="AE148" i="9"/>
  <c r="AE146" i="9" s="1"/>
  <c r="AD148" i="9"/>
  <c r="AD146" i="9" s="1"/>
  <c r="AC148" i="9"/>
  <c r="AC146" i="9" s="1"/>
  <c r="AB148" i="9"/>
  <c r="AB146" i="9" s="1"/>
  <c r="AB144" i="9" s="1"/>
  <c r="AA148" i="9"/>
  <c r="AA146" i="9" s="1"/>
  <c r="AA144" i="9" s="1"/>
  <c r="Z148" i="9"/>
  <c r="Z146" i="9" s="1"/>
  <c r="Y148" i="9"/>
  <c r="Y146" i="9" s="1"/>
  <c r="X148" i="9"/>
  <c r="X146" i="9" s="1"/>
  <c r="W148" i="9"/>
  <c r="W146" i="9" s="1"/>
  <c r="V148" i="9"/>
  <c r="V146" i="9" s="1"/>
  <c r="U148" i="9"/>
  <c r="U146" i="9" s="1"/>
  <c r="T148" i="9"/>
  <c r="T146" i="9" s="1"/>
  <c r="T144" i="9" s="1"/>
  <c r="S148" i="9"/>
  <c r="R148" i="9"/>
  <c r="R146" i="9" s="1"/>
  <c r="Q148" i="9"/>
  <c r="Q146" i="9" s="1"/>
  <c r="P148" i="9"/>
  <c r="P146" i="9" s="1"/>
  <c r="O148" i="9"/>
  <c r="O146" i="9" s="1"/>
  <c r="N148" i="9"/>
  <c r="N146" i="9" s="1"/>
  <c r="N144" i="9" s="1"/>
  <c r="M148" i="9"/>
  <c r="M146" i="9" s="1"/>
  <c r="M144" i="9" s="1"/>
  <c r="L148" i="9"/>
  <c r="L146" i="9" s="1"/>
  <c r="L144" i="9" s="1"/>
  <c r="K148" i="9"/>
  <c r="J148" i="9"/>
  <c r="J146" i="9" s="1"/>
  <c r="I148" i="9"/>
  <c r="H148" i="9"/>
  <c r="H146" i="9" s="1"/>
  <c r="H144" i="9" s="1"/>
  <c r="G148" i="9"/>
  <c r="G146" i="9" s="1"/>
  <c r="F148" i="9"/>
  <c r="F146" i="9" s="1"/>
  <c r="E148" i="9"/>
  <c r="E146" i="9" s="1"/>
  <c r="E144" i="9" s="1"/>
  <c r="D148" i="9"/>
  <c r="D146" i="9" s="1"/>
  <c r="D144" i="9" s="1"/>
  <c r="C148" i="9"/>
  <c r="B148" i="9"/>
  <c r="B146" i="9" s="1"/>
  <c r="AE147" i="9"/>
  <c r="AD147" i="9"/>
  <c r="AC147" i="9"/>
  <c r="AB147" i="9"/>
  <c r="AA147" i="9"/>
  <c r="Z147" i="9"/>
  <c r="Y147" i="9"/>
  <c r="X147" i="9"/>
  <c r="W147" i="9"/>
  <c r="V147" i="9"/>
  <c r="U147" i="9"/>
  <c r="T147" i="9"/>
  <c r="S147" i="9"/>
  <c r="R147" i="9"/>
  <c r="Q147" i="9"/>
  <c r="P147" i="9"/>
  <c r="O147" i="9"/>
  <c r="N147" i="9"/>
  <c r="M147" i="9"/>
  <c r="L147" i="9"/>
  <c r="K147" i="9"/>
  <c r="J147" i="9"/>
  <c r="I147" i="9"/>
  <c r="H147" i="9"/>
  <c r="G147" i="9"/>
  <c r="F147" i="9"/>
  <c r="E147" i="9"/>
  <c r="D147" i="9"/>
  <c r="C147" i="9"/>
  <c r="B147" i="9"/>
  <c r="S146" i="9"/>
  <c r="S144" i="9" s="1"/>
  <c r="K146" i="9"/>
  <c r="I146" i="9"/>
  <c r="C146" i="9"/>
  <c r="AF145" i="9"/>
  <c r="AE145" i="9"/>
  <c r="AD145" i="9"/>
  <c r="AC145" i="9"/>
  <c r="AB145" i="9"/>
  <c r="AA145" i="9"/>
  <c r="Z145" i="9"/>
  <c r="Y145" i="9"/>
  <c r="X145" i="9"/>
  <c r="W145" i="9"/>
  <c r="V145" i="9"/>
  <c r="U145" i="9"/>
  <c r="T145" i="9"/>
  <c r="S145" i="9"/>
  <c r="R145" i="9"/>
  <c r="Q145" i="9"/>
  <c r="P145" i="9"/>
  <c r="O145" i="9"/>
  <c r="N145" i="9"/>
  <c r="M145" i="9"/>
  <c r="L145" i="9"/>
  <c r="K145" i="9"/>
  <c r="J145" i="9"/>
  <c r="I145" i="9"/>
  <c r="H145" i="9"/>
  <c r="G145" i="9"/>
  <c r="F145" i="9"/>
  <c r="E145" i="9"/>
  <c r="D145" i="9"/>
  <c r="C145" i="9"/>
  <c r="B145" i="9"/>
  <c r="AG141" i="9"/>
  <c r="H141" i="5" s="1"/>
  <c r="AG140" i="9"/>
  <c r="H140" i="5" s="1"/>
  <c r="AG139" i="9"/>
  <c r="H139" i="5" s="1"/>
  <c r="AG138" i="9"/>
  <c r="H138" i="5" s="1"/>
  <c r="AG136" i="9"/>
  <c r="H136" i="5" s="1"/>
  <c r="AG135" i="9"/>
  <c r="H135" i="5" s="1"/>
  <c r="AG133" i="9"/>
  <c r="H133" i="5" s="1"/>
  <c r="AG132" i="9"/>
  <c r="H132" i="5" s="1"/>
  <c r="AG131" i="9"/>
  <c r="H131" i="5" s="1"/>
  <c r="AF130" i="9"/>
  <c r="AE130" i="9"/>
  <c r="AD130" i="9"/>
  <c r="AC130" i="9"/>
  <c r="AB130" i="9"/>
  <c r="AA130" i="9"/>
  <c r="Z130" i="9"/>
  <c r="Y130" i="9"/>
  <c r="X130" i="9"/>
  <c r="W130" i="9"/>
  <c r="V130" i="9"/>
  <c r="U130" i="9"/>
  <c r="T130" i="9"/>
  <c r="S130" i="9"/>
  <c r="R130" i="9"/>
  <c r="Q130" i="9"/>
  <c r="P130" i="9"/>
  <c r="O130" i="9"/>
  <c r="N130" i="9"/>
  <c r="M130" i="9"/>
  <c r="L130" i="9"/>
  <c r="K130" i="9"/>
  <c r="J130" i="9"/>
  <c r="I130" i="9"/>
  <c r="H130" i="9"/>
  <c r="AG128" i="9"/>
  <c r="H128" i="5" s="1"/>
  <c r="AG127" i="9"/>
  <c r="H127" i="5" s="1"/>
  <c r="AG126" i="9"/>
  <c r="H126" i="5" s="1"/>
  <c r="AG125" i="9"/>
  <c r="H125" i="5" s="1"/>
  <c r="AG124" i="9"/>
  <c r="H124" i="5" s="1"/>
  <c r="AG123" i="9"/>
  <c r="H123" i="5" s="1"/>
  <c r="AG122" i="9"/>
  <c r="H122" i="5" s="1"/>
  <c r="AG121" i="9"/>
  <c r="H121" i="5" s="1"/>
  <c r="AG120" i="9"/>
  <c r="H120" i="5" s="1"/>
  <c r="AG119" i="9"/>
  <c r="H119" i="5" s="1"/>
  <c r="AG118" i="9"/>
  <c r="H118" i="5" s="1"/>
  <c r="AG117" i="9"/>
  <c r="H117" i="5" s="1"/>
  <c r="AF116" i="9"/>
  <c r="AE116" i="9"/>
  <c r="AD116" i="9"/>
  <c r="AC116" i="9"/>
  <c r="AB116" i="9"/>
  <c r="AA116" i="9"/>
  <c r="Z116" i="9"/>
  <c r="Y116" i="9"/>
  <c r="X116" i="9"/>
  <c r="W116" i="9"/>
  <c r="V116" i="9"/>
  <c r="U116" i="9"/>
  <c r="T116" i="9"/>
  <c r="S116" i="9"/>
  <c r="R116" i="9"/>
  <c r="Q116" i="9"/>
  <c r="P116" i="9"/>
  <c r="O116" i="9"/>
  <c r="N116" i="9"/>
  <c r="M116" i="9"/>
  <c r="L116" i="9"/>
  <c r="K116" i="9"/>
  <c r="J116" i="9"/>
  <c r="I116" i="9"/>
  <c r="H116" i="9"/>
  <c r="G116" i="9"/>
  <c r="E116" i="9"/>
  <c r="B116" i="9"/>
  <c r="AG115" i="9"/>
  <c r="H115" i="5" s="1"/>
  <c r="AG114" i="9"/>
  <c r="H114" i="5" s="1"/>
  <c r="AG113" i="9"/>
  <c r="H113" i="5" s="1"/>
  <c r="AG112" i="9"/>
  <c r="H112" i="5" s="1"/>
  <c r="AG111" i="9"/>
  <c r="H111" i="5" s="1"/>
  <c r="AG110" i="9"/>
  <c r="H110" i="5" s="1"/>
  <c r="AG109" i="9"/>
  <c r="H109" i="5" s="1"/>
  <c r="AG108" i="9"/>
  <c r="H108" i="5" s="1"/>
  <c r="AG107" i="9"/>
  <c r="H107" i="5" s="1"/>
  <c r="AG106" i="9"/>
  <c r="H106" i="5" s="1"/>
  <c r="AG105" i="9"/>
  <c r="H105" i="5" s="1"/>
  <c r="AG104" i="9"/>
  <c r="H104" i="5" s="1"/>
  <c r="AG103" i="9"/>
  <c r="H103" i="5" s="1"/>
  <c r="AG102" i="9"/>
  <c r="H102" i="5" s="1"/>
  <c r="AG101" i="9"/>
  <c r="H101" i="5" s="1"/>
  <c r="AF100" i="9"/>
  <c r="AF93" i="9" s="1"/>
  <c r="AE100" i="9"/>
  <c r="AD100" i="9"/>
  <c r="AC100" i="9"/>
  <c r="AB100" i="9"/>
  <c r="AA100" i="9"/>
  <c r="Z100" i="9"/>
  <c r="Y100" i="9"/>
  <c r="X100" i="9"/>
  <c r="W100" i="9"/>
  <c r="V100" i="9"/>
  <c r="U100" i="9"/>
  <c r="T100" i="9"/>
  <c r="S100" i="9"/>
  <c r="R100" i="9"/>
  <c r="Q100" i="9"/>
  <c r="P100" i="9"/>
  <c r="O100" i="9"/>
  <c r="N100" i="9"/>
  <c r="M100" i="9"/>
  <c r="L100" i="9"/>
  <c r="K100" i="9"/>
  <c r="J100" i="9"/>
  <c r="I100" i="9"/>
  <c r="H100" i="9"/>
  <c r="G100" i="9"/>
  <c r="F100" i="9"/>
  <c r="E100" i="9"/>
  <c r="D100" i="9"/>
  <c r="C100" i="9"/>
  <c r="B100" i="9"/>
  <c r="AG99" i="9"/>
  <c r="H99" i="5" s="1"/>
  <c r="AG98" i="9"/>
  <c r="H98" i="5" s="1"/>
  <c r="AG97" i="9"/>
  <c r="H97" i="5" s="1"/>
  <c r="AG96" i="9"/>
  <c r="H96" i="5" s="1"/>
  <c r="AG95" i="9"/>
  <c r="H95" i="5" s="1"/>
  <c r="AF94" i="9"/>
  <c r="AE94" i="9"/>
  <c r="AD94" i="9"/>
  <c r="AC94" i="9"/>
  <c r="AB94" i="9"/>
  <c r="AB93" i="9" s="1"/>
  <c r="AA94" i="9"/>
  <c r="Z94" i="9"/>
  <c r="Y94" i="9"/>
  <c r="X94" i="9"/>
  <c r="W94" i="9"/>
  <c r="W93" i="9" s="1"/>
  <c r="V94" i="9"/>
  <c r="U94" i="9"/>
  <c r="T94" i="9"/>
  <c r="S94" i="9"/>
  <c r="S93" i="9" s="1"/>
  <c r="R94" i="9"/>
  <c r="Q94" i="9"/>
  <c r="P94" i="9"/>
  <c r="O94" i="9"/>
  <c r="N94" i="9"/>
  <c r="M94" i="9"/>
  <c r="L94" i="9"/>
  <c r="K94" i="9"/>
  <c r="J94" i="9"/>
  <c r="I94" i="9"/>
  <c r="I93" i="9" s="1"/>
  <c r="H94" i="9"/>
  <c r="G94" i="9"/>
  <c r="G93" i="9" s="1"/>
  <c r="F94" i="9"/>
  <c r="E94" i="9"/>
  <c r="D94" i="9"/>
  <c r="C94" i="9"/>
  <c r="B94" i="9"/>
  <c r="AG92" i="9"/>
  <c r="H92" i="5" s="1"/>
  <c r="AG91" i="9"/>
  <c r="H91" i="5" s="1"/>
  <c r="AG90" i="9"/>
  <c r="H90" i="5" s="1"/>
  <c r="AG89" i="9"/>
  <c r="H89" i="5" s="1"/>
  <c r="AG88" i="9"/>
  <c r="H88" i="5" s="1"/>
  <c r="AF87" i="9"/>
  <c r="AE87" i="9"/>
  <c r="AD87" i="9"/>
  <c r="AC87" i="9"/>
  <c r="AB87" i="9"/>
  <c r="AA87" i="9"/>
  <c r="Z87" i="9"/>
  <c r="Y87" i="9"/>
  <c r="X87" i="9"/>
  <c r="W87" i="9"/>
  <c r="V87" i="9"/>
  <c r="U87" i="9"/>
  <c r="T87" i="9"/>
  <c r="S87" i="9"/>
  <c r="R87" i="9"/>
  <c r="Q87" i="9"/>
  <c r="P87" i="9"/>
  <c r="O87" i="9"/>
  <c r="N87" i="9"/>
  <c r="M87" i="9"/>
  <c r="L87" i="9"/>
  <c r="K87" i="9"/>
  <c r="J87" i="9"/>
  <c r="I87" i="9"/>
  <c r="H87" i="9"/>
  <c r="G87" i="9"/>
  <c r="F87" i="9"/>
  <c r="E87" i="9"/>
  <c r="D87" i="9"/>
  <c r="C87" i="9"/>
  <c r="B87" i="9"/>
  <c r="AG86" i="9"/>
  <c r="H86" i="5" s="1"/>
  <c r="AG85" i="9"/>
  <c r="H85" i="5" s="1"/>
  <c r="AF84" i="9"/>
  <c r="AE84" i="9"/>
  <c r="AD84" i="9"/>
  <c r="AC84" i="9"/>
  <c r="AB84" i="9"/>
  <c r="AA84" i="9"/>
  <c r="Z84" i="9"/>
  <c r="Y84" i="9"/>
  <c r="X84" i="9"/>
  <c r="W84" i="9"/>
  <c r="V84" i="9"/>
  <c r="U84" i="9"/>
  <c r="T84" i="9"/>
  <c r="S84" i="9"/>
  <c r="R84" i="9"/>
  <c r="Q84" i="9"/>
  <c r="P84" i="9"/>
  <c r="O84" i="9"/>
  <c r="N84" i="9"/>
  <c r="M84" i="9"/>
  <c r="L84" i="9"/>
  <c r="K84" i="9"/>
  <c r="J84" i="9"/>
  <c r="I84" i="9"/>
  <c r="H84" i="9"/>
  <c r="G84" i="9"/>
  <c r="F84" i="9"/>
  <c r="E84" i="9"/>
  <c r="D84" i="9"/>
  <c r="C84" i="9"/>
  <c r="B84" i="9"/>
  <c r="AF83" i="9"/>
  <c r="AF81" i="9" s="1"/>
  <c r="AE82" i="9"/>
  <c r="AE83" i="9" s="1"/>
  <c r="AD82" i="9"/>
  <c r="AD83" i="9" s="1"/>
  <c r="AD81" i="9" s="1"/>
  <c r="AC82" i="9"/>
  <c r="AB82" i="9"/>
  <c r="AB83" i="9" s="1"/>
  <c r="AB81" i="9" s="1"/>
  <c r="AA82" i="9"/>
  <c r="AA83" i="9" s="1"/>
  <c r="Z83" i="9"/>
  <c r="Z81" i="9" s="1"/>
  <c r="Y83" i="9"/>
  <c r="Y81" i="9" s="1"/>
  <c r="X82" i="9"/>
  <c r="X83" i="9" s="1"/>
  <c r="X81" i="9" s="1"/>
  <c r="W82" i="9"/>
  <c r="W83" i="9" s="1"/>
  <c r="V82" i="9"/>
  <c r="V83" i="9" s="1"/>
  <c r="V81" i="9" s="1"/>
  <c r="U82" i="9"/>
  <c r="U83" i="9" s="1"/>
  <c r="T82" i="9"/>
  <c r="T83" i="9" s="1"/>
  <c r="T81" i="9" s="1"/>
  <c r="S83" i="9"/>
  <c r="R83" i="9"/>
  <c r="R81" i="9" s="1"/>
  <c r="Q83" i="9"/>
  <c r="Q81" i="9" s="1"/>
  <c r="P82" i="9"/>
  <c r="P83" i="9" s="1"/>
  <c r="P81" i="9" s="1"/>
  <c r="O82" i="9"/>
  <c r="O83" i="9" s="1"/>
  <c r="N82" i="9"/>
  <c r="N83" i="9" s="1"/>
  <c r="N81" i="9" s="1"/>
  <c r="M82" i="9"/>
  <c r="L83" i="9"/>
  <c r="L81" i="9" s="1"/>
  <c r="K83" i="9"/>
  <c r="J82" i="9"/>
  <c r="J83" i="9" s="1"/>
  <c r="J81" i="9" s="1"/>
  <c r="I82" i="9"/>
  <c r="I83" i="9" s="1"/>
  <c r="I81" i="9" s="1"/>
  <c r="H82" i="9"/>
  <c r="H83" i="9" s="1"/>
  <c r="H81" i="9" s="1"/>
  <c r="G82" i="9"/>
  <c r="G83" i="9" s="1"/>
  <c r="F82" i="9"/>
  <c r="F83" i="9" s="1"/>
  <c r="F81" i="9" s="1"/>
  <c r="D83" i="9"/>
  <c r="D81" i="9" s="1"/>
  <c r="C82" i="9"/>
  <c r="C83" i="9" s="1"/>
  <c r="B82" i="9"/>
  <c r="B83" i="9" s="1"/>
  <c r="AF80" i="9"/>
  <c r="AF79" i="9" s="1"/>
  <c r="AF78" i="9" s="1"/>
  <c r="AC80" i="9"/>
  <c r="AC79" i="9" s="1"/>
  <c r="AC78" i="9" s="1"/>
  <c r="AB80" i="9"/>
  <c r="AB79" i="9" s="1"/>
  <c r="AB78" i="9" s="1"/>
  <c r="AA80" i="9"/>
  <c r="AA79" i="9" s="1"/>
  <c r="AA78" i="9" s="1"/>
  <c r="Y80" i="9"/>
  <c r="Y79" i="9" s="1"/>
  <c r="Y78" i="9" s="1"/>
  <c r="V80" i="9"/>
  <c r="V79" i="9" s="1"/>
  <c r="V78" i="9" s="1"/>
  <c r="U80" i="9"/>
  <c r="U79" i="9" s="1"/>
  <c r="U78" i="9" s="1"/>
  <c r="T80" i="9"/>
  <c r="T79" i="9" s="1"/>
  <c r="T78" i="9" s="1"/>
  <c r="S80" i="9"/>
  <c r="S79" i="9" s="1"/>
  <c r="S78" i="9" s="1"/>
  <c r="R80" i="9"/>
  <c r="R79" i="9" s="1"/>
  <c r="R78" i="9" s="1"/>
  <c r="O80" i="9"/>
  <c r="O79" i="9" s="1"/>
  <c r="O78" i="9" s="1"/>
  <c r="N80" i="9"/>
  <c r="N79" i="9" s="1"/>
  <c r="N78" i="9" s="1"/>
  <c r="M80" i="9"/>
  <c r="M79" i="9" s="1"/>
  <c r="M78" i="9" s="1"/>
  <c r="H80" i="9"/>
  <c r="H79" i="9" s="1"/>
  <c r="H78" i="9" s="1"/>
  <c r="G80" i="9"/>
  <c r="G79" i="9" s="1"/>
  <c r="G78" i="9" s="1"/>
  <c r="F80" i="9"/>
  <c r="F79" i="9" s="1"/>
  <c r="F78" i="9" s="1"/>
  <c r="AE79" i="9"/>
  <c r="AE78" i="9" s="1"/>
  <c r="AD79" i="9"/>
  <c r="AD78" i="9" s="1"/>
  <c r="Z79" i="9"/>
  <c r="Z78" i="9" s="1"/>
  <c r="X79" i="9"/>
  <c r="X78" i="9" s="1"/>
  <c r="W79" i="9"/>
  <c r="W78" i="9" s="1"/>
  <c r="Q79" i="9"/>
  <c r="Q78" i="9" s="1"/>
  <c r="P79" i="9"/>
  <c r="P78" i="9" s="1"/>
  <c r="L79" i="9"/>
  <c r="L78" i="9" s="1"/>
  <c r="K79" i="9"/>
  <c r="J79" i="9"/>
  <c r="J78" i="9" s="1"/>
  <c r="I79" i="9"/>
  <c r="I78" i="9" s="1"/>
  <c r="E79" i="9"/>
  <c r="E78" i="9" s="1"/>
  <c r="D79" i="9"/>
  <c r="D78" i="9" s="1"/>
  <c r="C79" i="9"/>
  <c r="C78" i="9" s="1"/>
  <c r="B79" i="9"/>
  <c r="B78" i="9" s="1"/>
  <c r="K78" i="9"/>
  <c r="AG77" i="9"/>
  <c r="H77" i="5" s="1"/>
  <c r="AG76" i="9"/>
  <c r="H76" i="5" s="1"/>
  <c r="AG75" i="9"/>
  <c r="H75" i="5" s="1"/>
  <c r="AG74" i="9"/>
  <c r="H74" i="5" s="1"/>
  <c r="AG73" i="9"/>
  <c r="H73" i="5" s="1"/>
  <c r="AG72" i="9"/>
  <c r="H72" i="5" s="1"/>
  <c r="AG71" i="9"/>
  <c r="H71" i="5" s="1"/>
  <c r="AG70" i="9"/>
  <c r="H70" i="5" s="1"/>
  <c r="AG69" i="9"/>
  <c r="H69" i="5" s="1"/>
  <c r="AG68" i="9"/>
  <c r="H68" i="5" s="1"/>
  <c r="AG67" i="9"/>
  <c r="H67" i="5" s="1"/>
  <c r="AG66" i="9"/>
  <c r="H66" i="5" s="1"/>
  <c r="AG65" i="9"/>
  <c r="H65" i="5" s="1"/>
  <c r="AG64" i="9"/>
  <c r="H64" i="5" s="1"/>
  <c r="AG63" i="9"/>
  <c r="H63" i="5" s="1"/>
  <c r="AG62" i="9"/>
  <c r="H62" i="5" s="1"/>
  <c r="AG61" i="9"/>
  <c r="H61" i="5" s="1"/>
  <c r="AG60" i="9"/>
  <c r="H60" i="5" s="1"/>
  <c r="AG59" i="9"/>
  <c r="H59" i="5" s="1"/>
  <c r="AG58" i="9"/>
  <c r="H58" i="5" s="1"/>
  <c r="AG57" i="9"/>
  <c r="H57" i="5" s="1"/>
  <c r="AG56" i="9"/>
  <c r="H56" i="5" s="1"/>
  <c r="AG55" i="9"/>
  <c r="H55" i="5" s="1"/>
  <c r="AG54" i="9"/>
  <c r="H54" i="5" s="1"/>
  <c r="AF53" i="9"/>
  <c r="AE53" i="9"/>
  <c r="AD53" i="9"/>
  <c r="AC53" i="9"/>
  <c r="AB53" i="9"/>
  <c r="AA53" i="9"/>
  <c r="Z53" i="9"/>
  <c r="Y53" i="9"/>
  <c r="X53" i="9"/>
  <c r="W53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B53" i="9"/>
  <c r="AG52" i="9"/>
  <c r="H52" i="5" s="1"/>
  <c r="AG51" i="9"/>
  <c r="H51" i="5" s="1"/>
  <c r="AG50" i="9"/>
  <c r="H50" i="5" s="1"/>
  <c r="AG49" i="9"/>
  <c r="H49" i="5" s="1"/>
  <c r="AG48" i="9"/>
  <c r="H48" i="5" s="1"/>
  <c r="AG47" i="9"/>
  <c r="H47" i="5" s="1"/>
  <c r="AG46" i="9"/>
  <c r="H46" i="5" s="1"/>
  <c r="AG45" i="9"/>
  <c r="H45" i="5" s="1"/>
  <c r="AG44" i="9"/>
  <c r="H44" i="5" s="1"/>
  <c r="AG43" i="9"/>
  <c r="H43" i="5" s="1"/>
  <c r="AG42" i="9"/>
  <c r="H42" i="5" s="1"/>
  <c r="AG41" i="9"/>
  <c r="H41" i="5" s="1"/>
  <c r="AG40" i="9"/>
  <c r="H40" i="5" s="1"/>
  <c r="AG39" i="9"/>
  <c r="H39" i="5" s="1"/>
  <c r="AG38" i="9"/>
  <c r="H38" i="5" s="1"/>
  <c r="AG37" i="9"/>
  <c r="H37" i="5" s="1"/>
  <c r="AG36" i="9"/>
  <c r="H36" i="5" s="1"/>
  <c r="AG35" i="9"/>
  <c r="H35" i="5" s="1"/>
  <c r="AG34" i="9"/>
  <c r="H34" i="5" s="1"/>
  <c r="AG33" i="9"/>
  <c r="H33" i="5" s="1"/>
  <c r="AG32" i="9"/>
  <c r="H32" i="5" s="1"/>
  <c r="AG31" i="9"/>
  <c r="H31" i="5" s="1"/>
  <c r="AG30" i="9"/>
  <c r="H30" i="5" s="1"/>
  <c r="AG29" i="9"/>
  <c r="H29" i="5" s="1"/>
  <c r="AF28" i="9"/>
  <c r="AE28" i="9"/>
  <c r="AD28" i="9"/>
  <c r="AC28" i="9"/>
  <c r="AB28" i="9"/>
  <c r="AA28" i="9"/>
  <c r="Z28" i="9"/>
  <c r="Y28" i="9"/>
  <c r="X28" i="9"/>
  <c r="W28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B28" i="9"/>
  <c r="AG27" i="9"/>
  <c r="H27" i="5" s="1"/>
  <c r="AG26" i="9"/>
  <c r="H26" i="5" s="1"/>
  <c r="AG25" i="9"/>
  <c r="H25" i="5" s="1"/>
  <c r="AG24" i="9"/>
  <c r="H24" i="5" s="1"/>
  <c r="AG23" i="9"/>
  <c r="H23" i="5" s="1"/>
  <c r="AG22" i="9"/>
  <c r="H22" i="5" s="1"/>
  <c r="AG21" i="9"/>
  <c r="H21" i="5" s="1"/>
  <c r="AG20" i="9"/>
  <c r="H20" i="5" s="1"/>
  <c r="AG19" i="9"/>
  <c r="H19" i="5" s="1"/>
  <c r="AG18" i="9"/>
  <c r="H18" i="5" s="1"/>
  <c r="AG17" i="9"/>
  <c r="H17" i="5" s="1"/>
  <c r="AG16" i="9"/>
  <c r="H16" i="5" s="1"/>
  <c r="AG15" i="9"/>
  <c r="H15" i="5" s="1"/>
  <c r="AG14" i="9"/>
  <c r="H14" i="5" s="1"/>
  <c r="AG13" i="9"/>
  <c r="H13" i="5" s="1"/>
  <c r="AG12" i="9"/>
  <c r="H12" i="5" s="1"/>
  <c r="AG11" i="9"/>
  <c r="H11" i="5" s="1"/>
  <c r="AG10" i="9"/>
  <c r="H10" i="5" s="1"/>
  <c r="AG9" i="9"/>
  <c r="H9" i="5" s="1"/>
  <c r="AG8" i="9"/>
  <c r="H8" i="5" s="1"/>
  <c r="AG7" i="9"/>
  <c r="H7" i="5" s="1"/>
  <c r="AG6" i="9"/>
  <c r="H6" i="5" s="1"/>
  <c r="AG5" i="9"/>
  <c r="H5" i="5" s="1"/>
  <c r="AG4" i="9"/>
  <c r="H4" i="5" s="1"/>
  <c r="AF3" i="9"/>
  <c r="AE3" i="9"/>
  <c r="AD3" i="9"/>
  <c r="AC3" i="9"/>
  <c r="AB3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B3" i="9"/>
  <c r="AC2" i="9"/>
  <c r="C2" i="9"/>
  <c r="D2" i="9" s="1"/>
  <c r="E2" i="9" s="1"/>
  <c r="F2" i="9" s="1"/>
  <c r="G2" i="9" s="1"/>
  <c r="H2" i="9" s="1"/>
  <c r="I2" i="9" s="1"/>
  <c r="J2" i="9" s="1"/>
  <c r="K2" i="9" s="1"/>
  <c r="L2" i="9" s="1"/>
  <c r="M2" i="9" s="1"/>
  <c r="N2" i="9" s="1"/>
  <c r="O2" i="9" s="1"/>
  <c r="P2" i="9" s="1"/>
  <c r="Q2" i="9" s="1"/>
  <c r="R2" i="9" s="1"/>
  <c r="S2" i="9" s="1"/>
  <c r="T2" i="9" s="1"/>
  <c r="U2" i="9" s="1"/>
  <c r="V2" i="9" s="1"/>
  <c r="W2" i="9" s="1"/>
  <c r="X2" i="9" s="1"/>
  <c r="Y2" i="9" s="1"/>
  <c r="Z2" i="9" s="1"/>
  <c r="AA2" i="9" s="1"/>
  <c r="AE134" i="8"/>
  <c r="AE142" i="8"/>
  <c r="AD142" i="8"/>
  <c r="AD143" i="8"/>
  <c r="AD129" i="8"/>
  <c r="AC134" i="8"/>
  <c r="AC142" i="8"/>
  <c r="AC143" i="8"/>
  <c r="AC129" i="8"/>
  <c r="AB134" i="8"/>
  <c r="AB142" i="8"/>
  <c r="AB143" i="8"/>
  <c r="AB129" i="8"/>
  <c r="AA134" i="8"/>
  <c r="AA142" i="8"/>
  <c r="AA143" i="8"/>
  <c r="AA129" i="8"/>
  <c r="Z142" i="8"/>
  <c r="Z143" i="8"/>
  <c r="Z129" i="8"/>
  <c r="Y134" i="8"/>
  <c r="Y142" i="8"/>
  <c r="X134" i="8"/>
  <c r="X142" i="8"/>
  <c r="X137" i="8"/>
  <c r="X143" i="8"/>
  <c r="X129" i="8"/>
  <c r="W134" i="8"/>
  <c r="W142" i="8"/>
  <c r="W143" i="8"/>
  <c r="W129" i="8"/>
  <c r="V134" i="8"/>
  <c r="V142" i="8"/>
  <c r="V143" i="8"/>
  <c r="V129" i="8"/>
  <c r="U134" i="8"/>
  <c r="U142" i="8"/>
  <c r="U143" i="8"/>
  <c r="U129" i="8"/>
  <c r="T134" i="8"/>
  <c r="T142" i="8"/>
  <c r="T139" i="8"/>
  <c r="T143" i="8"/>
  <c r="T129" i="8"/>
  <c r="S134" i="8"/>
  <c r="S142" i="8"/>
  <c r="S143" i="8"/>
  <c r="S129" i="8"/>
  <c r="AF173" i="8"/>
  <c r="AE173" i="8"/>
  <c r="AD173" i="8"/>
  <c r="AC173" i="8"/>
  <c r="AB173" i="8"/>
  <c r="AA173" i="8"/>
  <c r="Z173" i="8"/>
  <c r="Y173" i="8"/>
  <c r="X173" i="8"/>
  <c r="W173" i="8"/>
  <c r="V173" i="8"/>
  <c r="U173" i="8"/>
  <c r="T173" i="8"/>
  <c r="S173" i="8"/>
  <c r="R173" i="8"/>
  <c r="Q173" i="8"/>
  <c r="P173" i="8"/>
  <c r="O173" i="8"/>
  <c r="N173" i="8"/>
  <c r="M173" i="8"/>
  <c r="L173" i="8"/>
  <c r="K173" i="8"/>
  <c r="J173" i="8"/>
  <c r="I173" i="8"/>
  <c r="H173" i="8"/>
  <c r="G173" i="8"/>
  <c r="F173" i="8"/>
  <c r="E173" i="8"/>
  <c r="D173" i="8"/>
  <c r="C173" i="8"/>
  <c r="B173" i="8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D173" i="1"/>
  <c r="C173" i="1"/>
  <c r="B173" i="1"/>
  <c r="AG176" i="1"/>
  <c r="R134" i="8"/>
  <c r="R142" i="8"/>
  <c r="R137" i="8"/>
  <c r="R143" i="8"/>
  <c r="R129" i="8"/>
  <c r="Q134" i="8"/>
  <c r="Q142" i="8"/>
  <c r="Q143" i="8"/>
  <c r="Q129" i="8"/>
  <c r="P134" i="8"/>
  <c r="P142" i="8"/>
  <c r="P143" i="8"/>
  <c r="P129" i="8"/>
  <c r="O134" i="8"/>
  <c r="O142" i="8"/>
  <c r="O143" i="8"/>
  <c r="O129" i="8"/>
  <c r="N134" i="8"/>
  <c r="N142" i="8"/>
  <c r="N143" i="8"/>
  <c r="N129" i="8"/>
  <c r="M134" i="8"/>
  <c r="M142" i="8"/>
  <c r="M139" i="8"/>
  <c r="M137" i="8"/>
  <c r="M143" i="8"/>
  <c r="M129" i="8"/>
  <c r="L134" i="8"/>
  <c r="L142" i="8"/>
  <c r="L137" i="8"/>
  <c r="L143" i="8"/>
  <c r="L129" i="8"/>
  <c r="AG176" i="8"/>
  <c r="G176" i="5" s="1"/>
  <c r="N176" i="5" s="1"/>
  <c r="K142" i="8"/>
  <c r="K143" i="8"/>
  <c r="K129" i="8"/>
  <c r="J134" i="8"/>
  <c r="J142" i="8"/>
  <c r="J143" i="8"/>
  <c r="J129" i="8"/>
  <c r="I142" i="8"/>
  <c r="I143" i="8"/>
  <c r="I129" i="8"/>
  <c r="H134" i="8"/>
  <c r="H142" i="8"/>
  <c r="H143" i="8"/>
  <c r="H129" i="8"/>
  <c r="G134" i="8"/>
  <c r="G142" i="8"/>
  <c r="G143" i="8"/>
  <c r="G129" i="8"/>
  <c r="F142" i="8"/>
  <c r="F143" i="8"/>
  <c r="F129" i="8"/>
  <c r="E134" i="8"/>
  <c r="E142" i="8"/>
  <c r="E143" i="8"/>
  <c r="E129" i="8"/>
  <c r="D142" i="8"/>
  <c r="D143" i="8"/>
  <c r="D117" i="8"/>
  <c r="C134" i="8"/>
  <c r="C142" i="8"/>
  <c r="C143" i="8"/>
  <c r="C129" i="8"/>
  <c r="U144" i="9" l="1"/>
  <c r="V144" i="9"/>
  <c r="AG143" i="9"/>
  <c r="H143" i="5" s="1"/>
  <c r="G130" i="9"/>
  <c r="AE93" i="9"/>
  <c r="AH81" i="10"/>
  <c r="I81" i="5"/>
  <c r="L93" i="9"/>
  <c r="F144" i="9"/>
  <c r="AH84" i="10"/>
  <c r="I83" i="5"/>
  <c r="AH93" i="10"/>
  <c r="I93" i="5"/>
  <c r="O93" i="9"/>
  <c r="AC144" i="9"/>
  <c r="D130" i="9"/>
  <c r="P144" i="9"/>
  <c r="F130" i="9"/>
  <c r="AH144" i="10"/>
  <c r="AH209" i="10"/>
  <c r="AH130" i="10"/>
  <c r="G144" i="9"/>
  <c r="W144" i="9"/>
  <c r="AE144" i="9"/>
  <c r="I144" i="9"/>
  <c r="J93" i="9"/>
  <c r="R93" i="9"/>
  <c r="B144" i="9"/>
  <c r="R144" i="9"/>
  <c r="Z144" i="9"/>
  <c r="C130" i="9"/>
  <c r="Q144" i="9"/>
  <c r="B130" i="9"/>
  <c r="AG130" i="9" s="1"/>
  <c r="H130" i="5" s="1"/>
  <c r="E93" i="9"/>
  <c r="M93" i="9"/>
  <c r="AC93" i="9"/>
  <c r="AG223" i="9"/>
  <c r="H224" i="5" s="1"/>
  <c r="K144" i="9"/>
  <c r="AG147" i="9"/>
  <c r="H147" i="5" s="1"/>
  <c r="AD144" i="9"/>
  <c r="B93" i="9"/>
  <c r="AD93" i="9"/>
  <c r="C144" i="9"/>
  <c r="Y144" i="9"/>
  <c r="AG148" i="9"/>
  <c r="X144" i="9"/>
  <c r="AG129" i="9"/>
  <c r="H129" i="5" s="1"/>
  <c r="AA93" i="9"/>
  <c r="AG215" i="9"/>
  <c r="H215" i="5" s="1"/>
  <c r="AG219" i="9"/>
  <c r="H220" i="5" s="1"/>
  <c r="Z93" i="9"/>
  <c r="Y93" i="9"/>
  <c r="X93" i="9"/>
  <c r="V93" i="9"/>
  <c r="U93" i="9"/>
  <c r="T93" i="9"/>
  <c r="Q93" i="9"/>
  <c r="P93" i="9"/>
  <c r="AG167" i="9"/>
  <c r="H167" i="5" s="1"/>
  <c r="O144" i="9"/>
  <c r="N93" i="9"/>
  <c r="K93" i="9"/>
  <c r="J144" i="9"/>
  <c r="H93" i="9"/>
  <c r="AG142" i="9"/>
  <c r="H142" i="5" s="1"/>
  <c r="AG80" i="9"/>
  <c r="H80" i="5" s="1"/>
  <c r="F93" i="9"/>
  <c r="AG87" i="9"/>
  <c r="H87" i="5" s="1"/>
  <c r="E83" i="9"/>
  <c r="AG177" i="9"/>
  <c r="H177" i="5" s="1"/>
  <c r="AG145" i="9"/>
  <c r="H145" i="5" s="1"/>
  <c r="AG158" i="9"/>
  <c r="H158" i="5" s="1"/>
  <c r="AG134" i="9"/>
  <c r="H134" i="5" s="1"/>
  <c r="D93" i="9"/>
  <c r="AG209" i="9"/>
  <c r="H209" i="5" s="1"/>
  <c r="C116" i="9"/>
  <c r="AG116" i="9" s="1"/>
  <c r="H116" i="5" s="1"/>
  <c r="C93" i="9"/>
  <c r="AG84" i="9"/>
  <c r="H84" i="5" s="1"/>
  <c r="AG182" i="9"/>
  <c r="H182" i="5" s="1"/>
  <c r="AG173" i="9"/>
  <c r="H173" i="5" s="1"/>
  <c r="AG100" i="9"/>
  <c r="H100" i="5" s="1"/>
  <c r="AG53" i="9"/>
  <c r="H53" i="5" s="1"/>
  <c r="AG28" i="9"/>
  <c r="H28" i="5" s="1"/>
  <c r="AG3" i="9"/>
  <c r="H3" i="5" s="1"/>
  <c r="B81" i="9"/>
  <c r="AG78" i="9"/>
  <c r="H78" i="5" s="1"/>
  <c r="AG79" i="9"/>
  <c r="H79" i="5" s="1"/>
  <c r="M83" i="9"/>
  <c r="M81" i="9" s="1"/>
  <c r="AG82" i="9"/>
  <c r="H82" i="5" s="1"/>
  <c r="C81" i="9"/>
  <c r="K81" i="9"/>
  <c r="S81" i="9"/>
  <c r="AA81" i="9"/>
  <c r="AC83" i="9"/>
  <c r="AC81" i="9" s="1"/>
  <c r="AG94" i="9"/>
  <c r="H94" i="5" s="1"/>
  <c r="U81" i="9"/>
  <c r="G81" i="9"/>
  <c r="O81" i="9"/>
  <c r="W81" i="9"/>
  <c r="AE81" i="9"/>
  <c r="B142" i="8"/>
  <c r="AG142" i="8"/>
  <c r="G142" i="5" s="1"/>
  <c r="B143" i="8"/>
  <c r="B129" i="8"/>
  <c r="B116" i="8" s="1"/>
  <c r="AG226" i="8"/>
  <c r="G227" i="5" s="1"/>
  <c r="AG225" i="8"/>
  <c r="G226" i="5" s="1"/>
  <c r="AG224" i="8"/>
  <c r="G225" i="5" s="1"/>
  <c r="AF223" i="8"/>
  <c r="AE223" i="8"/>
  <c r="AD223" i="8"/>
  <c r="AC223" i="8"/>
  <c r="AB223" i="8"/>
  <c r="AA223" i="8"/>
  <c r="Z223" i="8"/>
  <c r="Y223" i="8"/>
  <c r="X223" i="8"/>
  <c r="W223" i="8"/>
  <c r="V223" i="8"/>
  <c r="U223" i="8"/>
  <c r="T223" i="8"/>
  <c r="S223" i="8"/>
  <c r="R223" i="8"/>
  <c r="Q223" i="8"/>
  <c r="P223" i="8"/>
  <c r="O223" i="8"/>
  <c r="N223" i="8"/>
  <c r="M223" i="8"/>
  <c r="L223" i="8"/>
  <c r="K223" i="8"/>
  <c r="J223" i="8"/>
  <c r="I223" i="8"/>
  <c r="H223" i="8"/>
  <c r="G223" i="8"/>
  <c r="F223" i="8"/>
  <c r="E223" i="8"/>
  <c r="D223" i="8"/>
  <c r="C223" i="8"/>
  <c r="B223" i="8"/>
  <c r="AG222" i="8"/>
  <c r="G223" i="5" s="1"/>
  <c r="AG221" i="8"/>
  <c r="G222" i="5" s="1"/>
  <c r="AG220" i="8"/>
  <c r="G221" i="5" s="1"/>
  <c r="AF219" i="8"/>
  <c r="AE219" i="8"/>
  <c r="AD219" i="8"/>
  <c r="AC219" i="8"/>
  <c r="AB219" i="8"/>
  <c r="AA219" i="8"/>
  <c r="Z219" i="8"/>
  <c r="Y219" i="8"/>
  <c r="X219" i="8"/>
  <c r="W219" i="8"/>
  <c r="V219" i="8"/>
  <c r="U219" i="8"/>
  <c r="T219" i="8"/>
  <c r="S219" i="8"/>
  <c r="R219" i="8"/>
  <c r="Q219" i="8"/>
  <c r="P219" i="8"/>
  <c r="O219" i="8"/>
  <c r="N219" i="8"/>
  <c r="M219" i="8"/>
  <c r="L219" i="8"/>
  <c r="K219" i="8"/>
  <c r="J219" i="8"/>
  <c r="I219" i="8"/>
  <c r="H219" i="8"/>
  <c r="G219" i="8"/>
  <c r="F219" i="8"/>
  <c r="E219" i="8"/>
  <c r="D219" i="8"/>
  <c r="C219" i="8"/>
  <c r="B219" i="8"/>
  <c r="AG218" i="8"/>
  <c r="G219" i="5" s="1"/>
  <c r="AG217" i="8"/>
  <c r="G217" i="5" s="1"/>
  <c r="AG216" i="8"/>
  <c r="G216" i="5" s="1"/>
  <c r="AF215" i="8"/>
  <c r="AE215" i="8"/>
  <c r="AD215" i="8"/>
  <c r="AC215" i="8"/>
  <c r="AB215" i="8"/>
  <c r="AA215" i="8"/>
  <c r="Z215" i="8"/>
  <c r="Y215" i="8"/>
  <c r="X215" i="8"/>
  <c r="W215" i="8"/>
  <c r="V215" i="8"/>
  <c r="U215" i="8"/>
  <c r="T215" i="8"/>
  <c r="S215" i="8"/>
  <c r="R215" i="8"/>
  <c r="Q215" i="8"/>
  <c r="P215" i="8"/>
  <c r="O215" i="8"/>
  <c r="N215" i="8"/>
  <c r="M215" i="8"/>
  <c r="L215" i="8"/>
  <c r="K215" i="8"/>
  <c r="J215" i="8"/>
  <c r="I215" i="8"/>
  <c r="H215" i="8"/>
  <c r="G215" i="8"/>
  <c r="F215" i="8"/>
  <c r="E215" i="8"/>
  <c r="D215" i="8"/>
  <c r="C215" i="8"/>
  <c r="B215" i="8"/>
  <c r="AG214" i="8"/>
  <c r="G214" i="5" s="1"/>
  <c r="AG213" i="8"/>
  <c r="G213" i="5" s="1"/>
  <c r="AG212" i="8"/>
  <c r="G212" i="5" s="1"/>
  <c r="AG211" i="8"/>
  <c r="G211" i="5" s="1"/>
  <c r="AG210" i="8"/>
  <c r="G210" i="5" s="1"/>
  <c r="AF209" i="8"/>
  <c r="AE209" i="8"/>
  <c r="AD209" i="8"/>
  <c r="AC209" i="8"/>
  <c r="AB209" i="8"/>
  <c r="AA209" i="8"/>
  <c r="Z209" i="8"/>
  <c r="Y209" i="8"/>
  <c r="X209" i="8"/>
  <c r="W209" i="8"/>
  <c r="V209" i="8"/>
  <c r="U209" i="8"/>
  <c r="T209" i="8"/>
  <c r="S209" i="8"/>
  <c r="R209" i="8"/>
  <c r="Q209" i="8"/>
  <c r="P209" i="8"/>
  <c r="O209" i="8"/>
  <c r="N209" i="8"/>
  <c r="M209" i="8"/>
  <c r="L209" i="8"/>
  <c r="K209" i="8"/>
  <c r="J209" i="8"/>
  <c r="I209" i="8"/>
  <c r="H209" i="8"/>
  <c r="G209" i="8"/>
  <c r="F209" i="8"/>
  <c r="E209" i="8"/>
  <c r="D209" i="8"/>
  <c r="C209" i="8"/>
  <c r="B209" i="8"/>
  <c r="AG208" i="8"/>
  <c r="G208" i="5" s="1"/>
  <c r="AG207" i="8"/>
  <c r="G207" i="5" s="1"/>
  <c r="AG206" i="8"/>
  <c r="G206" i="5" s="1"/>
  <c r="AG205" i="8"/>
  <c r="G205" i="5" s="1"/>
  <c r="AG204" i="8"/>
  <c r="G204" i="5" s="1"/>
  <c r="AG203" i="8"/>
  <c r="G203" i="5" s="1"/>
  <c r="AG202" i="8"/>
  <c r="G202" i="5" s="1"/>
  <c r="AG201" i="8"/>
  <c r="G201" i="5" s="1"/>
  <c r="AG200" i="8"/>
  <c r="G200" i="5" s="1"/>
  <c r="AG199" i="8"/>
  <c r="G199" i="5" s="1"/>
  <c r="AG198" i="8"/>
  <c r="G198" i="5" s="1"/>
  <c r="AG197" i="8"/>
  <c r="G197" i="5" s="1"/>
  <c r="AG196" i="8"/>
  <c r="G196" i="5" s="1"/>
  <c r="AG195" i="8"/>
  <c r="G195" i="5" s="1"/>
  <c r="AG194" i="8"/>
  <c r="G194" i="5" s="1"/>
  <c r="AG193" i="8"/>
  <c r="G193" i="5" s="1"/>
  <c r="AG192" i="8"/>
  <c r="G192" i="5" s="1"/>
  <c r="AG191" i="8"/>
  <c r="G191" i="5" s="1"/>
  <c r="AG190" i="8"/>
  <c r="G190" i="5" s="1"/>
  <c r="AG189" i="8"/>
  <c r="G189" i="5" s="1"/>
  <c r="AG188" i="8"/>
  <c r="G188" i="5" s="1"/>
  <c r="AG187" i="8"/>
  <c r="G187" i="5" s="1"/>
  <c r="AG186" i="8"/>
  <c r="G186" i="5" s="1"/>
  <c r="AG185" i="8"/>
  <c r="G185" i="5" s="1"/>
  <c r="AG184" i="8"/>
  <c r="G184" i="5" s="1"/>
  <c r="AG183" i="8"/>
  <c r="G183" i="5" s="1"/>
  <c r="AF182" i="8"/>
  <c r="AE182" i="8"/>
  <c r="AD182" i="8"/>
  <c r="AC182" i="8"/>
  <c r="AB182" i="8"/>
  <c r="AA182" i="8"/>
  <c r="Z182" i="8"/>
  <c r="Y182" i="8"/>
  <c r="X182" i="8"/>
  <c r="W182" i="8"/>
  <c r="V182" i="8"/>
  <c r="U182" i="8"/>
  <c r="T182" i="8"/>
  <c r="S182" i="8"/>
  <c r="R182" i="8"/>
  <c r="Q182" i="8"/>
  <c r="P182" i="8"/>
  <c r="O182" i="8"/>
  <c r="N182" i="8"/>
  <c r="M182" i="8"/>
  <c r="L182" i="8"/>
  <c r="K182" i="8"/>
  <c r="J182" i="8"/>
  <c r="I182" i="8"/>
  <c r="H182" i="8"/>
  <c r="G182" i="8"/>
  <c r="F182" i="8"/>
  <c r="E182" i="8"/>
  <c r="D182" i="8"/>
  <c r="C182" i="8"/>
  <c r="B182" i="8"/>
  <c r="AG181" i="8"/>
  <c r="G181" i="5" s="1"/>
  <c r="AG180" i="8"/>
  <c r="G180" i="5" s="1"/>
  <c r="AG179" i="8"/>
  <c r="G179" i="5" s="1"/>
  <c r="AG178" i="8"/>
  <c r="G178" i="5" s="1"/>
  <c r="AF177" i="8"/>
  <c r="AE177" i="8"/>
  <c r="AD177" i="8"/>
  <c r="AC177" i="8"/>
  <c r="AB177" i="8"/>
  <c r="AA177" i="8"/>
  <c r="Z177" i="8"/>
  <c r="Y177" i="8"/>
  <c r="X177" i="8"/>
  <c r="W177" i="8"/>
  <c r="V177" i="8"/>
  <c r="U177" i="8"/>
  <c r="T177" i="8"/>
  <c r="S177" i="8"/>
  <c r="R177" i="8"/>
  <c r="Q177" i="8"/>
  <c r="P177" i="8"/>
  <c r="O177" i="8"/>
  <c r="N177" i="8"/>
  <c r="M177" i="8"/>
  <c r="L177" i="8"/>
  <c r="K177" i="8"/>
  <c r="J177" i="8"/>
  <c r="I177" i="8"/>
  <c r="H177" i="8"/>
  <c r="G177" i="8"/>
  <c r="F177" i="8"/>
  <c r="E177" i="8"/>
  <c r="D177" i="8"/>
  <c r="C177" i="8"/>
  <c r="B177" i="8"/>
  <c r="AG175" i="8"/>
  <c r="G175" i="5" s="1"/>
  <c r="AG174" i="8"/>
  <c r="G174" i="5" s="1"/>
  <c r="AG172" i="8"/>
  <c r="G172" i="5" s="1"/>
  <c r="AG171" i="8"/>
  <c r="G171" i="5" s="1"/>
  <c r="AG170" i="8"/>
  <c r="G170" i="5" s="1"/>
  <c r="AG169" i="8"/>
  <c r="G169" i="5" s="1"/>
  <c r="AG168" i="8"/>
  <c r="G168" i="5" s="1"/>
  <c r="AF167" i="8"/>
  <c r="AE167" i="8"/>
  <c r="AD167" i="8"/>
  <c r="AC167" i="8"/>
  <c r="AB167" i="8"/>
  <c r="AA167" i="8"/>
  <c r="Z167" i="8"/>
  <c r="Y167" i="8"/>
  <c r="X167" i="8"/>
  <c r="W167" i="8"/>
  <c r="V167" i="8"/>
  <c r="U167" i="8"/>
  <c r="T167" i="8"/>
  <c r="S167" i="8"/>
  <c r="R167" i="8"/>
  <c r="Q167" i="8"/>
  <c r="P167" i="8"/>
  <c r="O167" i="8"/>
  <c r="N167" i="8"/>
  <c r="M167" i="8"/>
  <c r="L167" i="8"/>
  <c r="K167" i="8"/>
  <c r="J167" i="8"/>
  <c r="I167" i="8"/>
  <c r="H167" i="8"/>
  <c r="G167" i="8"/>
  <c r="F167" i="8"/>
  <c r="E167" i="8"/>
  <c r="D167" i="8"/>
  <c r="C167" i="8"/>
  <c r="B167" i="8"/>
  <c r="AG166" i="8"/>
  <c r="G166" i="5" s="1"/>
  <c r="AG165" i="8"/>
  <c r="G165" i="5" s="1"/>
  <c r="AG164" i="8"/>
  <c r="G164" i="5" s="1"/>
  <c r="AG163" i="8"/>
  <c r="G163" i="5" s="1"/>
  <c r="AG162" i="8"/>
  <c r="G162" i="5" s="1"/>
  <c r="AG161" i="8"/>
  <c r="G161" i="5" s="1"/>
  <c r="AG160" i="8"/>
  <c r="G160" i="5" s="1"/>
  <c r="AG159" i="8"/>
  <c r="G159" i="5" s="1"/>
  <c r="AF158" i="8"/>
  <c r="AE158" i="8"/>
  <c r="AD158" i="8"/>
  <c r="AC158" i="8"/>
  <c r="AB158" i="8"/>
  <c r="AA158" i="8"/>
  <c r="Z158" i="8"/>
  <c r="Y158" i="8"/>
  <c r="X158" i="8"/>
  <c r="W158" i="8"/>
  <c r="V158" i="8"/>
  <c r="U158" i="8"/>
  <c r="T158" i="8"/>
  <c r="S158" i="8"/>
  <c r="R158" i="8"/>
  <c r="Q158" i="8"/>
  <c r="P158" i="8"/>
  <c r="O158" i="8"/>
  <c r="N158" i="8"/>
  <c r="M158" i="8"/>
  <c r="L158" i="8"/>
  <c r="K158" i="8"/>
  <c r="J158" i="8"/>
  <c r="I158" i="8"/>
  <c r="H158" i="8"/>
  <c r="G158" i="8"/>
  <c r="F158" i="8"/>
  <c r="E158" i="8"/>
  <c r="D158" i="8"/>
  <c r="C158" i="8"/>
  <c r="B158" i="8"/>
  <c r="AG157" i="8"/>
  <c r="G157" i="5" s="1"/>
  <c r="AG156" i="8"/>
  <c r="G156" i="5" s="1"/>
  <c r="AG155" i="8"/>
  <c r="G155" i="5" s="1"/>
  <c r="AG154" i="8"/>
  <c r="G154" i="5" s="1"/>
  <c r="AG153" i="8"/>
  <c r="G153" i="5" s="1"/>
  <c r="AG152" i="8"/>
  <c r="G152" i="5" s="1"/>
  <c r="AG151" i="8"/>
  <c r="G151" i="5" s="1"/>
  <c r="AG150" i="8"/>
  <c r="G150" i="5" s="1"/>
  <c r="AG149" i="8"/>
  <c r="G149" i="5" s="1"/>
  <c r="AF148" i="8"/>
  <c r="AF146" i="8" s="1"/>
  <c r="AE148" i="8"/>
  <c r="AE146" i="8" s="1"/>
  <c r="AE144" i="8" s="1"/>
  <c r="AD148" i="8"/>
  <c r="AC148" i="8"/>
  <c r="AC146" i="8" s="1"/>
  <c r="AB148" i="8"/>
  <c r="AB146" i="8" s="1"/>
  <c r="AA148" i="8"/>
  <c r="AA146" i="8" s="1"/>
  <c r="AA144" i="8" s="1"/>
  <c r="Z148" i="8"/>
  <c r="Y148" i="8"/>
  <c r="Y146" i="8" s="1"/>
  <c r="X148" i="8"/>
  <c r="X146" i="8" s="1"/>
  <c r="W148" i="8"/>
  <c r="W146" i="8" s="1"/>
  <c r="V148" i="8"/>
  <c r="U148" i="8"/>
  <c r="U146" i="8" s="1"/>
  <c r="U144" i="8" s="1"/>
  <c r="T148" i="8"/>
  <c r="S148" i="8"/>
  <c r="S146" i="8" s="1"/>
  <c r="R148" i="8"/>
  <c r="R146" i="8" s="1"/>
  <c r="R144" i="8" s="1"/>
  <c r="Q148" i="8"/>
  <c r="Q146" i="8" s="1"/>
  <c r="P148" i="8"/>
  <c r="P146" i="8" s="1"/>
  <c r="P144" i="8" s="1"/>
  <c r="O148" i="8"/>
  <c r="O146" i="8" s="1"/>
  <c r="N148" i="8"/>
  <c r="N146" i="8" s="1"/>
  <c r="N144" i="8" s="1"/>
  <c r="M148" i="8"/>
  <c r="M146" i="8" s="1"/>
  <c r="L148" i="8"/>
  <c r="K148" i="8"/>
  <c r="J148" i="8"/>
  <c r="I148" i="8"/>
  <c r="H148" i="8"/>
  <c r="G148" i="8"/>
  <c r="G146" i="8" s="1"/>
  <c r="F148" i="8"/>
  <c r="E148" i="8"/>
  <c r="E146" i="8" s="1"/>
  <c r="D148" i="8"/>
  <c r="C148" i="8"/>
  <c r="B148" i="8"/>
  <c r="AE147" i="8"/>
  <c r="AD147" i="8"/>
  <c r="AC147" i="8"/>
  <c r="AB147" i="8"/>
  <c r="AA147" i="8"/>
  <c r="Z147" i="8"/>
  <c r="Y147" i="8"/>
  <c r="X147" i="8"/>
  <c r="W147" i="8"/>
  <c r="V147" i="8"/>
  <c r="U147" i="8"/>
  <c r="T147" i="8"/>
  <c r="S147" i="8"/>
  <c r="R147" i="8"/>
  <c r="Q147" i="8"/>
  <c r="P147" i="8"/>
  <c r="O147" i="8"/>
  <c r="N147" i="8"/>
  <c r="M147" i="8"/>
  <c r="L147" i="8"/>
  <c r="K147" i="8"/>
  <c r="J147" i="8"/>
  <c r="I147" i="8"/>
  <c r="H147" i="8"/>
  <c r="G147" i="8"/>
  <c r="F147" i="8"/>
  <c r="E147" i="8"/>
  <c r="D147" i="8"/>
  <c r="C147" i="8"/>
  <c r="B147" i="8"/>
  <c r="AD146" i="8"/>
  <c r="Z146" i="8"/>
  <c r="V146" i="8"/>
  <c r="T146" i="8"/>
  <c r="L146" i="8"/>
  <c r="L144" i="8" s="1"/>
  <c r="K146" i="8"/>
  <c r="J146" i="8"/>
  <c r="J144" i="8" s="1"/>
  <c r="H146" i="8"/>
  <c r="F146" i="8"/>
  <c r="D146" i="8"/>
  <c r="D144" i="8" s="1"/>
  <c r="C146" i="8"/>
  <c r="B146" i="8"/>
  <c r="B144" i="8" s="1"/>
  <c r="AF145" i="8"/>
  <c r="AE145" i="8"/>
  <c r="AD145" i="8"/>
  <c r="AC145" i="8"/>
  <c r="AB145" i="8"/>
  <c r="AA145" i="8"/>
  <c r="Z145" i="8"/>
  <c r="Y145" i="8"/>
  <c r="X145" i="8"/>
  <c r="W145" i="8"/>
  <c r="V145" i="8"/>
  <c r="U145" i="8"/>
  <c r="T145" i="8"/>
  <c r="S145" i="8"/>
  <c r="R145" i="8"/>
  <c r="Q145" i="8"/>
  <c r="P145" i="8"/>
  <c r="O145" i="8"/>
  <c r="N145" i="8"/>
  <c r="M145" i="8"/>
  <c r="L145" i="8"/>
  <c r="K145" i="8"/>
  <c r="J145" i="8"/>
  <c r="I145" i="8"/>
  <c r="H145" i="8"/>
  <c r="G145" i="8"/>
  <c r="F145" i="8"/>
  <c r="E145" i="8"/>
  <c r="D145" i="8"/>
  <c r="C145" i="8"/>
  <c r="B145" i="8"/>
  <c r="Z144" i="8"/>
  <c r="K144" i="8"/>
  <c r="AG143" i="8"/>
  <c r="G143" i="5" s="1"/>
  <c r="AG141" i="8"/>
  <c r="G141" i="5" s="1"/>
  <c r="AG140" i="8"/>
  <c r="G140" i="5" s="1"/>
  <c r="AG139" i="8"/>
  <c r="G139" i="5" s="1"/>
  <c r="AG138" i="8"/>
  <c r="G138" i="5" s="1"/>
  <c r="AG137" i="8"/>
  <c r="G137" i="5" s="1"/>
  <c r="AG136" i="8"/>
  <c r="G136" i="5" s="1"/>
  <c r="AG135" i="8"/>
  <c r="G135" i="5" s="1"/>
  <c r="AG134" i="8"/>
  <c r="G134" i="5" s="1"/>
  <c r="AG133" i="8"/>
  <c r="G133" i="5" s="1"/>
  <c r="AG132" i="8"/>
  <c r="G132" i="5" s="1"/>
  <c r="AG131" i="8"/>
  <c r="G131" i="5" s="1"/>
  <c r="AF130" i="8"/>
  <c r="AE130" i="8"/>
  <c r="AD130" i="8"/>
  <c r="AC130" i="8"/>
  <c r="AB130" i="8"/>
  <c r="AA130" i="8"/>
  <c r="Z130" i="8"/>
  <c r="Y130" i="8"/>
  <c r="X130" i="8"/>
  <c r="W130" i="8"/>
  <c r="V130" i="8"/>
  <c r="U130" i="8"/>
  <c r="T130" i="8"/>
  <c r="S130" i="8"/>
  <c r="R130" i="8"/>
  <c r="Q130" i="8"/>
  <c r="P130" i="8"/>
  <c r="O130" i="8"/>
  <c r="N130" i="8"/>
  <c r="M130" i="8"/>
  <c r="L130" i="8"/>
  <c r="K130" i="8"/>
  <c r="J130" i="8"/>
  <c r="I130" i="8"/>
  <c r="H130" i="8"/>
  <c r="G130" i="8"/>
  <c r="F130" i="8"/>
  <c r="E130" i="8"/>
  <c r="D130" i="8"/>
  <c r="C130" i="8"/>
  <c r="B130" i="8"/>
  <c r="AG129" i="8"/>
  <c r="G129" i="5" s="1"/>
  <c r="AG128" i="8"/>
  <c r="G128" i="5" s="1"/>
  <c r="AG127" i="8"/>
  <c r="G127" i="5" s="1"/>
  <c r="AG126" i="8"/>
  <c r="G126" i="5" s="1"/>
  <c r="AG125" i="8"/>
  <c r="G125" i="5" s="1"/>
  <c r="AG124" i="8"/>
  <c r="G124" i="5" s="1"/>
  <c r="AG123" i="8"/>
  <c r="G123" i="5" s="1"/>
  <c r="AG122" i="8"/>
  <c r="G122" i="5" s="1"/>
  <c r="AG121" i="8"/>
  <c r="G121" i="5" s="1"/>
  <c r="AG120" i="8"/>
  <c r="G120" i="5" s="1"/>
  <c r="AG119" i="8"/>
  <c r="G119" i="5" s="1"/>
  <c r="AG118" i="8"/>
  <c r="G118" i="5" s="1"/>
  <c r="AG117" i="8"/>
  <c r="G117" i="5" s="1"/>
  <c r="AF116" i="8"/>
  <c r="AE116" i="8"/>
  <c r="AD116" i="8"/>
  <c r="AC116" i="8"/>
  <c r="AB116" i="8"/>
  <c r="AA116" i="8"/>
  <c r="Z116" i="8"/>
  <c r="Y116" i="8"/>
  <c r="X116" i="8"/>
  <c r="W116" i="8"/>
  <c r="V116" i="8"/>
  <c r="U116" i="8"/>
  <c r="T116" i="8"/>
  <c r="S116" i="8"/>
  <c r="R116" i="8"/>
  <c r="Q116" i="8"/>
  <c r="P116" i="8"/>
  <c r="O116" i="8"/>
  <c r="N116" i="8"/>
  <c r="M116" i="8"/>
  <c r="L116" i="8"/>
  <c r="K116" i="8"/>
  <c r="J116" i="8"/>
  <c r="I116" i="8"/>
  <c r="H116" i="8"/>
  <c r="G116" i="8"/>
  <c r="F116" i="8"/>
  <c r="E116" i="8"/>
  <c r="D116" i="8"/>
  <c r="C116" i="8"/>
  <c r="AG115" i="8"/>
  <c r="G115" i="5" s="1"/>
  <c r="AG114" i="8"/>
  <c r="G114" i="5" s="1"/>
  <c r="AG113" i="8"/>
  <c r="G113" i="5" s="1"/>
  <c r="AG112" i="8"/>
  <c r="G112" i="5" s="1"/>
  <c r="AG111" i="8"/>
  <c r="G111" i="5" s="1"/>
  <c r="AG110" i="8"/>
  <c r="G110" i="5" s="1"/>
  <c r="AG109" i="8"/>
  <c r="G109" i="5" s="1"/>
  <c r="AG108" i="8"/>
  <c r="G108" i="5" s="1"/>
  <c r="AG107" i="8"/>
  <c r="G107" i="5" s="1"/>
  <c r="AG106" i="8"/>
  <c r="G106" i="5" s="1"/>
  <c r="AG105" i="8"/>
  <c r="G105" i="5" s="1"/>
  <c r="AG104" i="8"/>
  <c r="G104" i="5" s="1"/>
  <c r="AG103" i="8"/>
  <c r="G103" i="5" s="1"/>
  <c r="AG102" i="8"/>
  <c r="G102" i="5" s="1"/>
  <c r="AG101" i="8"/>
  <c r="G101" i="5" s="1"/>
  <c r="AF100" i="8"/>
  <c r="AE100" i="8"/>
  <c r="AD100" i="8"/>
  <c r="AC100" i="8"/>
  <c r="AB100" i="8"/>
  <c r="AA100" i="8"/>
  <c r="Z100" i="8"/>
  <c r="Y100" i="8"/>
  <c r="X100" i="8"/>
  <c r="W100" i="8"/>
  <c r="V100" i="8"/>
  <c r="U100" i="8"/>
  <c r="T100" i="8"/>
  <c r="S100" i="8"/>
  <c r="R100" i="8"/>
  <c r="Q100" i="8"/>
  <c r="P100" i="8"/>
  <c r="O100" i="8"/>
  <c r="N100" i="8"/>
  <c r="M100" i="8"/>
  <c r="L100" i="8"/>
  <c r="K100" i="8"/>
  <c r="J100" i="8"/>
  <c r="I100" i="8"/>
  <c r="H100" i="8"/>
  <c r="G100" i="8"/>
  <c r="F100" i="8"/>
  <c r="E100" i="8"/>
  <c r="D100" i="8"/>
  <c r="C100" i="8"/>
  <c r="B100" i="8"/>
  <c r="AG99" i="8"/>
  <c r="G99" i="5" s="1"/>
  <c r="AG98" i="8"/>
  <c r="G98" i="5" s="1"/>
  <c r="AG97" i="8"/>
  <c r="G97" i="5" s="1"/>
  <c r="AG96" i="8"/>
  <c r="G96" i="5" s="1"/>
  <c r="AG95" i="8"/>
  <c r="G95" i="5" s="1"/>
  <c r="AF94" i="8"/>
  <c r="AE94" i="8"/>
  <c r="AD94" i="8"/>
  <c r="AC94" i="8"/>
  <c r="AC93" i="8" s="1"/>
  <c r="AB94" i="8"/>
  <c r="AB93" i="8" s="1"/>
  <c r="AA94" i="8"/>
  <c r="Z94" i="8"/>
  <c r="Y94" i="8"/>
  <c r="X94" i="8"/>
  <c r="W94" i="8"/>
  <c r="V94" i="8"/>
  <c r="U94" i="8"/>
  <c r="T94" i="8"/>
  <c r="T93" i="8" s="1"/>
  <c r="S94" i="8"/>
  <c r="R94" i="8"/>
  <c r="R93" i="8" s="1"/>
  <c r="Q94" i="8"/>
  <c r="P94" i="8"/>
  <c r="O94" i="8"/>
  <c r="N94" i="8"/>
  <c r="M94" i="8"/>
  <c r="M93" i="8" s="1"/>
  <c r="L94" i="8"/>
  <c r="K94" i="8"/>
  <c r="J94" i="8"/>
  <c r="J93" i="8" s="1"/>
  <c r="I94" i="8"/>
  <c r="I93" i="8" s="1"/>
  <c r="H94" i="8"/>
  <c r="H93" i="8" s="1"/>
  <c r="G94" i="8"/>
  <c r="F94" i="8"/>
  <c r="F93" i="8" s="1"/>
  <c r="E94" i="8"/>
  <c r="E93" i="8" s="1"/>
  <c r="D94" i="8"/>
  <c r="C94" i="8"/>
  <c r="B94" i="8"/>
  <c r="AG92" i="8"/>
  <c r="G92" i="5" s="1"/>
  <c r="AG91" i="8"/>
  <c r="G91" i="5" s="1"/>
  <c r="AG90" i="8"/>
  <c r="G90" i="5" s="1"/>
  <c r="AG89" i="8"/>
  <c r="G89" i="5" s="1"/>
  <c r="AG88" i="8"/>
  <c r="G88" i="5" s="1"/>
  <c r="AF87" i="8"/>
  <c r="AE87" i="8"/>
  <c r="AD87" i="8"/>
  <c r="AC87" i="8"/>
  <c r="AB87" i="8"/>
  <c r="AA87" i="8"/>
  <c r="Z87" i="8"/>
  <c r="Y87" i="8"/>
  <c r="X87" i="8"/>
  <c r="W87" i="8"/>
  <c r="V87" i="8"/>
  <c r="U87" i="8"/>
  <c r="T87" i="8"/>
  <c r="S87" i="8"/>
  <c r="R87" i="8"/>
  <c r="Q87" i="8"/>
  <c r="P87" i="8"/>
  <c r="O87" i="8"/>
  <c r="N87" i="8"/>
  <c r="M87" i="8"/>
  <c r="L87" i="8"/>
  <c r="K87" i="8"/>
  <c r="J87" i="8"/>
  <c r="I87" i="8"/>
  <c r="H87" i="8"/>
  <c r="G87" i="8"/>
  <c r="F87" i="8"/>
  <c r="E87" i="8"/>
  <c r="D87" i="8"/>
  <c r="C87" i="8"/>
  <c r="B87" i="8"/>
  <c r="AG86" i="8"/>
  <c r="G86" i="5" s="1"/>
  <c r="AG85" i="8"/>
  <c r="G85" i="5" s="1"/>
  <c r="AF84" i="8"/>
  <c r="AE84" i="8"/>
  <c r="AD84" i="8"/>
  <c r="AC84" i="8"/>
  <c r="AB84" i="8"/>
  <c r="AA84" i="8"/>
  <c r="Z84" i="8"/>
  <c r="Y84" i="8"/>
  <c r="X84" i="8"/>
  <c r="W84" i="8"/>
  <c r="V84" i="8"/>
  <c r="U84" i="8"/>
  <c r="T84" i="8"/>
  <c r="S84" i="8"/>
  <c r="R84" i="8"/>
  <c r="Q84" i="8"/>
  <c r="P84" i="8"/>
  <c r="O84" i="8"/>
  <c r="N84" i="8"/>
  <c r="M84" i="8"/>
  <c r="L84" i="8"/>
  <c r="K84" i="8"/>
  <c r="J84" i="8"/>
  <c r="I84" i="8"/>
  <c r="H84" i="8"/>
  <c r="G84" i="8"/>
  <c r="F84" i="8"/>
  <c r="E84" i="8"/>
  <c r="D84" i="8"/>
  <c r="C84" i="8"/>
  <c r="B84" i="8"/>
  <c r="AF82" i="8"/>
  <c r="AE82" i="8"/>
  <c r="AE83" i="8" s="1"/>
  <c r="AE81" i="8" s="1"/>
  <c r="AD82" i="8"/>
  <c r="AC83" i="8"/>
  <c r="AB83" i="8"/>
  <c r="AB81" i="8" s="1"/>
  <c r="AA83" i="8"/>
  <c r="AA81" i="8" s="1"/>
  <c r="Z82" i="8"/>
  <c r="Y82" i="8"/>
  <c r="Y83" i="8" s="1"/>
  <c r="Y81" i="8" s="1"/>
  <c r="X82" i="8"/>
  <c r="W82" i="8"/>
  <c r="W83" i="8" s="1"/>
  <c r="W81" i="8" s="1"/>
  <c r="V82" i="8"/>
  <c r="U83" i="8"/>
  <c r="T83" i="8"/>
  <c r="T81" i="8" s="1"/>
  <c r="S82" i="8"/>
  <c r="S83" i="8" s="1"/>
  <c r="S81" i="8" s="1"/>
  <c r="R82" i="8"/>
  <c r="R83" i="8" s="1"/>
  <c r="Q82" i="8"/>
  <c r="Q83" i="8" s="1"/>
  <c r="Q81" i="8" s="1"/>
  <c r="P82" i="8"/>
  <c r="O82" i="8"/>
  <c r="O83" i="8" s="1"/>
  <c r="O81" i="8" s="1"/>
  <c r="N83" i="8"/>
  <c r="M83" i="8"/>
  <c r="L82" i="8"/>
  <c r="L83" i="8" s="1"/>
  <c r="L81" i="8" s="1"/>
  <c r="K82" i="8"/>
  <c r="K83" i="8" s="1"/>
  <c r="K81" i="8" s="1"/>
  <c r="J82" i="8"/>
  <c r="I82" i="8"/>
  <c r="I83" i="8" s="1"/>
  <c r="I81" i="8" s="1"/>
  <c r="H82" i="8"/>
  <c r="G83" i="8"/>
  <c r="G81" i="8" s="1"/>
  <c r="E82" i="8"/>
  <c r="E83" i="8" s="1"/>
  <c r="D82" i="8"/>
  <c r="D83" i="8" s="1"/>
  <c r="D81" i="8" s="1"/>
  <c r="C82" i="8"/>
  <c r="C83" i="8" s="1"/>
  <c r="C81" i="8" s="1"/>
  <c r="B82" i="8"/>
  <c r="B83" i="8" s="1"/>
  <c r="AF80" i="8"/>
  <c r="AF79" i="8" s="1"/>
  <c r="AF78" i="8" s="1"/>
  <c r="AC80" i="8"/>
  <c r="AC79" i="8" s="1"/>
  <c r="AC78" i="8" s="1"/>
  <c r="AB80" i="8"/>
  <c r="AA80" i="8"/>
  <c r="AA79" i="8" s="1"/>
  <c r="AA78" i="8" s="1"/>
  <c r="Y80" i="8"/>
  <c r="Y79" i="8" s="1"/>
  <c r="Y78" i="8" s="1"/>
  <c r="V80" i="8"/>
  <c r="V79" i="8" s="1"/>
  <c r="V78" i="8" s="1"/>
  <c r="U80" i="8"/>
  <c r="U79" i="8" s="1"/>
  <c r="U78" i="8" s="1"/>
  <c r="T80" i="8"/>
  <c r="S80" i="8"/>
  <c r="S79" i="8" s="1"/>
  <c r="S78" i="8" s="1"/>
  <c r="R80" i="8"/>
  <c r="R79" i="8" s="1"/>
  <c r="R78" i="8" s="1"/>
  <c r="O80" i="8"/>
  <c r="O79" i="8" s="1"/>
  <c r="O78" i="8" s="1"/>
  <c r="N80" i="8"/>
  <c r="N79" i="8" s="1"/>
  <c r="N78" i="8" s="1"/>
  <c r="M80" i="8"/>
  <c r="M79" i="8" s="1"/>
  <c r="M78" i="8" s="1"/>
  <c r="H80" i="8"/>
  <c r="H79" i="8" s="1"/>
  <c r="H78" i="8" s="1"/>
  <c r="G80" i="8"/>
  <c r="F80" i="8"/>
  <c r="F79" i="8" s="1"/>
  <c r="F78" i="8" s="1"/>
  <c r="AE79" i="8"/>
  <c r="AE78" i="8" s="1"/>
  <c r="AD79" i="8"/>
  <c r="AD78" i="8" s="1"/>
  <c r="AB79" i="8"/>
  <c r="AB78" i="8" s="1"/>
  <c r="Z79" i="8"/>
  <c r="Z78" i="8" s="1"/>
  <c r="X79" i="8"/>
  <c r="X78" i="8" s="1"/>
  <c r="W79" i="8"/>
  <c r="W78" i="8" s="1"/>
  <c r="T79" i="8"/>
  <c r="T78" i="8" s="1"/>
  <c r="Q79" i="8"/>
  <c r="Q78" i="8" s="1"/>
  <c r="P79" i="8"/>
  <c r="P78" i="8" s="1"/>
  <c r="L79" i="8"/>
  <c r="K79" i="8"/>
  <c r="K78" i="8" s="1"/>
  <c r="J79" i="8"/>
  <c r="J78" i="8" s="1"/>
  <c r="I79" i="8"/>
  <c r="I78" i="8" s="1"/>
  <c r="G79" i="8"/>
  <c r="G78" i="8" s="1"/>
  <c r="E79" i="8"/>
  <c r="E78" i="8" s="1"/>
  <c r="D79" i="8"/>
  <c r="D78" i="8" s="1"/>
  <c r="C79" i="8"/>
  <c r="C78" i="8" s="1"/>
  <c r="B79" i="8"/>
  <c r="B78" i="8" s="1"/>
  <c r="L78" i="8"/>
  <c r="AG77" i="8"/>
  <c r="G77" i="5" s="1"/>
  <c r="AG76" i="8"/>
  <c r="G76" i="5" s="1"/>
  <c r="AG75" i="8"/>
  <c r="G75" i="5" s="1"/>
  <c r="AG74" i="8"/>
  <c r="G74" i="5" s="1"/>
  <c r="AG73" i="8"/>
  <c r="G73" i="5" s="1"/>
  <c r="AG72" i="8"/>
  <c r="G72" i="5" s="1"/>
  <c r="AG71" i="8"/>
  <c r="G71" i="5" s="1"/>
  <c r="AG70" i="8"/>
  <c r="G70" i="5" s="1"/>
  <c r="AG69" i="8"/>
  <c r="G69" i="5" s="1"/>
  <c r="AG68" i="8"/>
  <c r="G68" i="5" s="1"/>
  <c r="AG67" i="8"/>
  <c r="G67" i="5" s="1"/>
  <c r="AG66" i="8"/>
  <c r="G66" i="5" s="1"/>
  <c r="AG65" i="8"/>
  <c r="G65" i="5" s="1"/>
  <c r="AG64" i="8"/>
  <c r="G64" i="5" s="1"/>
  <c r="AG63" i="8"/>
  <c r="G63" i="5" s="1"/>
  <c r="AG62" i="8"/>
  <c r="G62" i="5" s="1"/>
  <c r="AG61" i="8"/>
  <c r="G61" i="5" s="1"/>
  <c r="AG60" i="8"/>
  <c r="G60" i="5" s="1"/>
  <c r="AG59" i="8"/>
  <c r="G59" i="5" s="1"/>
  <c r="AG58" i="8"/>
  <c r="G58" i="5" s="1"/>
  <c r="AG57" i="8"/>
  <c r="G57" i="5" s="1"/>
  <c r="AG56" i="8"/>
  <c r="G56" i="5" s="1"/>
  <c r="AG55" i="8"/>
  <c r="G55" i="5" s="1"/>
  <c r="AG54" i="8"/>
  <c r="G54" i="5" s="1"/>
  <c r="AF53" i="8"/>
  <c r="AE53" i="8"/>
  <c r="AD53" i="8"/>
  <c r="AC53" i="8"/>
  <c r="AB53" i="8"/>
  <c r="AA53" i="8"/>
  <c r="Z53" i="8"/>
  <c r="Y53" i="8"/>
  <c r="X53" i="8"/>
  <c r="W53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B53" i="8"/>
  <c r="AG52" i="8"/>
  <c r="G52" i="5" s="1"/>
  <c r="AG51" i="8"/>
  <c r="G51" i="5" s="1"/>
  <c r="AG50" i="8"/>
  <c r="G50" i="5" s="1"/>
  <c r="AG49" i="8"/>
  <c r="G49" i="5" s="1"/>
  <c r="AG48" i="8"/>
  <c r="G48" i="5" s="1"/>
  <c r="AG47" i="8"/>
  <c r="G47" i="5" s="1"/>
  <c r="AG46" i="8"/>
  <c r="G46" i="5" s="1"/>
  <c r="AG45" i="8"/>
  <c r="G45" i="5" s="1"/>
  <c r="AG44" i="8"/>
  <c r="G44" i="5" s="1"/>
  <c r="AG43" i="8"/>
  <c r="G43" i="5" s="1"/>
  <c r="AG42" i="8"/>
  <c r="G42" i="5" s="1"/>
  <c r="AG41" i="8"/>
  <c r="G41" i="5" s="1"/>
  <c r="AG40" i="8"/>
  <c r="G40" i="5" s="1"/>
  <c r="AG39" i="8"/>
  <c r="G39" i="5" s="1"/>
  <c r="AG38" i="8"/>
  <c r="G38" i="5" s="1"/>
  <c r="AG37" i="8"/>
  <c r="G37" i="5" s="1"/>
  <c r="AG36" i="8"/>
  <c r="G36" i="5" s="1"/>
  <c r="AG35" i="8"/>
  <c r="G35" i="5" s="1"/>
  <c r="AG34" i="8"/>
  <c r="G34" i="5" s="1"/>
  <c r="AG33" i="8"/>
  <c r="G33" i="5" s="1"/>
  <c r="AG32" i="8"/>
  <c r="G32" i="5" s="1"/>
  <c r="AG31" i="8"/>
  <c r="G31" i="5" s="1"/>
  <c r="AG30" i="8"/>
  <c r="G30" i="5" s="1"/>
  <c r="AG29" i="8"/>
  <c r="G29" i="5" s="1"/>
  <c r="AF28" i="8"/>
  <c r="AE28" i="8"/>
  <c r="AD28" i="8"/>
  <c r="AC28" i="8"/>
  <c r="AB28" i="8"/>
  <c r="AA28" i="8"/>
  <c r="Z28" i="8"/>
  <c r="Y28" i="8"/>
  <c r="X28" i="8"/>
  <c r="W28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B28" i="8"/>
  <c r="AG27" i="8"/>
  <c r="G27" i="5" s="1"/>
  <c r="AG26" i="8"/>
  <c r="G26" i="5" s="1"/>
  <c r="AG25" i="8"/>
  <c r="G25" i="5" s="1"/>
  <c r="AG24" i="8"/>
  <c r="G24" i="5" s="1"/>
  <c r="AG23" i="8"/>
  <c r="G23" i="5" s="1"/>
  <c r="AG22" i="8"/>
  <c r="G22" i="5" s="1"/>
  <c r="AG21" i="8"/>
  <c r="G21" i="5" s="1"/>
  <c r="AG20" i="8"/>
  <c r="G20" i="5" s="1"/>
  <c r="AG19" i="8"/>
  <c r="G19" i="5" s="1"/>
  <c r="AG18" i="8"/>
  <c r="G18" i="5" s="1"/>
  <c r="AG17" i="8"/>
  <c r="G17" i="5" s="1"/>
  <c r="AG16" i="8"/>
  <c r="G16" i="5" s="1"/>
  <c r="AG15" i="8"/>
  <c r="G15" i="5" s="1"/>
  <c r="AG14" i="8"/>
  <c r="G14" i="5" s="1"/>
  <c r="AG13" i="8"/>
  <c r="G13" i="5" s="1"/>
  <c r="AG12" i="8"/>
  <c r="G12" i="5" s="1"/>
  <c r="AG11" i="8"/>
  <c r="G11" i="5" s="1"/>
  <c r="AG10" i="8"/>
  <c r="G10" i="5" s="1"/>
  <c r="AG9" i="8"/>
  <c r="G9" i="5" s="1"/>
  <c r="AG8" i="8"/>
  <c r="G8" i="5" s="1"/>
  <c r="AG7" i="8"/>
  <c r="G7" i="5" s="1"/>
  <c r="AG6" i="8"/>
  <c r="G6" i="5" s="1"/>
  <c r="AG5" i="8"/>
  <c r="G5" i="5" s="1"/>
  <c r="AG4" i="8"/>
  <c r="G4" i="5" s="1"/>
  <c r="AF3" i="8"/>
  <c r="AE3" i="8"/>
  <c r="AD3" i="8"/>
  <c r="AC3" i="8"/>
  <c r="AB3" i="8"/>
  <c r="AA3" i="8"/>
  <c r="Z3" i="8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E3" i="8"/>
  <c r="D3" i="8"/>
  <c r="C3" i="8"/>
  <c r="B3" i="8"/>
  <c r="AC2" i="8"/>
  <c r="C2" i="8"/>
  <c r="D2" i="8" s="1"/>
  <c r="E2" i="8" s="1"/>
  <c r="F2" i="8" s="1"/>
  <c r="G2" i="8" s="1"/>
  <c r="H2" i="8" s="1"/>
  <c r="I2" i="8" s="1"/>
  <c r="J2" i="8" s="1"/>
  <c r="K2" i="8" s="1"/>
  <c r="L2" i="8" s="1"/>
  <c r="M2" i="8" s="1"/>
  <c r="N2" i="8" s="1"/>
  <c r="O2" i="8" s="1"/>
  <c r="P2" i="8" s="1"/>
  <c r="Q2" i="8" s="1"/>
  <c r="R2" i="8" s="1"/>
  <c r="S2" i="8" s="1"/>
  <c r="T2" i="8" s="1"/>
  <c r="U2" i="8" s="1"/>
  <c r="V2" i="8" s="1"/>
  <c r="W2" i="8" s="1"/>
  <c r="X2" i="8" s="1"/>
  <c r="Y2" i="8" s="1"/>
  <c r="Z2" i="8" s="1"/>
  <c r="AA2" i="8" s="1"/>
  <c r="AF171" i="7"/>
  <c r="AF134" i="7"/>
  <c r="AF142" i="7"/>
  <c r="AF143" i="7"/>
  <c r="AF129" i="7"/>
  <c r="AE134" i="7"/>
  <c r="AE142" i="7"/>
  <c r="AE143" i="7"/>
  <c r="AE129" i="7"/>
  <c r="AE100" i="7"/>
  <c r="AD142" i="7"/>
  <c r="AD137" i="7"/>
  <c r="AD143" i="7"/>
  <c r="AD129" i="7"/>
  <c r="Q144" i="8" l="1"/>
  <c r="L93" i="8"/>
  <c r="AF93" i="8"/>
  <c r="W144" i="8"/>
  <c r="E144" i="8"/>
  <c r="S144" i="8"/>
  <c r="V144" i="8"/>
  <c r="U93" i="8"/>
  <c r="AC144" i="8"/>
  <c r="AG146" i="9"/>
  <c r="H146" i="5" s="1"/>
  <c r="H148" i="5"/>
  <c r="Z93" i="8"/>
  <c r="AD144" i="8"/>
  <c r="AD93" i="8"/>
  <c r="AF144" i="8"/>
  <c r="AG144" i="9"/>
  <c r="H144" i="5" s="1"/>
  <c r="AG83" i="9"/>
  <c r="AG93" i="9"/>
  <c r="H93" i="5" s="1"/>
  <c r="AH87" i="9"/>
  <c r="E81" i="9"/>
  <c r="AG81" i="9" s="1"/>
  <c r="AB144" i="8"/>
  <c r="AA93" i="8"/>
  <c r="Y144" i="8"/>
  <c r="Y93" i="8"/>
  <c r="X144" i="8"/>
  <c r="X93" i="8"/>
  <c r="V93" i="8"/>
  <c r="T144" i="8"/>
  <c r="S93" i="8"/>
  <c r="Q93" i="8"/>
  <c r="P93" i="8"/>
  <c r="O144" i="8"/>
  <c r="N93" i="8"/>
  <c r="M144" i="8"/>
  <c r="AG219" i="8"/>
  <c r="G220" i="5" s="1"/>
  <c r="AG148" i="8"/>
  <c r="AG147" i="8"/>
  <c r="G147" i="5" s="1"/>
  <c r="O93" i="8"/>
  <c r="W93" i="8"/>
  <c r="AE93" i="8"/>
  <c r="C144" i="8"/>
  <c r="K93" i="8"/>
  <c r="AG209" i="8"/>
  <c r="G209" i="5" s="1"/>
  <c r="AG177" i="8"/>
  <c r="G177" i="5" s="1"/>
  <c r="AG223" i="8"/>
  <c r="G224" i="5" s="1"/>
  <c r="AG215" i="8"/>
  <c r="G215" i="5" s="1"/>
  <c r="H144" i="8"/>
  <c r="AG167" i="8"/>
  <c r="G167" i="5" s="1"/>
  <c r="G144" i="8"/>
  <c r="G93" i="8"/>
  <c r="AG53" i="8"/>
  <c r="G53" i="5" s="1"/>
  <c r="F144" i="8"/>
  <c r="D93" i="8"/>
  <c r="AG87" i="8"/>
  <c r="G87" i="5" s="1"/>
  <c r="AG84" i="8"/>
  <c r="G84" i="5" s="1"/>
  <c r="AG28" i="8"/>
  <c r="G28" i="5" s="1"/>
  <c r="AG3" i="8"/>
  <c r="G3" i="5" s="1"/>
  <c r="AG145" i="8"/>
  <c r="G145" i="5" s="1"/>
  <c r="AG158" i="8"/>
  <c r="G158" i="5" s="1"/>
  <c r="AG130" i="8"/>
  <c r="G130" i="5" s="1"/>
  <c r="AG116" i="8"/>
  <c r="G116" i="5" s="1"/>
  <c r="C93" i="8"/>
  <c r="AG182" i="8"/>
  <c r="G182" i="5" s="1"/>
  <c r="AG173" i="8"/>
  <c r="G173" i="5" s="1"/>
  <c r="AG100" i="8"/>
  <c r="G100" i="5" s="1"/>
  <c r="B93" i="8"/>
  <c r="AG78" i="8"/>
  <c r="G78" i="5" s="1"/>
  <c r="AG79" i="8"/>
  <c r="G79" i="5" s="1"/>
  <c r="J83" i="8"/>
  <c r="F83" i="8"/>
  <c r="F81" i="8" s="1"/>
  <c r="AD83" i="8"/>
  <c r="AD81" i="8" s="1"/>
  <c r="AG80" i="8"/>
  <c r="G80" i="5" s="1"/>
  <c r="H83" i="8"/>
  <c r="H81" i="8" s="1"/>
  <c r="P83" i="8"/>
  <c r="P81" i="8" s="1"/>
  <c r="X83" i="8"/>
  <c r="X81" i="8" s="1"/>
  <c r="AF83" i="8"/>
  <c r="AF81" i="8" s="1"/>
  <c r="Z83" i="8"/>
  <c r="Z81" i="8" s="1"/>
  <c r="V83" i="8"/>
  <c r="V81" i="8" s="1"/>
  <c r="B81" i="8"/>
  <c r="R81" i="8"/>
  <c r="AG82" i="8"/>
  <c r="G82" i="5" s="1"/>
  <c r="I146" i="8"/>
  <c r="I144" i="8" s="1"/>
  <c r="AG94" i="8"/>
  <c r="G94" i="5" s="1"/>
  <c r="E81" i="8"/>
  <c r="M81" i="8"/>
  <c r="U81" i="8"/>
  <c r="AC81" i="8"/>
  <c r="N81" i="8"/>
  <c r="AC134" i="7"/>
  <c r="AC142" i="7"/>
  <c r="AC143" i="7"/>
  <c r="AC129" i="7"/>
  <c r="AB134" i="7"/>
  <c r="AB142" i="7"/>
  <c r="AB137" i="7"/>
  <c r="AB143" i="7"/>
  <c r="AB129" i="7"/>
  <c r="AA134" i="7"/>
  <c r="AA142" i="7"/>
  <c r="AA143" i="7"/>
  <c r="AA129" i="7"/>
  <c r="AG217" i="7"/>
  <c r="F219" i="5" s="1"/>
  <c r="AG219" i="1"/>
  <c r="AG223" i="1"/>
  <c r="AG222" i="1"/>
  <c r="AG221" i="1"/>
  <c r="AF220" i="1"/>
  <c r="AE220" i="1"/>
  <c r="AD220" i="1"/>
  <c r="AC220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E220" i="1"/>
  <c r="D220" i="1"/>
  <c r="C220" i="1"/>
  <c r="B220" i="1"/>
  <c r="AG217" i="1"/>
  <c r="AG216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H215" i="1"/>
  <c r="G215" i="1"/>
  <c r="F215" i="1"/>
  <c r="E215" i="1"/>
  <c r="D215" i="1"/>
  <c r="C215" i="1"/>
  <c r="B215" i="1"/>
  <c r="E223" i="5"/>
  <c r="E219" i="5"/>
  <c r="Z142" i="7"/>
  <c r="Z143" i="7"/>
  <c r="Z129" i="7"/>
  <c r="Y134" i="7"/>
  <c r="Y142" i="7"/>
  <c r="Y143" i="7"/>
  <c r="Y129" i="7"/>
  <c r="X134" i="7"/>
  <c r="X142" i="7"/>
  <c r="X143" i="7"/>
  <c r="X129" i="7"/>
  <c r="W134" i="7"/>
  <c r="W142" i="7"/>
  <c r="W143" i="7"/>
  <c r="W129" i="7"/>
  <c r="V142" i="7"/>
  <c r="V137" i="7"/>
  <c r="V143" i="7"/>
  <c r="V129" i="7"/>
  <c r="T134" i="7"/>
  <c r="T142" i="7"/>
  <c r="T143" i="7"/>
  <c r="T129" i="7"/>
  <c r="U134" i="7"/>
  <c r="U142" i="7"/>
  <c r="U143" i="7"/>
  <c r="U129" i="7"/>
  <c r="S134" i="7"/>
  <c r="S142" i="7"/>
  <c r="S143" i="7"/>
  <c r="S129" i="7"/>
  <c r="AG216" i="7"/>
  <c r="F217" i="5" s="1"/>
  <c r="AG220" i="7"/>
  <c r="F222" i="5" s="1"/>
  <c r="AF218" i="6"/>
  <c r="AE218" i="6"/>
  <c r="AD218" i="6"/>
  <c r="AC218" i="6"/>
  <c r="AB218" i="6"/>
  <c r="AA218" i="6"/>
  <c r="Z218" i="6"/>
  <c r="Y218" i="6"/>
  <c r="X218" i="6"/>
  <c r="AG221" i="6"/>
  <c r="AH81" i="9" l="1"/>
  <c r="H81" i="5"/>
  <c r="AH84" i="9"/>
  <c r="H83" i="5"/>
  <c r="AG146" i="8"/>
  <c r="G146" i="5" s="1"/>
  <c r="G148" i="5"/>
  <c r="AH144" i="9"/>
  <c r="AH130" i="9"/>
  <c r="AH209" i="9"/>
  <c r="AH93" i="9"/>
  <c r="AG220" i="1"/>
  <c r="AG144" i="8"/>
  <c r="G144" i="5" s="1"/>
  <c r="AG93" i="8"/>
  <c r="AH87" i="8"/>
  <c r="AG83" i="8"/>
  <c r="J81" i="8"/>
  <c r="AG81" i="8" s="1"/>
  <c r="AG215" i="1"/>
  <c r="R171" i="7"/>
  <c r="R134" i="7"/>
  <c r="R142" i="7"/>
  <c r="R137" i="7"/>
  <c r="R143" i="7"/>
  <c r="R129" i="7"/>
  <c r="Q134" i="7"/>
  <c r="Q142" i="7"/>
  <c r="Q143" i="7"/>
  <c r="Q129" i="7"/>
  <c r="P134" i="7"/>
  <c r="P142" i="7"/>
  <c r="P137" i="7"/>
  <c r="P143" i="7"/>
  <c r="P129" i="7"/>
  <c r="O134" i="7"/>
  <c r="O142" i="7"/>
  <c r="O143" i="7"/>
  <c r="O129" i="7"/>
  <c r="N134" i="7"/>
  <c r="N142" i="7"/>
  <c r="N143" i="7"/>
  <c r="N129" i="7"/>
  <c r="AH93" i="8" l="1"/>
  <c r="G93" i="5"/>
  <c r="AH81" i="8"/>
  <c r="G81" i="5"/>
  <c r="AH84" i="8"/>
  <c r="G83" i="5"/>
  <c r="AH130" i="8"/>
  <c r="AH209" i="8"/>
  <c r="AH144" i="8"/>
  <c r="M134" i="7"/>
  <c r="M142" i="7"/>
  <c r="M143" i="7"/>
  <c r="M129" i="7"/>
  <c r="AG221" i="7"/>
  <c r="F223" i="5" s="1"/>
  <c r="AG219" i="7"/>
  <c r="F221" i="5" s="1"/>
  <c r="AF218" i="7"/>
  <c r="AE218" i="7"/>
  <c r="AD218" i="7"/>
  <c r="AC218" i="7"/>
  <c r="AB218" i="7"/>
  <c r="AA218" i="7"/>
  <c r="Z218" i="7"/>
  <c r="Y218" i="7"/>
  <c r="X218" i="7"/>
  <c r="W218" i="7"/>
  <c r="V218" i="7"/>
  <c r="U218" i="7"/>
  <c r="T218" i="7"/>
  <c r="S218" i="7"/>
  <c r="R218" i="7"/>
  <c r="Q218" i="7"/>
  <c r="P218" i="7"/>
  <c r="O218" i="7"/>
  <c r="N218" i="7"/>
  <c r="M218" i="7"/>
  <c r="L218" i="7"/>
  <c r="K218" i="7"/>
  <c r="J218" i="7"/>
  <c r="I218" i="7"/>
  <c r="H218" i="7"/>
  <c r="G218" i="7"/>
  <c r="F218" i="7"/>
  <c r="E218" i="7"/>
  <c r="D218" i="7"/>
  <c r="C218" i="7"/>
  <c r="B218" i="7"/>
  <c r="L134" i="7"/>
  <c r="L142" i="7"/>
  <c r="L129" i="7"/>
  <c r="L116" i="7" s="1"/>
  <c r="K134" i="7"/>
  <c r="K142" i="7"/>
  <c r="K143" i="7"/>
  <c r="K129" i="7"/>
  <c r="J134" i="7"/>
  <c r="J142" i="7"/>
  <c r="J143" i="7"/>
  <c r="J129" i="7"/>
  <c r="J116" i="7" s="1"/>
  <c r="I134" i="7"/>
  <c r="I142" i="7"/>
  <c r="I143" i="7"/>
  <c r="I129" i="7"/>
  <c r="I116" i="7" s="1"/>
  <c r="H142" i="7"/>
  <c r="H134" i="7"/>
  <c r="H143" i="7"/>
  <c r="H129" i="7"/>
  <c r="H116" i="7" s="1"/>
  <c r="F134" i="7"/>
  <c r="F142" i="7"/>
  <c r="F143" i="7"/>
  <c r="F129" i="7"/>
  <c r="F116" i="7" s="1"/>
  <c r="G134" i="7"/>
  <c r="G142" i="7"/>
  <c r="G143" i="7"/>
  <c r="G129" i="7"/>
  <c r="G116" i="7" s="1"/>
  <c r="E134" i="7"/>
  <c r="E142" i="7"/>
  <c r="E143" i="7"/>
  <c r="E129" i="7"/>
  <c r="D134" i="7"/>
  <c r="D142" i="7"/>
  <c r="C134" i="7"/>
  <c r="C142" i="7"/>
  <c r="C137" i="7"/>
  <c r="AG137" i="7" s="1"/>
  <c r="F137" i="5" s="1"/>
  <c r="C143" i="7"/>
  <c r="C129" i="7"/>
  <c r="C116" i="7" s="1"/>
  <c r="D82" i="7"/>
  <c r="D83" i="7" s="1"/>
  <c r="D81" i="7" s="1"/>
  <c r="E82" i="7"/>
  <c r="E83" i="7" s="1"/>
  <c r="F82" i="7"/>
  <c r="F83" i="7" s="1"/>
  <c r="F81" i="7" s="1"/>
  <c r="G82" i="7"/>
  <c r="G83" i="7" s="1"/>
  <c r="G81" i="7" s="1"/>
  <c r="H82" i="7"/>
  <c r="H83" i="7" s="1"/>
  <c r="K82" i="7"/>
  <c r="L82" i="7"/>
  <c r="M82" i="7"/>
  <c r="M83" i="7" s="1"/>
  <c r="N82" i="7"/>
  <c r="N83" i="7" s="1"/>
  <c r="N81" i="7" s="1"/>
  <c r="O82" i="7"/>
  <c r="O83" i="7" s="1"/>
  <c r="O81" i="7" s="1"/>
  <c r="R82" i="7"/>
  <c r="R83" i="7" s="1"/>
  <c r="S82" i="7"/>
  <c r="S83" i="7" s="1"/>
  <c r="T82" i="7"/>
  <c r="T83" i="7" s="1"/>
  <c r="T81" i="7" s="1"/>
  <c r="U82" i="7"/>
  <c r="U83" i="7" s="1"/>
  <c r="W83" i="7"/>
  <c r="W81" i="7" s="1"/>
  <c r="Y82" i="7"/>
  <c r="Y83" i="7" s="1"/>
  <c r="Y81" i="7" s="1"/>
  <c r="Z82" i="7"/>
  <c r="Z83" i="7" s="1"/>
  <c r="AA82" i="7"/>
  <c r="AB82" i="7"/>
  <c r="AB83" i="7" s="1"/>
  <c r="AB81" i="7" s="1"/>
  <c r="AC82" i="7"/>
  <c r="AC83" i="7" s="1"/>
  <c r="AF82" i="7"/>
  <c r="AF83" i="7" s="1"/>
  <c r="B134" i="7"/>
  <c r="B142" i="7"/>
  <c r="B143" i="7"/>
  <c r="B129" i="7"/>
  <c r="B116" i="7" s="1"/>
  <c r="AG225" i="7"/>
  <c r="F227" i="5" s="1"/>
  <c r="AG224" i="7"/>
  <c r="F226" i="5" s="1"/>
  <c r="AG223" i="7"/>
  <c r="F225" i="5" s="1"/>
  <c r="AF222" i="7"/>
  <c r="AE222" i="7"/>
  <c r="AD222" i="7"/>
  <c r="AC222" i="7"/>
  <c r="AB222" i="7"/>
  <c r="AA222" i="7"/>
  <c r="Z222" i="7"/>
  <c r="Y222" i="7"/>
  <c r="X222" i="7"/>
  <c r="W222" i="7"/>
  <c r="V222" i="7"/>
  <c r="U222" i="7"/>
  <c r="T222" i="7"/>
  <c r="S222" i="7"/>
  <c r="R222" i="7"/>
  <c r="Q222" i="7"/>
  <c r="P222" i="7"/>
  <c r="O222" i="7"/>
  <c r="N222" i="7"/>
  <c r="M222" i="7"/>
  <c r="L222" i="7"/>
  <c r="K222" i="7"/>
  <c r="J222" i="7"/>
  <c r="I222" i="7"/>
  <c r="H222" i="7"/>
  <c r="G222" i="7"/>
  <c r="F222" i="7"/>
  <c r="E222" i="7"/>
  <c r="D222" i="7"/>
  <c r="C222" i="7"/>
  <c r="B222" i="7"/>
  <c r="AG215" i="7"/>
  <c r="F216" i="5" s="1"/>
  <c r="AF214" i="7"/>
  <c r="AE214" i="7"/>
  <c r="AD214" i="7"/>
  <c r="AC214" i="7"/>
  <c r="AB214" i="7"/>
  <c r="AA214" i="7"/>
  <c r="Z214" i="7"/>
  <c r="Y214" i="7"/>
  <c r="X214" i="7"/>
  <c r="W214" i="7"/>
  <c r="V214" i="7"/>
  <c r="U214" i="7"/>
  <c r="T214" i="7"/>
  <c r="S214" i="7"/>
  <c r="R214" i="7"/>
  <c r="Q214" i="7"/>
  <c r="P214" i="7"/>
  <c r="O214" i="7"/>
  <c r="N214" i="7"/>
  <c r="M214" i="7"/>
  <c r="L214" i="7"/>
  <c r="K214" i="7"/>
  <c r="J214" i="7"/>
  <c r="I214" i="7"/>
  <c r="H214" i="7"/>
  <c r="G214" i="7"/>
  <c r="F214" i="7"/>
  <c r="E214" i="7"/>
  <c r="D214" i="7"/>
  <c r="C214" i="7"/>
  <c r="B214" i="7"/>
  <c r="AG213" i="7"/>
  <c r="F214" i="5" s="1"/>
  <c r="AG212" i="7"/>
  <c r="F213" i="5" s="1"/>
  <c r="AG211" i="7"/>
  <c r="F212" i="5" s="1"/>
  <c r="AG210" i="7"/>
  <c r="F211" i="5" s="1"/>
  <c r="AG209" i="7"/>
  <c r="F210" i="5" s="1"/>
  <c r="AF208" i="7"/>
  <c r="AE208" i="7"/>
  <c r="AD208" i="7"/>
  <c r="AC208" i="7"/>
  <c r="AB208" i="7"/>
  <c r="AA208" i="7"/>
  <c r="Z208" i="7"/>
  <c r="Y208" i="7"/>
  <c r="X208" i="7"/>
  <c r="W208" i="7"/>
  <c r="V208" i="7"/>
  <c r="U208" i="7"/>
  <c r="T208" i="7"/>
  <c r="S208" i="7"/>
  <c r="R208" i="7"/>
  <c r="Q208" i="7"/>
  <c r="P208" i="7"/>
  <c r="O208" i="7"/>
  <c r="N208" i="7"/>
  <c r="M208" i="7"/>
  <c r="L208" i="7"/>
  <c r="K208" i="7"/>
  <c r="J208" i="7"/>
  <c r="I208" i="7"/>
  <c r="H208" i="7"/>
  <c r="G208" i="7"/>
  <c r="F208" i="7"/>
  <c r="E208" i="7"/>
  <c r="D208" i="7"/>
  <c r="C208" i="7"/>
  <c r="B208" i="7"/>
  <c r="AG207" i="7"/>
  <c r="F208" i="5" s="1"/>
  <c r="AG206" i="7"/>
  <c r="F207" i="5" s="1"/>
  <c r="AG205" i="7"/>
  <c r="F206" i="5" s="1"/>
  <c r="AG204" i="7"/>
  <c r="F205" i="5" s="1"/>
  <c r="AG203" i="7"/>
  <c r="F204" i="5" s="1"/>
  <c r="AG202" i="7"/>
  <c r="F203" i="5" s="1"/>
  <c r="AG201" i="7"/>
  <c r="F202" i="5" s="1"/>
  <c r="AG200" i="7"/>
  <c r="F201" i="5" s="1"/>
  <c r="AG199" i="7"/>
  <c r="F200" i="5" s="1"/>
  <c r="AG198" i="7"/>
  <c r="F199" i="5" s="1"/>
  <c r="AG197" i="7"/>
  <c r="F198" i="5" s="1"/>
  <c r="AG196" i="7"/>
  <c r="F197" i="5" s="1"/>
  <c r="AG195" i="7"/>
  <c r="F196" i="5" s="1"/>
  <c r="AG194" i="7"/>
  <c r="F195" i="5" s="1"/>
  <c r="AG193" i="7"/>
  <c r="F194" i="5" s="1"/>
  <c r="AG192" i="7"/>
  <c r="F193" i="5" s="1"/>
  <c r="AG191" i="7"/>
  <c r="F192" i="5" s="1"/>
  <c r="AG190" i="7"/>
  <c r="F191" i="5" s="1"/>
  <c r="AG189" i="7"/>
  <c r="F190" i="5" s="1"/>
  <c r="AG188" i="7"/>
  <c r="F189" i="5" s="1"/>
  <c r="AG187" i="7"/>
  <c r="F188" i="5" s="1"/>
  <c r="AG186" i="7"/>
  <c r="F187" i="5" s="1"/>
  <c r="AG185" i="7"/>
  <c r="F186" i="5" s="1"/>
  <c r="AG184" i="7"/>
  <c r="F185" i="5" s="1"/>
  <c r="AG183" i="7"/>
  <c r="F184" i="5" s="1"/>
  <c r="AG182" i="7"/>
  <c r="F183" i="5" s="1"/>
  <c r="AF181" i="7"/>
  <c r="AE181" i="7"/>
  <c r="AD181" i="7"/>
  <c r="AC181" i="7"/>
  <c r="AB181" i="7"/>
  <c r="AA181" i="7"/>
  <c r="Z181" i="7"/>
  <c r="Y181" i="7"/>
  <c r="X181" i="7"/>
  <c r="W181" i="7"/>
  <c r="V181" i="7"/>
  <c r="U181" i="7"/>
  <c r="T181" i="7"/>
  <c r="S181" i="7"/>
  <c r="R181" i="7"/>
  <c r="Q181" i="7"/>
  <c r="P181" i="7"/>
  <c r="O181" i="7"/>
  <c r="N181" i="7"/>
  <c r="M181" i="7"/>
  <c r="L181" i="7"/>
  <c r="K181" i="7"/>
  <c r="J181" i="7"/>
  <c r="I181" i="7"/>
  <c r="H181" i="7"/>
  <c r="G181" i="7"/>
  <c r="F181" i="7"/>
  <c r="E181" i="7"/>
  <c r="D181" i="7"/>
  <c r="C181" i="7"/>
  <c r="B181" i="7"/>
  <c r="AG180" i="7"/>
  <c r="F181" i="5" s="1"/>
  <c r="AG179" i="7"/>
  <c r="F180" i="5" s="1"/>
  <c r="AG178" i="7"/>
  <c r="F179" i="5" s="1"/>
  <c r="AG177" i="7"/>
  <c r="F178" i="5" s="1"/>
  <c r="AF176" i="7"/>
  <c r="AE176" i="7"/>
  <c r="AD176" i="7"/>
  <c r="AC176" i="7"/>
  <c r="AB176" i="7"/>
  <c r="AA176" i="7"/>
  <c r="Z176" i="7"/>
  <c r="Y176" i="7"/>
  <c r="X176" i="7"/>
  <c r="W176" i="7"/>
  <c r="V176" i="7"/>
  <c r="U176" i="7"/>
  <c r="T176" i="7"/>
  <c r="S176" i="7"/>
  <c r="R176" i="7"/>
  <c r="Q176" i="7"/>
  <c r="P176" i="7"/>
  <c r="O176" i="7"/>
  <c r="N176" i="7"/>
  <c r="M176" i="7"/>
  <c r="L176" i="7"/>
  <c r="K176" i="7"/>
  <c r="J176" i="7"/>
  <c r="I176" i="7"/>
  <c r="H176" i="7"/>
  <c r="G176" i="7"/>
  <c r="F176" i="7"/>
  <c r="E176" i="7"/>
  <c r="D176" i="7"/>
  <c r="C176" i="7"/>
  <c r="B176" i="7"/>
  <c r="AG175" i="7"/>
  <c r="F175" i="5" s="1"/>
  <c r="AG174" i="7"/>
  <c r="F174" i="5" s="1"/>
  <c r="AF173" i="7"/>
  <c r="AE173" i="7"/>
  <c r="AD173" i="7"/>
  <c r="AC173" i="7"/>
  <c r="AB173" i="7"/>
  <c r="AA173" i="7"/>
  <c r="Z173" i="7"/>
  <c r="Y173" i="7"/>
  <c r="X173" i="7"/>
  <c r="W173" i="7"/>
  <c r="V173" i="7"/>
  <c r="U173" i="7"/>
  <c r="T173" i="7"/>
  <c r="S173" i="7"/>
  <c r="R173" i="7"/>
  <c r="Q173" i="7"/>
  <c r="P173" i="7"/>
  <c r="O173" i="7"/>
  <c r="N173" i="7"/>
  <c r="M173" i="7"/>
  <c r="L173" i="7"/>
  <c r="K173" i="7"/>
  <c r="J173" i="7"/>
  <c r="I173" i="7"/>
  <c r="H173" i="7"/>
  <c r="G173" i="7"/>
  <c r="F173" i="7"/>
  <c r="E173" i="7"/>
  <c r="D173" i="7"/>
  <c r="C173" i="7"/>
  <c r="B173" i="7"/>
  <c r="AG172" i="7"/>
  <c r="F172" i="5" s="1"/>
  <c r="AG171" i="7"/>
  <c r="F171" i="5" s="1"/>
  <c r="AG170" i="7"/>
  <c r="F170" i="5" s="1"/>
  <c r="AG169" i="7"/>
  <c r="F169" i="5" s="1"/>
  <c r="AG168" i="7"/>
  <c r="F168" i="5" s="1"/>
  <c r="AF167" i="7"/>
  <c r="AE167" i="7"/>
  <c r="AD167" i="7"/>
  <c r="AC167" i="7"/>
  <c r="AB167" i="7"/>
  <c r="AA167" i="7"/>
  <c r="Z167" i="7"/>
  <c r="Y167" i="7"/>
  <c r="X167" i="7"/>
  <c r="W167" i="7"/>
  <c r="V167" i="7"/>
  <c r="U167" i="7"/>
  <c r="T167" i="7"/>
  <c r="S167" i="7"/>
  <c r="R167" i="7"/>
  <c r="Q167" i="7"/>
  <c r="P167" i="7"/>
  <c r="O167" i="7"/>
  <c r="N167" i="7"/>
  <c r="M167" i="7"/>
  <c r="L167" i="7"/>
  <c r="K167" i="7"/>
  <c r="J167" i="7"/>
  <c r="I167" i="7"/>
  <c r="H167" i="7"/>
  <c r="G167" i="7"/>
  <c r="F167" i="7"/>
  <c r="E167" i="7"/>
  <c r="D167" i="7"/>
  <c r="C167" i="7"/>
  <c r="B167" i="7"/>
  <c r="AG166" i="7"/>
  <c r="F166" i="5" s="1"/>
  <c r="AG165" i="7"/>
  <c r="F165" i="5" s="1"/>
  <c r="AG164" i="7"/>
  <c r="F164" i="5" s="1"/>
  <c r="AG163" i="7"/>
  <c r="F163" i="5" s="1"/>
  <c r="AG162" i="7"/>
  <c r="F162" i="5" s="1"/>
  <c r="AG161" i="7"/>
  <c r="F161" i="5" s="1"/>
  <c r="AG160" i="7"/>
  <c r="F160" i="5" s="1"/>
  <c r="AG159" i="7"/>
  <c r="F159" i="5" s="1"/>
  <c r="AF158" i="7"/>
  <c r="AE158" i="7"/>
  <c r="AD158" i="7"/>
  <c r="AC158" i="7"/>
  <c r="AB158" i="7"/>
  <c r="AA158" i="7"/>
  <c r="Z158" i="7"/>
  <c r="Y158" i="7"/>
  <c r="X158" i="7"/>
  <c r="W158" i="7"/>
  <c r="V158" i="7"/>
  <c r="U158" i="7"/>
  <c r="T158" i="7"/>
  <c r="S158" i="7"/>
  <c r="R158" i="7"/>
  <c r="Q158" i="7"/>
  <c r="P158" i="7"/>
  <c r="O158" i="7"/>
  <c r="N158" i="7"/>
  <c r="M158" i="7"/>
  <c r="L158" i="7"/>
  <c r="K158" i="7"/>
  <c r="J158" i="7"/>
  <c r="I158" i="7"/>
  <c r="H158" i="7"/>
  <c r="G158" i="7"/>
  <c r="F158" i="7"/>
  <c r="E158" i="7"/>
  <c r="D158" i="7"/>
  <c r="C158" i="7"/>
  <c r="B158" i="7"/>
  <c r="AG157" i="7"/>
  <c r="F157" i="5" s="1"/>
  <c r="AG156" i="7"/>
  <c r="F156" i="5" s="1"/>
  <c r="AG155" i="7"/>
  <c r="F155" i="5" s="1"/>
  <c r="AG154" i="7"/>
  <c r="F154" i="5" s="1"/>
  <c r="AG153" i="7"/>
  <c r="F153" i="5" s="1"/>
  <c r="AG152" i="7"/>
  <c r="F152" i="5" s="1"/>
  <c r="AG151" i="7"/>
  <c r="F151" i="5" s="1"/>
  <c r="AG150" i="7"/>
  <c r="F150" i="5" s="1"/>
  <c r="AG149" i="7"/>
  <c r="F149" i="5" s="1"/>
  <c r="AF148" i="7"/>
  <c r="AF146" i="7" s="1"/>
  <c r="AE148" i="7"/>
  <c r="AE146" i="7" s="1"/>
  <c r="AD148" i="7"/>
  <c r="AD146" i="7" s="1"/>
  <c r="AC148" i="7"/>
  <c r="AC146" i="7" s="1"/>
  <c r="AB148" i="7"/>
  <c r="AB146" i="7" s="1"/>
  <c r="AA148" i="7"/>
  <c r="AA146" i="7" s="1"/>
  <c r="Z148" i="7"/>
  <c r="Z146" i="7" s="1"/>
  <c r="Y148" i="7"/>
  <c r="Y146" i="7" s="1"/>
  <c r="X148" i="7"/>
  <c r="X146" i="7" s="1"/>
  <c r="W148" i="7"/>
  <c r="W146" i="7" s="1"/>
  <c r="V148" i="7"/>
  <c r="V146" i="7" s="1"/>
  <c r="U148" i="7"/>
  <c r="U146" i="7" s="1"/>
  <c r="T148" i="7"/>
  <c r="T146" i="7" s="1"/>
  <c r="S148" i="7"/>
  <c r="S146" i="7" s="1"/>
  <c r="R148" i="7"/>
  <c r="R146" i="7" s="1"/>
  <c r="Q148" i="7"/>
  <c r="Q146" i="7" s="1"/>
  <c r="P148" i="7"/>
  <c r="P146" i="7" s="1"/>
  <c r="O148" i="7"/>
  <c r="O146" i="7" s="1"/>
  <c r="N148" i="7"/>
  <c r="N146" i="7" s="1"/>
  <c r="M148" i="7"/>
  <c r="M146" i="7" s="1"/>
  <c r="L148" i="7"/>
  <c r="L146" i="7" s="1"/>
  <c r="K148" i="7"/>
  <c r="K146" i="7" s="1"/>
  <c r="J148" i="7"/>
  <c r="J146" i="7" s="1"/>
  <c r="I148" i="7"/>
  <c r="I146" i="7" s="1"/>
  <c r="H148" i="7"/>
  <c r="H146" i="7" s="1"/>
  <c r="G148" i="7"/>
  <c r="G146" i="7" s="1"/>
  <c r="F148" i="7"/>
  <c r="F146" i="7" s="1"/>
  <c r="E148" i="7"/>
  <c r="E146" i="7" s="1"/>
  <c r="D148" i="7"/>
  <c r="D146" i="7" s="1"/>
  <c r="C148" i="7"/>
  <c r="C146" i="7" s="1"/>
  <c r="B148" i="7"/>
  <c r="B146" i="7" s="1"/>
  <c r="AE147" i="7"/>
  <c r="AD147" i="7"/>
  <c r="AC147" i="7"/>
  <c r="AB147" i="7"/>
  <c r="AA147" i="7"/>
  <c r="Z147" i="7"/>
  <c r="Y147" i="7"/>
  <c r="X147" i="7"/>
  <c r="W147" i="7"/>
  <c r="V147" i="7"/>
  <c r="U147" i="7"/>
  <c r="T147" i="7"/>
  <c r="S147" i="7"/>
  <c r="R147" i="7"/>
  <c r="Q147" i="7"/>
  <c r="P147" i="7"/>
  <c r="O147" i="7"/>
  <c r="N147" i="7"/>
  <c r="M147" i="7"/>
  <c r="L147" i="7"/>
  <c r="K147" i="7"/>
  <c r="J147" i="7"/>
  <c r="I147" i="7"/>
  <c r="H147" i="7"/>
  <c r="G147" i="7"/>
  <c r="F147" i="7"/>
  <c r="E147" i="7"/>
  <c r="D147" i="7"/>
  <c r="C147" i="7"/>
  <c r="B147" i="7"/>
  <c r="AF145" i="7"/>
  <c r="AE145" i="7"/>
  <c r="AD145" i="7"/>
  <c r="AC145" i="7"/>
  <c r="AB145" i="7"/>
  <c r="AA145" i="7"/>
  <c r="Z145" i="7"/>
  <c r="Y145" i="7"/>
  <c r="X145" i="7"/>
  <c r="W145" i="7"/>
  <c r="V145" i="7"/>
  <c r="U145" i="7"/>
  <c r="T145" i="7"/>
  <c r="S145" i="7"/>
  <c r="R145" i="7"/>
  <c r="Q145" i="7"/>
  <c r="P145" i="7"/>
  <c r="O145" i="7"/>
  <c r="N145" i="7"/>
  <c r="M145" i="7"/>
  <c r="L145" i="7"/>
  <c r="K145" i="7"/>
  <c r="J145" i="7"/>
  <c r="I145" i="7"/>
  <c r="H145" i="7"/>
  <c r="G145" i="7"/>
  <c r="F145" i="7"/>
  <c r="E145" i="7"/>
  <c r="D145" i="7"/>
  <c r="C145" i="7"/>
  <c r="B145" i="7"/>
  <c r="AG141" i="7"/>
  <c r="F141" i="5" s="1"/>
  <c r="AG140" i="7"/>
  <c r="F140" i="5" s="1"/>
  <c r="AG139" i="7"/>
  <c r="F139" i="5" s="1"/>
  <c r="AG138" i="7"/>
  <c r="F138" i="5" s="1"/>
  <c r="AG136" i="7"/>
  <c r="F136" i="5" s="1"/>
  <c r="AG135" i="7"/>
  <c r="F135" i="5" s="1"/>
  <c r="AG133" i="7"/>
  <c r="F133" i="5" s="1"/>
  <c r="AG132" i="7"/>
  <c r="F132" i="5" s="1"/>
  <c r="AG131" i="7"/>
  <c r="F131" i="5" s="1"/>
  <c r="AF130" i="7"/>
  <c r="AE130" i="7"/>
  <c r="AD130" i="7"/>
  <c r="AC130" i="7"/>
  <c r="AB130" i="7"/>
  <c r="AA130" i="7"/>
  <c r="Z130" i="7"/>
  <c r="Y130" i="7"/>
  <c r="X130" i="7"/>
  <c r="W130" i="7"/>
  <c r="V130" i="7"/>
  <c r="U130" i="7"/>
  <c r="T130" i="7"/>
  <c r="S130" i="7"/>
  <c r="R130" i="7"/>
  <c r="Q130" i="7"/>
  <c r="P130" i="7"/>
  <c r="O130" i="7"/>
  <c r="N130" i="7"/>
  <c r="AG128" i="7"/>
  <c r="F128" i="5" s="1"/>
  <c r="AG127" i="7"/>
  <c r="F127" i="5" s="1"/>
  <c r="AG126" i="7"/>
  <c r="F126" i="5" s="1"/>
  <c r="AG125" i="7"/>
  <c r="F125" i="5" s="1"/>
  <c r="AG124" i="7"/>
  <c r="F124" i="5" s="1"/>
  <c r="AG123" i="7"/>
  <c r="F123" i="5" s="1"/>
  <c r="AG122" i="7"/>
  <c r="F122" i="5" s="1"/>
  <c r="AG121" i="7"/>
  <c r="F121" i="5" s="1"/>
  <c r="AG120" i="7"/>
  <c r="F120" i="5" s="1"/>
  <c r="AG119" i="7"/>
  <c r="F119" i="5" s="1"/>
  <c r="AG118" i="7"/>
  <c r="F118" i="5" s="1"/>
  <c r="AG117" i="7"/>
  <c r="F117" i="5" s="1"/>
  <c r="AF116" i="7"/>
  <c r="AE116" i="7"/>
  <c r="AD116" i="7"/>
  <c r="AC116" i="7"/>
  <c r="AB116" i="7"/>
  <c r="AA116" i="7"/>
  <c r="Z116" i="7"/>
  <c r="Y116" i="7"/>
  <c r="X116" i="7"/>
  <c r="W116" i="7"/>
  <c r="V116" i="7"/>
  <c r="U116" i="7"/>
  <c r="T116" i="7"/>
  <c r="S116" i="7"/>
  <c r="R116" i="7"/>
  <c r="Q116" i="7"/>
  <c r="P116" i="7"/>
  <c r="O116" i="7"/>
  <c r="N116" i="7"/>
  <c r="M116" i="7"/>
  <c r="K116" i="7"/>
  <c r="D116" i="7"/>
  <c r="AG115" i="7"/>
  <c r="F115" i="5" s="1"/>
  <c r="AG114" i="7"/>
  <c r="F114" i="5" s="1"/>
  <c r="AG113" i="7"/>
  <c r="F113" i="5" s="1"/>
  <c r="AG112" i="7"/>
  <c r="F112" i="5" s="1"/>
  <c r="AG111" i="7"/>
  <c r="F111" i="5" s="1"/>
  <c r="AG110" i="7"/>
  <c r="F110" i="5" s="1"/>
  <c r="AG109" i="7"/>
  <c r="F109" i="5" s="1"/>
  <c r="AG108" i="7"/>
  <c r="F108" i="5" s="1"/>
  <c r="AG107" i="7"/>
  <c r="F107" i="5" s="1"/>
  <c r="AG106" i="7"/>
  <c r="F106" i="5" s="1"/>
  <c r="AG105" i="7"/>
  <c r="F105" i="5" s="1"/>
  <c r="AG104" i="7"/>
  <c r="F104" i="5" s="1"/>
  <c r="AG103" i="7"/>
  <c r="F103" i="5" s="1"/>
  <c r="AG102" i="7"/>
  <c r="F102" i="5" s="1"/>
  <c r="AG101" i="7"/>
  <c r="F101" i="5" s="1"/>
  <c r="AF100" i="7"/>
  <c r="AD100" i="7"/>
  <c r="AC100" i="7"/>
  <c r="AB100" i="7"/>
  <c r="AA100" i="7"/>
  <c r="Z100" i="7"/>
  <c r="Y100" i="7"/>
  <c r="X100" i="7"/>
  <c r="W100" i="7"/>
  <c r="V100" i="7"/>
  <c r="U100" i="7"/>
  <c r="T100" i="7"/>
  <c r="S100" i="7"/>
  <c r="R100" i="7"/>
  <c r="Q100" i="7"/>
  <c r="P100" i="7"/>
  <c r="O100" i="7"/>
  <c r="N100" i="7"/>
  <c r="M100" i="7"/>
  <c r="L100" i="7"/>
  <c r="K100" i="7"/>
  <c r="J100" i="7"/>
  <c r="I100" i="7"/>
  <c r="H100" i="7"/>
  <c r="G100" i="7"/>
  <c r="F100" i="7"/>
  <c r="E100" i="7"/>
  <c r="D100" i="7"/>
  <c r="C100" i="7"/>
  <c r="B100" i="7"/>
  <c r="AG99" i="7"/>
  <c r="F99" i="5" s="1"/>
  <c r="AG98" i="7"/>
  <c r="F98" i="5" s="1"/>
  <c r="AG97" i="7"/>
  <c r="F97" i="5" s="1"/>
  <c r="AG96" i="7"/>
  <c r="F96" i="5" s="1"/>
  <c r="AG95" i="7"/>
  <c r="F95" i="5" s="1"/>
  <c r="AF94" i="7"/>
  <c r="AE94" i="7"/>
  <c r="AD94" i="7"/>
  <c r="AC94" i="7"/>
  <c r="AB94" i="7"/>
  <c r="AA94" i="7"/>
  <c r="Z94" i="7"/>
  <c r="Y94" i="7"/>
  <c r="X94" i="7"/>
  <c r="W94" i="7"/>
  <c r="V94" i="7"/>
  <c r="U94" i="7"/>
  <c r="T94" i="7"/>
  <c r="S94" i="7"/>
  <c r="R94" i="7"/>
  <c r="Q94" i="7"/>
  <c r="P94" i="7"/>
  <c r="O94" i="7"/>
  <c r="N94" i="7"/>
  <c r="M94" i="7"/>
  <c r="L94" i="7"/>
  <c r="K94" i="7"/>
  <c r="J94" i="7"/>
  <c r="I94" i="7"/>
  <c r="H94" i="7"/>
  <c r="G94" i="7"/>
  <c r="F94" i="7"/>
  <c r="E94" i="7"/>
  <c r="D94" i="7"/>
  <c r="C94" i="7"/>
  <c r="B94" i="7"/>
  <c r="AG92" i="7"/>
  <c r="F92" i="5" s="1"/>
  <c r="AG91" i="7"/>
  <c r="F91" i="5" s="1"/>
  <c r="AG90" i="7"/>
  <c r="F90" i="5" s="1"/>
  <c r="AG89" i="7"/>
  <c r="F89" i="5" s="1"/>
  <c r="AG88" i="7"/>
  <c r="F88" i="5" s="1"/>
  <c r="AF87" i="7"/>
  <c r="AE87" i="7"/>
  <c r="AD87" i="7"/>
  <c r="AC87" i="7"/>
  <c r="AB87" i="7"/>
  <c r="AA87" i="7"/>
  <c r="Z87" i="7"/>
  <c r="Y87" i="7"/>
  <c r="X87" i="7"/>
  <c r="W87" i="7"/>
  <c r="V87" i="7"/>
  <c r="U87" i="7"/>
  <c r="T87" i="7"/>
  <c r="S87" i="7"/>
  <c r="R87" i="7"/>
  <c r="Q87" i="7"/>
  <c r="P87" i="7"/>
  <c r="O87" i="7"/>
  <c r="N87" i="7"/>
  <c r="M87" i="7"/>
  <c r="L87" i="7"/>
  <c r="K87" i="7"/>
  <c r="J87" i="7"/>
  <c r="I87" i="7"/>
  <c r="H87" i="7"/>
  <c r="G87" i="7"/>
  <c r="F87" i="7"/>
  <c r="E87" i="7"/>
  <c r="D87" i="7"/>
  <c r="C87" i="7"/>
  <c r="B87" i="7"/>
  <c r="AG86" i="7"/>
  <c r="F86" i="5" s="1"/>
  <c r="AG85" i="7"/>
  <c r="F85" i="5" s="1"/>
  <c r="AF84" i="7"/>
  <c r="AE84" i="7"/>
  <c r="AD84" i="7"/>
  <c r="AC84" i="7"/>
  <c r="AB84" i="7"/>
  <c r="AA84" i="7"/>
  <c r="Z84" i="7"/>
  <c r="Y84" i="7"/>
  <c r="X84" i="7"/>
  <c r="W84" i="7"/>
  <c r="V84" i="7"/>
  <c r="U84" i="7"/>
  <c r="T84" i="7"/>
  <c r="S84" i="7"/>
  <c r="R84" i="7"/>
  <c r="Q84" i="7"/>
  <c r="P84" i="7"/>
  <c r="O84" i="7"/>
  <c r="N84" i="7"/>
  <c r="M84" i="7"/>
  <c r="L84" i="7"/>
  <c r="K84" i="7"/>
  <c r="J84" i="7"/>
  <c r="I84" i="7"/>
  <c r="H84" i="7"/>
  <c r="G84" i="7"/>
  <c r="F84" i="7"/>
  <c r="E84" i="7"/>
  <c r="D84" i="7"/>
  <c r="C84" i="7"/>
  <c r="B84" i="7"/>
  <c r="AE83" i="7"/>
  <c r="AE81" i="7" s="1"/>
  <c r="AD83" i="7"/>
  <c r="AD81" i="7" s="1"/>
  <c r="X83" i="7"/>
  <c r="V83" i="7"/>
  <c r="V81" i="7" s="1"/>
  <c r="Q83" i="7"/>
  <c r="Q81" i="7" s="1"/>
  <c r="P83" i="7"/>
  <c r="L83" i="7"/>
  <c r="L81" i="7" s="1"/>
  <c r="J83" i="7"/>
  <c r="I83" i="7"/>
  <c r="I81" i="7" s="1"/>
  <c r="B83" i="7"/>
  <c r="AF80" i="7"/>
  <c r="AC80" i="7"/>
  <c r="AC79" i="7" s="1"/>
  <c r="AC78" i="7" s="1"/>
  <c r="AB80" i="7"/>
  <c r="AB79" i="7" s="1"/>
  <c r="AB78" i="7" s="1"/>
  <c r="AA80" i="7"/>
  <c r="AA79" i="7" s="1"/>
  <c r="AA78" i="7" s="1"/>
  <c r="Y80" i="7"/>
  <c r="Y79" i="7" s="1"/>
  <c r="Y78" i="7" s="1"/>
  <c r="V80" i="7"/>
  <c r="V79" i="7" s="1"/>
  <c r="V78" i="7" s="1"/>
  <c r="U80" i="7"/>
  <c r="U79" i="7" s="1"/>
  <c r="U78" i="7" s="1"/>
  <c r="T80" i="7"/>
  <c r="T79" i="7" s="1"/>
  <c r="T78" i="7" s="1"/>
  <c r="S80" i="7"/>
  <c r="S79" i="7" s="1"/>
  <c r="S78" i="7" s="1"/>
  <c r="R80" i="7"/>
  <c r="R79" i="7" s="1"/>
  <c r="R78" i="7" s="1"/>
  <c r="O80" i="7"/>
  <c r="O79" i="7" s="1"/>
  <c r="O78" i="7" s="1"/>
  <c r="N80" i="7"/>
  <c r="N79" i="7" s="1"/>
  <c r="N78" i="7" s="1"/>
  <c r="M80" i="7"/>
  <c r="M79" i="7" s="1"/>
  <c r="M78" i="7" s="1"/>
  <c r="H80" i="7"/>
  <c r="H79" i="7" s="1"/>
  <c r="H78" i="7" s="1"/>
  <c r="G80" i="7"/>
  <c r="G79" i="7" s="1"/>
  <c r="G78" i="7" s="1"/>
  <c r="F80" i="7"/>
  <c r="F79" i="7" s="1"/>
  <c r="F78" i="7" s="1"/>
  <c r="AF79" i="7"/>
  <c r="AF78" i="7" s="1"/>
  <c r="AE79" i="7"/>
  <c r="AE78" i="7" s="1"/>
  <c r="AD79" i="7"/>
  <c r="AD78" i="7" s="1"/>
  <c r="Z79" i="7"/>
  <c r="Z78" i="7" s="1"/>
  <c r="X79" i="7"/>
  <c r="X78" i="7" s="1"/>
  <c r="W79" i="7"/>
  <c r="W78" i="7" s="1"/>
  <c r="Q79" i="7"/>
  <c r="Q78" i="7" s="1"/>
  <c r="P79" i="7"/>
  <c r="P78" i="7" s="1"/>
  <c r="L79" i="7"/>
  <c r="L78" i="7" s="1"/>
  <c r="K79" i="7"/>
  <c r="K78" i="7" s="1"/>
  <c r="J79" i="7"/>
  <c r="J78" i="7" s="1"/>
  <c r="I79" i="7"/>
  <c r="I78" i="7" s="1"/>
  <c r="E79" i="7"/>
  <c r="E78" i="7" s="1"/>
  <c r="D79" i="7"/>
  <c r="D78" i="7" s="1"/>
  <c r="C79" i="7"/>
  <c r="C78" i="7" s="1"/>
  <c r="B79" i="7"/>
  <c r="B78" i="7" s="1"/>
  <c r="AG77" i="7"/>
  <c r="F77" i="5" s="1"/>
  <c r="AG76" i="7"/>
  <c r="F76" i="5" s="1"/>
  <c r="AG75" i="7"/>
  <c r="F75" i="5" s="1"/>
  <c r="AG74" i="7"/>
  <c r="F74" i="5" s="1"/>
  <c r="AG73" i="7"/>
  <c r="F73" i="5" s="1"/>
  <c r="AG72" i="7"/>
  <c r="F72" i="5" s="1"/>
  <c r="AG71" i="7"/>
  <c r="F71" i="5" s="1"/>
  <c r="AG70" i="7"/>
  <c r="F70" i="5" s="1"/>
  <c r="AG69" i="7"/>
  <c r="F69" i="5" s="1"/>
  <c r="AG68" i="7"/>
  <c r="F68" i="5" s="1"/>
  <c r="AG67" i="7"/>
  <c r="F67" i="5" s="1"/>
  <c r="AG66" i="7"/>
  <c r="F66" i="5" s="1"/>
  <c r="AG65" i="7"/>
  <c r="F65" i="5" s="1"/>
  <c r="AG64" i="7"/>
  <c r="F64" i="5" s="1"/>
  <c r="AG63" i="7"/>
  <c r="F63" i="5" s="1"/>
  <c r="AG62" i="7"/>
  <c r="F62" i="5" s="1"/>
  <c r="AG61" i="7"/>
  <c r="F61" i="5" s="1"/>
  <c r="AG60" i="7"/>
  <c r="F60" i="5" s="1"/>
  <c r="AG59" i="7"/>
  <c r="F59" i="5" s="1"/>
  <c r="AG58" i="7"/>
  <c r="F58" i="5" s="1"/>
  <c r="AG57" i="7"/>
  <c r="F57" i="5" s="1"/>
  <c r="AG56" i="7"/>
  <c r="F56" i="5" s="1"/>
  <c r="AG55" i="7"/>
  <c r="F55" i="5" s="1"/>
  <c r="AG54" i="7"/>
  <c r="F54" i="5" s="1"/>
  <c r="AF53" i="7"/>
  <c r="AE53" i="7"/>
  <c r="AD53" i="7"/>
  <c r="AC53" i="7"/>
  <c r="AB53" i="7"/>
  <c r="AA53" i="7"/>
  <c r="Z53" i="7"/>
  <c r="Y53" i="7"/>
  <c r="X53" i="7"/>
  <c r="W53" i="7"/>
  <c r="V53" i="7"/>
  <c r="U53" i="7"/>
  <c r="T53" i="7"/>
  <c r="S53" i="7"/>
  <c r="R53" i="7"/>
  <c r="Q53" i="7"/>
  <c r="P53" i="7"/>
  <c r="O53" i="7"/>
  <c r="N53" i="7"/>
  <c r="M53" i="7"/>
  <c r="L53" i="7"/>
  <c r="K53" i="7"/>
  <c r="J53" i="7"/>
  <c r="I53" i="7"/>
  <c r="H53" i="7"/>
  <c r="G53" i="7"/>
  <c r="F53" i="7"/>
  <c r="E53" i="7"/>
  <c r="D53" i="7"/>
  <c r="C53" i="7"/>
  <c r="B53" i="7"/>
  <c r="AG52" i="7"/>
  <c r="F52" i="5" s="1"/>
  <c r="AG51" i="7"/>
  <c r="F51" i="5" s="1"/>
  <c r="AG50" i="7"/>
  <c r="F50" i="5" s="1"/>
  <c r="AG49" i="7"/>
  <c r="F49" i="5" s="1"/>
  <c r="AG48" i="7"/>
  <c r="F48" i="5" s="1"/>
  <c r="AG47" i="7"/>
  <c r="F47" i="5" s="1"/>
  <c r="AG46" i="7"/>
  <c r="F46" i="5" s="1"/>
  <c r="AG45" i="7"/>
  <c r="F45" i="5" s="1"/>
  <c r="AG44" i="7"/>
  <c r="F44" i="5" s="1"/>
  <c r="AG43" i="7"/>
  <c r="F43" i="5" s="1"/>
  <c r="AG42" i="7"/>
  <c r="F42" i="5" s="1"/>
  <c r="AG41" i="7"/>
  <c r="F41" i="5" s="1"/>
  <c r="AG40" i="7"/>
  <c r="F40" i="5" s="1"/>
  <c r="AG39" i="7"/>
  <c r="F39" i="5" s="1"/>
  <c r="AG38" i="7"/>
  <c r="F38" i="5" s="1"/>
  <c r="AG37" i="7"/>
  <c r="F37" i="5" s="1"/>
  <c r="AG36" i="7"/>
  <c r="F36" i="5" s="1"/>
  <c r="AG35" i="7"/>
  <c r="F35" i="5" s="1"/>
  <c r="AG34" i="7"/>
  <c r="F34" i="5" s="1"/>
  <c r="AG33" i="7"/>
  <c r="F33" i="5" s="1"/>
  <c r="AG32" i="7"/>
  <c r="F32" i="5" s="1"/>
  <c r="AG31" i="7"/>
  <c r="F31" i="5" s="1"/>
  <c r="AG30" i="7"/>
  <c r="F30" i="5" s="1"/>
  <c r="AG29" i="7"/>
  <c r="F29" i="5" s="1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  <c r="O28" i="7"/>
  <c r="N28" i="7"/>
  <c r="M28" i="7"/>
  <c r="L28" i="7"/>
  <c r="K28" i="7"/>
  <c r="J28" i="7"/>
  <c r="I28" i="7"/>
  <c r="H28" i="7"/>
  <c r="G28" i="7"/>
  <c r="F28" i="7"/>
  <c r="E28" i="7"/>
  <c r="D28" i="7"/>
  <c r="C28" i="7"/>
  <c r="B28" i="7"/>
  <c r="AG27" i="7"/>
  <c r="F27" i="5" s="1"/>
  <c r="AG26" i="7"/>
  <c r="F26" i="5" s="1"/>
  <c r="AG25" i="7"/>
  <c r="F25" i="5" s="1"/>
  <c r="AG24" i="7"/>
  <c r="F24" i="5" s="1"/>
  <c r="AG23" i="7"/>
  <c r="F23" i="5" s="1"/>
  <c r="AG22" i="7"/>
  <c r="F22" i="5" s="1"/>
  <c r="AG21" i="7"/>
  <c r="F21" i="5" s="1"/>
  <c r="AG20" i="7"/>
  <c r="F20" i="5" s="1"/>
  <c r="AG19" i="7"/>
  <c r="F19" i="5" s="1"/>
  <c r="AG18" i="7"/>
  <c r="F18" i="5" s="1"/>
  <c r="AG17" i="7"/>
  <c r="F17" i="5" s="1"/>
  <c r="AG16" i="7"/>
  <c r="F16" i="5" s="1"/>
  <c r="AG15" i="7"/>
  <c r="F15" i="5" s="1"/>
  <c r="AG14" i="7"/>
  <c r="F14" i="5" s="1"/>
  <c r="AG13" i="7"/>
  <c r="F13" i="5" s="1"/>
  <c r="AG12" i="7"/>
  <c r="F12" i="5" s="1"/>
  <c r="AG11" i="7"/>
  <c r="F11" i="5" s="1"/>
  <c r="AG10" i="7"/>
  <c r="F10" i="5" s="1"/>
  <c r="AG9" i="7"/>
  <c r="F9" i="5" s="1"/>
  <c r="AG8" i="7"/>
  <c r="F8" i="5" s="1"/>
  <c r="AG7" i="7"/>
  <c r="F7" i="5" s="1"/>
  <c r="AG6" i="7"/>
  <c r="F6" i="5" s="1"/>
  <c r="AG5" i="7"/>
  <c r="F5" i="5" s="1"/>
  <c r="AG4" i="7"/>
  <c r="F4" i="5" s="1"/>
  <c r="AF3" i="7"/>
  <c r="AE3" i="7"/>
  <c r="AD3" i="7"/>
  <c r="AC3" i="7"/>
  <c r="AB3" i="7"/>
  <c r="AA3" i="7"/>
  <c r="Z3" i="7"/>
  <c r="Y3" i="7"/>
  <c r="X3" i="7"/>
  <c r="W3" i="7"/>
  <c r="V3" i="7"/>
  <c r="U3" i="7"/>
  <c r="T3" i="7"/>
  <c r="S3" i="7"/>
  <c r="R3" i="7"/>
  <c r="Q3" i="7"/>
  <c r="P3" i="7"/>
  <c r="O3" i="7"/>
  <c r="N3" i="7"/>
  <c r="M3" i="7"/>
  <c r="L3" i="7"/>
  <c r="K3" i="7"/>
  <c r="J3" i="7"/>
  <c r="I3" i="7"/>
  <c r="H3" i="7"/>
  <c r="G3" i="7"/>
  <c r="F3" i="7"/>
  <c r="E3" i="7"/>
  <c r="D3" i="7"/>
  <c r="C3" i="7"/>
  <c r="B3" i="7"/>
  <c r="AC2" i="7"/>
  <c r="C2" i="7"/>
  <c r="D2" i="7" s="1"/>
  <c r="E2" i="7" s="1"/>
  <c r="F2" i="7" s="1"/>
  <c r="G2" i="7" s="1"/>
  <c r="H2" i="7" s="1"/>
  <c r="I2" i="7" s="1"/>
  <c r="J2" i="7" s="1"/>
  <c r="K2" i="7" s="1"/>
  <c r="L2" i="7" s="1"/>
  <c r="M2" i="7" s="1"/>
  <c r="N2" i="7" s="1"/>
  <c r="O2" i="7" s="1"/>
  <c r="P2" i="7" s="1"/>
  <c r="Q2" i="7" s="1"/>
  <c r="R2" i="7" s="1"/>
  <c r="S2" i="7" s="1"/>
  <c r="T2" i="7" s="1"/>
  <c r="U2" i="7" s="1"/>
  <c r="V2" i="7" s="1"/>
  <c r="W2" i="7" s="1"/>
  <c r="X2" i="7" s="1"/>
  <c r="Y2" i="7" s="1"/>
  <c r="Z2" i="7" s="1"/>
  <c r="AA2" i="7" s="1"/>
  <c r="AE142" i="6"/>
  <c r="AE137" i="6"/>
  <c r="AE143" i="6"/>
  <c r="AE129" i="6"/>
  <c r="AD134" i="6"/>
  <c r="AD142" i="6"/>
  <c r="AD143" i="6"/>
  <c r="AD129" i="6"/>
  <c r="AB143" i="6"/>
  <c r="AB129" i="6"/>
  <c r="AC134" i="6"/>
  <c r="AC142" i="6"/>
  <c r="AC143" i="6"/>
  <c r="AC129" i="6"/>
  <c r="AA134" i="6"/>
  <c r="AA142" i="6"/>
  <c r="AA143" i="6"/>
  <c r="AA129" i="6"/>
  <c r="V144" i="7" l="1"/>
  <c r="AC144" i="7"/>
  <c r="O93" i="7"/>
  <c r="L130" i="7"/>
  <c r="G144" i="7"/>
  <c r="O144" i="7"/>
  <c r="W144" i="7"/>
  <c r="AE144" i="7"/>
  <c r="P144" i="7"/>
  <c r="AF144" i="7"/>
  <c r="J130" i="7"/>
  <c r="D130" i="7"/>
  <c r="G130" i="7"/>
  <c r="E144" i="7"/>
  <c r="F144" i="7"/>
  <c r="AD144" i="7"/>
  <c r="I130" i="7"/>
  <c r="AG142" i="7"/>
  <c r="F142" i="5" s="1"/>
  <c r="M130" i="7"/>
  <c r="G93" i="7"/>
  <c r="W93" i="7"/>
  <c r="AE93" i="7"/>
  <c r="AG218" i="7"/>
  <c r="F220" i="5" s="1"/>
  <c r="C144" i="7"/>
  <c r="S144" i="7"/>
  <c r="AA144" i="7"/>
  <c r="B144" i="7"/>
  <c r="K130" i="7"/>
  <c r="K144" i="7"/>
  <c r="J144" i="7"/>
  <c r="H130" i="7"/>
  <c r="Z144" i="7"/>
  <c r="K93" i="7"/>
  <c r="S93" i="7"/>
  <c r="AA93" i="7"/>
  <c r="U144" i="7"/>
  <c r="R144" i="7"/>
  <c r="N144" i="7"/>
  <c r="H144" i="7"/>
  <c r="I144" i="7"/>
  <c r="Y144" i="7"/>
  <c r="Q93" i="7"/>
  <c r="Y93" i="7"/>
  <c r="M93" i="7"/>
  <c r="U93" i="7"/>
  <c r="AC93" i="7"/>
  <c r="M144" i="7"/>
  <c r="B93" i="7"/>
  <c r="J93" i="7"/>
  <c r="R93" i="7"/>
  <c r="Z93" i="7"/>
  <c r="X144" i="7"/>
  <c r="B130" i="7"/>
  <c r="F130" i="7"/>
  <c r="Q144" i="7"/>
  <c r="AG158" i="7"/>
  <c r="F158" i="5" s="1"/>
  <c r="AG222" i="7"/>
  <c r="F224" i="5" s="1"/>
  <c r="H93" i="7"/>
  <c r="P93" i="7"/>
  <c r="X93" i="7"/>
  <c r="AF93" i="7"/>
  <c r="T93" i="7"/>
  <c r="AB93" i="7"/>
  <c r="L144" i="7"/>
  <c r="T144" i="7"/>
  <c r="AB144" i="7"/>
  <c r="AG143" i="7"/>
  <c r="F143" i="5" s="1"/>
  <c r="AG147" i="7"/>
  <c r="F147" i="5" s="1"/>
  <c r="F93" i="7"/>
  <c r="N93" i="7"/>
  <c r="V93" i="7"/>
  <c r="AD93" i="7"/>
  <c r="C130" i="7"/>
  <c r="AG134" i="7"/>
  <c r="F134" i="5" s="1"/>
  <c r="L93" i="7"/>
  <c r="AG129" i="7"/>
  <c r="F129" i="5" s="1"/>
  <c r="AG208" i="7"/>
  <c r="F209" i="5" s="1"/>
  <c r="AG80" i="7"/>
  <c r="F80" i="5" s="1"/>
  <c r="E130" i="7"/>
  <c r="E116" i="7"/>
  <c r="AG116" i="7" s="1"/>
  <c r="F116" i="5" s="1"/>
  <c r="E93" i="7"/>
  <c r="AG173" i="7"/>
  <c r="F173" i="5" s="1"/>
  <c r="D144" i="7"/>
  <c r="AG167" i="7"/>
  <c r="F167" i="5" s="1"/>
  <c r="D93" i="7"/>
  <c r="AG87" i="7"/>
  <c r="F87" i="5" s="1"/>
  <c r="AG53" i="7"/>
  <c r="F53" i="5" s="1"/>
  <c r="AG181" i="7"/>
  <c r="F182" i="5" s="1"/>
  <c r="AG176" i="7"/>
  <c r="F177" i="5" s="1"/>
  <c r="AG145" i="7"/>
  <c r="F145" i="5" s="1"/>
  <c r="C93" i="7"/>
  <c r="AG100" i="7"/>
  <c r="F100" i="5" s="1"/>
  <c r="AG28" i="7"/>
  <c r="F28" i="5" s="1"/>
  <c r="AG3" i="7"/>
  <c r="F3" i="5" s="1"/>
  <c r="AG94" i="7"/>
  <c r="F94" i="5" s="1"/>
  <c r="AG84" i="7"/>
  <c r="F84" i="5" s="1"/>
  <c r="AG78" i="7"/>
  <c r="F78" i="5" s="1"/>
  <c r="AG79" i="7"/>
  <c r="F79" i="5" s="1"/>
  <c r="K83" i="7"/>
  <c r="K81" i="7" s="1"/>
  <c r="AG214" i="7"/>
  <c r="F215" i="5" s="1"/>
  <c r="C83" i="7"/>
  <c r="H81" i="7"/>
  <c r="P81" i="7"/>
  <c r="X81" i="7"/>
  <c r="AF81" i="7"/>
  <c r="AA83" i="7"/>
  <c r="AA81" i="7" s="1"/>
  <c r="B81" i="7"/>
  <c r="J81" i="7"/>
  <c r="R81" i="7"/>
  <c r="Z81" i="7"/>
  <c r="AG82" i="7"/>
  <c r="F82" i="5" s="1"/>
  <c r="S81" i="7"/>
  <c r="I93" i="7"/>
  <c r="AG148" i="7"/>
  <c r="E81" i="7"/>
  <c r="M81" i="7"/>
  <c r="U81" i="7"/>
  <c r="AC81" i="7"/>
  <c r="Z134" i="6"/>
  <c r="Z142" i="6"/>
  <c r="Z143" i="6"/>
  <c r="Z129" i="6"/>
  <c r="Y134" i="6"/>
  <c r="Y142" i="6"/>
  <c r="Y137" i="6"/>
  <c r="Y143" i="6"/>
  <c r="Y129" i="6"/>
  <c r="X134" i="6"/>
  <c r="X142" i="6"/>
  <c r="X143" i="6"/>
  <c r="X129" i="6"/>
  <c r="W143" i="6"/>
  <c r="W134" i="6"/>
  <c r="W142" i="6"/>
  <c r="W129" i="6"/>
  <c r="V143" i="6"/>
  <c r="V142" i="6"/>
  <c r="V129" i="6"/>
  <c r="U134" i="6"/>
  <c r="U142" i="6"/>
  <c r="U143" i="6"/>
  <c r="U129" i="6"/>
  <c r="U3" i="6"/>
  <c r="S181" i="6"/>
  <c r="S143" i="6"/>
  <c r="S142" i="6"/>
  <c r="S137" i="6"/>
  <c r="S129" i="6"/>
  <c r="R143" i="6"/>
  <c r="R134" i="6"/>
  <c r="R142" i="6"/>
  <c r="R137" i="6"/>
  <c r="R129" i="6"/>
  <c r="Q143" i="6"/>
  <c r="Q134" i="6"/>
  <c r="Q142" i="6"/>
  <c r="Q129" i="6"/>
  <c r="P134" i="6"/>
  <c r="P143" i="6"/>
  <c r="P142" i="6"/>
  <c r="P129" i="6"/>
  <c r="AG146" i="7" l="1"/>
  <c r="F146" i="5" s="1"/>
  <c r="F148" i="5"/>
  <c r="AG130" i="7"/>
  <c r="F130" i="5" s="1"/>
  <c r="AG144" i="7"/>
  <c r="F144" i="5" s="1"/>
  <c r="AG93" i="7"/>
  <c r="AH87" i="7"/>
  <c r="AG83" i="7"/>
  <c r="C81" i="7"/>
  <c r="AG81" i="7" s="1"/>
  <c r="AG220" i="6"/>
  <c r="AG219" i="6"/>
  <c r="AH93" i="7" l="1"/>
  <c r="F93" i="5"/>
  <c r="N223" i="5"/>
  <c r="E222" i="5"/>
  <c r="N222" i="5" s="1"/>
  <c r="AH84" i="7"/>
  <c r="F83" i="5"/>
  <c r="E221" i="5"/>
  <c r="N221" i="5" s="1"/>
  <c r="AH81" i="7"/>
  <c r="F81" i="5"/>
  <c r="AH208" i="7"/>
  <c r="AH144" i="7"/>
  <c r="AH130" i="7"/>
  <c r="AG218" i="6"/>
  <c r="E220" i="5" l="1"/>
  <c r="N220" i="5" s="1"/>
  <c r="O134" i="6"/>
  <c r="O143" i="6"/>
  <c r="O142" i="6"/>
  <c r="O129" i="6"/>
  <c r="N134" i="6"/>
  <c r="N143" i="6"/>
  <c r="N142" i="6"/>
  <c r="N129" i="6"/>
  <c r="M143" i="6"/>
  <c r="M134" i="6"/>
  <c r="M142" i="6"/>
  <c r="M129" i="6"/>
  <c r="L143" i="6"/>
  <c r="L134" i="6"/>
  <c r="L142" i="6"/>
  <c r="L129" i="6"/>
  <c r="K143" i="6"/>
  <c r="K134" i="6"/>
  <c r="K142" i="6"/>
  <c r="K129" i="6"/>
  <c r="I143" i="6"/>
  <c r="I142" i="6"/>
  <c r="I134" i="6"/>
  <c r="I129" i="6"/>
  <c r="J134" i="6"/>
  <c r="J143" i="6"/>
  <c r="J142" i="6"/>
  <c r="J129" i="6"/>
  <c r="H134" i="6"/>
  <c r="H142" i="6"/>
  <c r="H137" i="6"/>
  <c r="G143" i="6"/>
  <c r="G134" i="6"/>
  <c r="G142" i="6"/>
  <c r="G129" i="6"/>
  <c r="F143" i="6" l="1"/>
  <c r="F134" i="6"/>
  <c r="F142" i="6"/>
  <c r="F129" i="6"/>
  <c r="E143" i="6"/>
  <c r="E142" i="6"/>
  <c r="E129" i="6"/>
  <c r="E116" i="6" s="1"/>
  <c r="D143" i="6"/>
  <c r="D142" i="6"/>
  <c r="D129" i="6"/>
  <c r="C143" i="6"/>
  <c r="C142" i="6"/>
  <c r="C129" i="6"/>
  <c r="B143" i="6"/>
  <c r="B134" i="6"/>
  <c r="B142" i="6"/>
  <c r="B129" i="6"/>
  <c r="B116" i="6" s="1"/>
  <c r="AG225" i="6"/>
  <c r="E227" i="5" s="1"/>
  <c r="AG224" i="6"/>
  <c r="E226" i="5" s="1"/>
  <c r="AG223" i="6"/>
  <c r="E225" i="5" s="1"/>
  <c r="AF222" i="6"/>
  <c r="AE222" i="6"/>
  <c r="AD222" i="6"/>
  <c r="AC222" i="6"/>
  <c r="AB222" i="6"/>
  <c r="AA222" i="6"/>
  <c r="Z222" i="6"/>
  <c r="Y222" i="6"/>
  <c r="X222" i="6"/>
  <c r="W222" i="6"/>
  <c r="V222" i="6"/>
  <c r="U222" i="6"/>
  <c r="T222" i="6"/>
  <c r="S222" i="6"/>
  <c r="R222" i="6"/>
  <c r="Q222" i="6"/>
  <c r="P222" i="6"/>
  <c r="O222" i="6"/>
  <c r="N222" i="6"/>
  <c r="M222" i="6"/>
  <c r="L222" i="6"/>
  <c r="K222" i="6"/>
  <c r="J222" i="6"/>
  <c r="I222" i="6"/>
  <c r="H222" i="6"/>
  <c r="G222" i="6"/>
  <c r="F222" i="6"/>
  <c r="E222" i="6"/>
  <c r="D222" i="6"/>
  <c r="C222" i="6"/>
  <c r="B222" i="6"/>
  <c r="AG216" i="6"/>
  <c r="E217" i="5" s="1"/>
  <c r="AG215" i="6"/>
  <c r="E216" i="5" s="1"/>
  <c r="AF214" i="6"/>
  <c r="AE214" i="6"/>
  <c r="AD214" i="6"/>
  <c r="AC214" i="6"/>
  <c r="AB214" i="6"/>
  <c r="AA214" i="6"/>
  <c r="Z214" i="6"/>
  <c r="Y214" i="6"/>
  <c r="X214" i="6"/>
  <c r="AG213" i="6"/>
  <c r="E214" i="5" s="1"/>
  <c r="AG212" i="6"/>
  <c r="E213" i="5" s="1"/>
  <c r="AG211" i="6"/>
  <c r="E212" i="5" s="1"/>
  <c r="AG210" i="6"/>
  <c r="E211" i="5" s="1"/>
  <c r="AG209" i="6"/>
  <c r="E210" i="5" s="1"/>
  <c r="AF208" i="6"/>
  <c r="AE208" i="6"/>
  <c r="AD208" i="6"/>
  <c r="AC208" i="6"/>
  <c r="AB208" i="6"/>
  <c r="AA208" i="6"/>
  <c r="Z208" i="6"/>
  <c r="Y208" i="6"/>
  <c r="X208" i="6"/>
  <c r="W208" i="6"/>
  <c r="V208" i="6"/>
  <c r="U208" i="6"/>
  <c r="T208" i="6"/>
  <c r="S208" i="6"/>
  <c r="R208" i="6"/>
  <c r="Q208" i="6"/>
  <c r="P208" i="6"/>
  <c r="O208" i="6"/>
  <c r="N208" i="6"/>
  <c r="M208" i="6"/>
  <c r="L208" i="6"/>
  <c r="K208" i="6"/>
  <c r="J208" i="6"/>
  <c r="I208" i="6"/>
  <c r="H208" i="6"/>
  <c r="G208" i="6"/>
  <c r="F208" i="6"/>
  <c r="E208" i="6"/>
  <c r="D208" i="6"/>
  <c r="C208" i="6"/>
  <c r="B208" i="6"/>
  <c r="AG207" i="6"/>
  <c r="E208" i="5" s="1"/>
  <c r="AG206" i="6"/>
  <c r="E207" i="5" s="1"/>
  <c r="AG205" i="6"/>
  <c r="E206" i="5" s="1"/>
  <c r="AG204" i="6"/>
  <c r="E205" i="5" s="1"/>
  <c r="AG203" i="6"/>
  <c r="E204" i="5" s="1"/>
  <c r="AG202" i="6"/>
  <c r="E203" i="5" s="1"/>
  <c r="AG201" i="6"/>
  <c r="E202" i="5" s="1"/>
  <c r="AG200" i="6"/>
  <c r="E201" i="5" s="1"/>
  <c r="AG199" i="6"/>
  <c r="E200" i="5" s="1"/>
  <c r="AG198" i="6"/>
  <c r="E199" i="5" s="1"/>
  <c r="AG197" i="6"/>
  <c r="E198" i="5" s="1"/>
  <c r="AG196" i="6"/>
  <c r="E197" i="5" s="1"/>
  <c r="AG195" i="6"/>
  <c r="E196" i="5" s="1"/>
  <c r="AG194" i="6"/>
  <c r="E195" i="5" s="1"/>
  <c r="AG193" i="6"/>
  <c r="E194" i="5" s="1"/>
  <c r="AG192" i="6"/>
  <c r="E193" i="5" s="1"/>
  <c r="AG191" i="6"/>
  <c r="E192" i="5" s="1"/>
  <c r="AG190" i="6"/>
  <c r="E191" i="5" s="1"/>
  <c r="AG189" i="6"/>
  <c r="E190" i="5" s="1"/>
  <c r="AG188" i="6"/>
  <c r="E189" i="5" s="1"/>
  <c r="AG187" i="6"/>
  <c r="E188" i="5" s="1"/>
  <c r="AG186" i="6"/>
  <c r="E187" i="5" s="1"/>
  <c r="AG185" i="6"/>
  <c r="E186" i="5" s="1"/>
  <c r="AG184" i="6"/>
  <c r="E185" i="5" s="1"/>
  <c r="AG183" i="6"/>
  <c r="E184" i="5" s="1"/>
  <c r="AG182" i="6"/>
  <c r="E183" i="5" s="1"/>
  <c r="AF181" i="6"/>
  <c r="AE181" i="6"/>
  <c r="AD181" i="6"/>
  <c r="AC181" i="6"/>
  <c r="AB181" i="6"/>
  <c r="AA181" i="6"/>
  <c r="Z181" i="6"/>
  <c r="Y181" i="6"/>
  <c r="X181" i="6"/>
  <c r="W181" i="6"/>
  <c r="V181" i="6"/>
  <c r="U181" i="6"/>
  <c r="T181" i="6"/>
  <c r="R181" i="6"/>
  <c r="Q181" i="6"/>
  <c r="P181" i="6"/>
  <c r="O181" i="6"/>
  <c r="N181" i="6"/>
  <c r="M181" i="6"/>
  <c r="L181" i="6"/>
  <c r="K181" i="6"/>
  <c r="J181" i="6"/>
  <c r="I181" i="6"/>
  <c r="H181" i="6"/>
  <c r="G181" i="6"/>
  <c r="F181" i="6"/>
  <c r="E181" i="6"/>
  <c r="D181" i="6"/>
  <c r="C181" i="6"/>
  <c r="B181" i="6"/>
  <c r="AG180" i="6"/>
  <c r="E181" i="5" s="1"/>
  <c r="AG179" i="6"/>
  <c r="E180" i="5" s="1"/>
  <c r="AG178" i="6"/>
  <c r="E179" i="5" s="1"/>
  <c r="AG177" i="6"/>
  <c r="E178" i="5" s="1"/>
  <c r="AF176" i="6"/>
  <c r="AE176" i="6"/>
  <c r="AD176" i="6"/>
  <c r="AC176" i="6"/>
  <c r="AB176" i="6"/>
  <c r="AA176" i="6"/>
  <c r="Z176" i="6"/>
  <c r="Y176" i="6"/>
  <c r="X176" i="6"/>
  <c r="W176" i="6"/>
  <c r="V176" i="6"/>
  <c r="U176" i="6"/>
  <c r="T176" i="6"/>
  <c r="S176" i="6"/>
  <c r="R176" i="6"/>
  <c r="Q176" i="6"/>
  <c r="P176" i="6"/>
  <c r="O176" i="6"/>
  <c r="N176" i="6"/>
  <c r="M176" i="6"/>
  <c r="L176" i="6"/>
  <c r="K176" i="6"/>
  <c r="J176" i="6"/>
  <c r="I176" i="6"/>
  <c r="H176" i="6"/>
  <c r="G176" i="6"/>
  <c r="F176" i="6"/>
  <c r="E176" i="6"/>
  <c r="D176" i="6"/>
  <c r="C176" i="6"/>
  <c r="B176" i="6"/>
  <c r="AG175" i="6"/>
  <c r="E175" i="5" s="1"/>
  <c r="AG174" i="6"/>
  <c r="E174" i="5" s="1"/>
  <c r="AF173" i="6"/>
  <c r="AE173" i="6"/>
  <c r="AD173" i="6"/>
  <c r="AC173" i="6"/>
  <c r="AB173" i="6"/>
  <c r="AA173" i="6"/>
  <c r="Z173" i="6"/>
  <c r="Y173" i="6"/>
  <c r="X173" i="6"/>
  <c r="W173" i="6"/>
  <c r="V173" i="6"/>
  <c r="U173" i="6"/>
  <c r="T173" i="6"/>
  <c r="S173" i="6"/>
  <c r="R173" i="6"/>
  <c r="Q173" i="6"/>
  <c r="P173" i="6"/>
  <c r="O173" i="6"/>
  <c r="N173" i="6"/>
  <c r="M173" i="6"/>
  <c r="L173" i="6"/>
  <c r="K173" i="6"/>
  <c r="J173" i="6"/>
  <c r="I173" i="6"/>
  <c r="H173" i="6"/>
  <c r="G173" i="6"/>
  <c r="F173" i="6"/>
  <c r="E173" i="6"/>
  <c r="D173" i="6"/>
  <c r="C173" i="6"/>
  <c r="B173" i="6"/>
  <c r="AG172" i="6"/>
  <c r="E172" i="5" s="1"/>
  <c r="AG171" i="6"/>
  <c r="E171" i="5" s="1"/>
  <c r="AG170" i="6"/>
  <c r="E170" i="5" s="1"/>
  <c r="AG169" i="6"/>
  <c r="E169" i="5" s="1"/>
  <c r="AG168" i="6"/>
  <c r="E168" i="5" s="1"/>
  <c r="AF167" i="6"/>
  <c r="AE167" i="6"/>
  <c r="AD167" i="6"/>
  <c r="AC167" i="6"/>
  <c r="AB167" i="6"/>
  <c r="AA167" i="6"/>
  <c r="Z167" i="6"/>
  <c r="Y167" i="6"/>
  <c r="X167" i="6"/>
  <c r="W167" i="6"/>
  <c r="V167" i="6"/>
  <c r="U167" i="6"/>
  <c r="T167" i="6"/>
  <c r="S167" i="6"/>
  <c r="R167" i="6"/>
  <c r="Q167" i="6"/>
  <c r="P167" i="6"/>
  <c r="O167" i="6"/>
  <c r="N167" i="6"/>
  <c r="M167" i="6"/>
  <c r="L167" i="6"/>
  <c r="K167" i="6"/>
  <c r="J167" i="6"/>
  <c r="I167" i="6"/>
  <c r="H167" i="6"/>
  <c r="G167" i="6"/>
  <c r="F167" i="6"/>
  <c r="E167" i="6"/>
  <c r="D167" i="6"/>
  <c r="C167" i="6"/>
  <c r="B167" i="6"/>
  <c r="AG166" i="6"/>
  <c r="E166" i="5" s="1"/>
  <c r="AG165" i="6"/>
  <c r="E165" i="5" s="1"/>
  <c r="AG164" i="6"/>
  <c r="E164" i="5" s="1"/>
  <c r="AG163" i="6"/>
  <c r="E163" i="5" s="1"/>
  <c r="AG162" i="6"/>
  <c r="E162" i="5" s="1"/>
  <c r="AG161" i="6"/>
  <c r="E161" i="5" s="1"/>
  <c r="AG160" i="6"/>
  <c r="E160" i="5" s="1"/>
  <c r="AG159" i="6"/>
  <c r="E159" i="5" s="1"/>
  <c r="AF158" i="6"/>
  <c r="AE158" i="6"/>
  <c r="AD158" i="6"/>
  <c r="AC158" i="6"/>
  <c r="AB158" i="6"/>
  <c r="AA158" i="6"/>
  <c r="Z158" i="6"/>
  <c r="Y158" i="6"/>
  <c r="X158" i="6"/>
  <c r="W158" i="6"/>
  <c r="V158" i="6"/>
  <c r="U158" i="6"/>
  <c r="T158" i="6"/>
  <c r="S158" i="6"/>
  <c r="R158" i="6"/>
  <c r="Q158" i="6"/>
  <c r="P158" i="6"/>
  <c r="O158" i="6"/>
  <c r="N158" i="6"/>
  <c r="M158" i="6"/>
  <c r="L158" i="6"/>
  <c r="K158" i="6"/>
  <c r="J158" i="6"/>
  <c r="I158" i="6"/>
  <c r="H158" i="6"/>
  <c r="G158" i="6"/>
  <c r="F158" i="6"/>
  <c r="E158" i="6"/>
  <c r="D158" i="6"/>
  <c r="C158" i="6"/>
  <c r="B158" i="6"/>
  <c r="AG157" i="6"/>
  <c r="E157" i="5" s="1"/>
  <c r="AG156" i="6"/>
  <c r="E156" i="5" s="1"/>
  <c r="AG155" i="6"/>
  <c r="E155" i="5" s="1"/>
  <c r="AG154" i="6"/>
  <c r="E154" i="5" s="1"/>
  <c r="AG153" i="6"/>
  <c r="E153" i="5" s="1"/>
  <c r="AG152" i="6"/>
  <c r="E152" i="5" s="1"/>
  <c r="AG151" i="6"/>
  <c r="E151" i="5" s="1"/>
  <c r="AG150" i="6"/>
  <c r="E150" i="5" s="1"/>
  <c r="AG149" i="6"/>
  <c r="E149" i="5" s="1"/>
  <c r="AF148" i="6"/>
  <c r="AF146" i="6" s="1"/>
  <c r="AE148" i="6"/>
  <c r="AE146" i="6" s="1"/>
  <c r="AD148" i="6"/>
  <c r="AD146" i="6" s="1"/>
  <c r="AC148" i="6"/>
  <c r="AC146" i="6" s="1"/>
  <c r="AB148" i="6"/>
  <c r="AB146" i="6" s="1"/>
  <c r="AA148" i="6"/>
  <c r="AA146" i="6" s="1"/>
  <c r="Z148" i="6"/>
  <c r="Z146" i="6" s="1"/>
  <c r="Y148" i="6"/>
  <c r="Y146" i="6" s="1"/>
  <c r="X148" i="6"/>
  <c r="X146" i="6" s="1"/>
  <c r="W148" i="6"/>
  <c r="W146" i="6" s="1"/>
  <c r="V148" i="6"/>
  <c r="V146" i="6" s="1"/>
  <c r="U148" i="6"/>
  <c r="U146" i="6" s="1"/>
  <c r="T148" i="6"/>
  <c r="T146" i="6" s="1"/>
  <c r="S148" i="6"/>
  <c r="S146" i="6" s="1"/>
  <c r="R148" i="6"/>
  <c r="R146" i="6" s="1"/>
  <c r="Q148" i="6"/>
  <c r="Q146" i="6" s="1"/>
  <c r="P148" i="6"/>
  <c r="P146" i="6" s="1"/>
  <c r="O148" i="6"/>
  <c r="O146" i="6" s="1"/>
  <c r="N148" i="6"/>
  <c r="N146" i="6" s="1"/>
  <c r="M148" i="6"/>
  <c r="M146" i="6" s="1"/>
  <c r="M144" i="6" s="1"/>
  <c r="L148" i="6"/>
  <c r="L146" i="6" s="1"/>
  <c r="K148" i="6"/>
  <c r="K146" i="6" s="1"/>
  <c r="J148" i="6"/>
  <c r="J146" i="6" s="1"/>
  <c r="I148" i="6"/>
  <c r="I146" i="6" s="1"/>
  <c r="H148" i="6"/>
  <c r="H146" i="6" s="1"/>
  <c r="G148" i="6"/>
  <c r="G146" i="6" s="1"/>
  <c r="F148" i="6"/>
  <c r="F146" i="6" s="1"/>
  <c r="E148" i="6"/>
  <c r="E146" i="6" s="1"/>
  <c r="D148" i="6"/>
  <c r="D146" i="6" s="1"/>
  <c r="C148" i="6"/>
  <c r="C146" i="6" s="1"/>
  <c r="B148" i="6"/>
  <c r="B146" i="6" s="1"/>
  <c r="AE147" i="6"/>
  <c r="AD147" i="6"/>
  <c r="AC147" i="6"/>
  <c r="AB147" i="6"/>
  <c r="AA147" i="6"/>
  <c r="Z147" i="6"/>
  <c r="Y147" i="6"/>
  <c r="X147" i="6"/>
  <c r="W147" i="6"/>
  <c r="V147" i="6"/>
  <c r="U147" i="6"/>
  <c r="T147" i="6"/>
  <c r="S147" i="6"/>
  <c r="R147" i="6"/>
  <c r="Q147" i="6"/>
  <c r="P147" i="6"/>
  <c r="O147" i="6"/>
  <c r="N147" i="6"/>
  <c r="M147" i="6"/>
  <c r="L147" i="6"/>
  <c r="K147" i="6"/>
  <c r="J147" i="6"/>
  <c r="I147" i="6"/>
  <c r="H147" i="6"/>
  <c r="G147" i="6"/>
  <c r="F147" i="6"/>
  <c r="E147" i="6"/>
  <c r="D147" i="6"/>
  <c r="C147" i="6"/>
  <c r="B147" i="6"/>
  <c r="AF145" i="6"/>
  <c r="AE145" i="6"/>
  <c r="AD145" i="6"/>
  <c r="AC145" i="6"/>
  <c r="AB145" i="6"/>
  <c r="AA145" i="6"/>
  <c r="Z145" i="6"/>
  <c r="Y145" i="6"/>
  <c r="X145" i="6"/>
  <c r="W145" i="6"/>
  <c r="V145" i="6"/>
  <c r="U145" i="6"/>
  <c r="T145" i="6"/>
  <c r="S145" i="6"/>
  <c r="R145" i="6"/>
  <c r="Q145" i="6"/>
  <c r="P145" i="6"/>
  <c r="O145" i="6"/>
  <c r="N145" i="6"/>
  <c r="M145" i="6"/>
  <c r="L145" i="6"/>
  <c r="K145" i="6"/>
  <c r="J145" i="6"/>
  <c r="I145" i="6"/>
  <c r="H145" i="6"/>
  <c r="G145" i="6"/>
  <c r="F145" i="6"/>
  <c r="E145" i="6"/>
  <c r="D145" i="6"/>
  <c r="C145" i="6"/>
  <c r="B145" i="6"/>
  <c r="AG141" i="6"/>
  <c r="E141" i="5" s="1"/>
  <c r="AG140" i="6"/>
  <c r="E140" i="5" s="1"/>
  <c r="AG139" i="6"/>
  <c r="E139" i="5" s="1"/>
  <c r="AG138" i="6"/>
  <c r="E138" i="5" s="1"/>
  <c r="AG137" i="6"/>
  <c r="E137" i="5" s="1"/>
  <c r="AG136" i="6"/>
  <c r="E136" i="5" s="1"/>
  <c r="AG135" i="6"/>
  <c r="E135" i="5" s="1"/>
  <c r="AG133" i="6"/>
  <c r="E133" i="5" s="1"/>
  <c r="AG132" i="6"/>
  <c r="E132" i="5" s="1"/>
  <c r="AG131" i="6"/>
  <c r="E131" i="5" s="1"/>
  <c r="AF130" i="6"/>
  <c r="AE130" i="6"/>
  <c r="AD130" i="6"/>
  <c r="AC130" i="6"/>
  <c r="AB130" i="6"/>
  <c r="AA130" i="6"/>
  <c r="Z130" i="6"/>
  <c r="Y130" i="6"/>
  <c r="X130" i="6"/>
  <c r="W130" i="6"/>
  <c r="V130" i="6"/>
  <c r="U130" i="6"/>
  <c r="T130" i="6"/>
  <c r="S130" i="6"/>
  <c r="R130" i="6"/>
  <c r="Q130" i="6"/>
  <c r="P130" i="6"/>
  <c r="O130" i="6"/>
  <c r="N130" i="6"/>
  <c r="M130" i="6"/>
  <c r="L130" i="6"/>
  <c r="K130" i="6"/>
  <c r="J130" i="6"/>
  <c r="I130" i="6"/>
  <c r="H130" i="6"/>
  <c r="G130" i="6"/>
  <c r="E130" i="6"/>
  <c r="AG128" i="6"/>
  <c r="E128" i="5" s="1"/>
  <c r="AG127" i="6"/>
  <c r="E127" i="5" s="1"/>
  <c r="AG126" i="6"/>
  <c r="E126" i="5" s="1"/>
  <c r="AG125" i="6"/>
  <c r="E125" i="5" s="1"/>
  <c r="AG124" i="6"/>
  <c r="E124" i="5" s="1"/>
  <c r="AG123" i="6"/>
  <c r="E123" i="5" s="1"/>
  <c r="AG122" i="6"/>
  <c r="E122" i="5" s="1"/>
  <c r="AG121" i="6"/>
  <c r="E121" i="5" s="1"/>
  <c r="AG120" i="6"/>
  <c r="E120" i="5" s="1"/>
  <c r="AG119" i="6"/>
  <c r="E119" i="5" s="1"/>
  <c r="AG118" i="6"/>
  <c r="E118" i="5" s="1"/>
  <c r="AG117" i="6"/>
  <c r="E117" i="5" s="1"/>
  <c r="AF116" i="6"/>
  <c r="AE116" i="6"/>
  <c r="AD116" i="6"/>
  <c r="AC116" i="6"/>
  <c r="AB116" i="6"/>
  <c r="AA116" i="6"/>
  <c r="Z116" i="6"/>
  <c r="Y116" i="6"/>
  <c r="X116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D116" i="6"/>
  <c r="C116" i="6"/>
  <c r="AG115" i="6"/>
  <c r="E115" i="5" s="1"/>
  <c r="AG114" i="6"/>
  <c r="E114" i="5" s="1"/>
  <c r="AG113" i="6"/>
  <c r="E113" i="5" s="1"/>
  <c r="AG112" i="6"/>
  <c r="E112" i="5" s="1"/>
  <c r="AG111" i="6"/>
  <c r="E111" i="5" s="1"/>
  <c r="AG110" i="6"/>
  <c r="E110" i="5" s="1"/>
  <c r="AG109" i="6"/>
  <c r="E109" i="5" s="1"/>
  <c r="AG108" i="6"/>
  <c r="E108" i="5" s="1"/>
  <c r="AG107" i="6"/>
  <c r="E107" i="5" s="1"/>
  <c r="AG106" i="6"/>
  <c r="E106" i="5" s="1"/>
  <c r="AG105" i="6"/>
  <c r="E105" i="5" s="1"/>
  <c r="AG104" i="6"/>
  <c r="E104" i="5" s="1"/>
  <c r="AG103" i="6"/>
  <c r="E103" i="5" s="1"/>
  <c r="AG102" i="6"/>
  <c r="E102" i="5" s="1"/>
  <c r="AG101" i="6"/>
  <c r="E101" i="5" s="1"/>
  <c r="AF100" i="6"/>
  <c r="AE100" i="6"/>
  <c r="AD100" i="6"/>
  <c r="AC100" i="6"/>
  <c r="AB100" i="6"/>
  <c r="AA100" i="6"/>
  <c r="Z100" i="6"/>
  <c r="Y100" i="6"/>
  <c r="X100" i="6"/>
  <c r="W100" i="6"/>
  <c r="V100" i="6"/>
  <c r="U100" i="6"/>
  <c r="T100" i="6"/>
  <c r="S100" i="6"/>
  <c r="R100" i="6"/>
  <c r="Q100" i="6"/>
  <c r="P100" i="6"/>
  <c r="O100" i="6"/>
  <c r="N100" i="6"/>
  <c r="M100" i="6"/>
  <c r="L100" i="6"/>
  <c r="K100" i="6"/>
  <c r="J100" i="6"/>
  <c r="I100" i="6"/>
  <c r="H100" i="6"/>
  <c r="G100" i="6"/>
  <c r="F100" i="6"/>
  <c r="E100" i="6"/>
  <c r="D100" i="6"/>
  <c r="C100" i="6"/>
  <c r="B100" i="6"/>
  <c r="AG99" i="6"/>
  <c r="E99" i="5" s="1"/>
  <c r="AG98" i="6"/>
  <c r="E98" i="5" s="1"/>
  <c r="AG97" i="6"/>
  <c r="E97" i="5" s="1"/>
  <c r="AG96" i="6"/>
  <c r="E96" i="5" s="1"/>
  <c r="AG95" i="6"/>
  <c r="E95" i="5" s="1"/>
  <c r="AF94" i="6"/>
  <c r="AE94" i="6"/>
  <c r="AD94" i="6"/>
  <c r="AC94" i="6"/>
  <c r="AB94" i="6"/>
  <c r="AA94" i="6"/>
  <c r="Z94" i="6"/>
  <c r="Y94" i="6"/>
  <c r="X94" i="6"/>
  <c r="W94" i="6"/>
  <c r="V94" i="6"/>
  <c r="U94" i="6"/>
  <c r="T94" i="6"/>
  <c r="S94" i="6"/>
  <c r="R94" i="6"/>
  <c r="Q94" i="6"/>
  <c r="P94" i="6"/>
  <c r="O94" i="6"/>
  <c r="N94" i="6"/>
  <c r="M94" i="6"/>
  <c r="L94" i="6"/>
  <c r="K94" i="6"/>
  <c r="J94" i="6"/>
  <c r="I94" i="6"/>
  <c r="H94" i="6"/>
  <c r="G94" i="6"/>
  <c r="F94" i="6"/>
  <c r="E94" i="6"/>
  <c r="D94" i="6"/>
  <c r="C94" i="6"/>
  <c r="B94" i="6"/>
  <c r="AG92" i="6"/>
  <c r="E92" i="5" s="1"/>
  <c r="AG91" i="6"/>
  <c r="E91" i="5" s="1"/>
  <c r="AG90" i="6"/>
  <c r="E90" i="5" s="1"/>
  <c r="AG89" i="6"/>
  <c r="E89" i="5" s="1"/>
  <c r="AG88" i="6"/>
  <c r="E88" i="5" s="1"/>
  <c r="AF87" i="6"/>
  <c r="AE87" i="6"/>
  <c r="AD87" i="6"/>
  <c r="AC87" i="6"/>
  <c r="AB87" i="6"/>
  <c r="AA87" i="6"/>
  <c r="Z87" i="6"/>
  <c r="Y87" i="6"/>
  <c r="X87" i="6"/>
  <c r="W87" i="6"/>
  <c r="V87" i="6"/>
  <c r="U87" i="6"/>
  <c r="T87" i="6"/>
  <c r="S87" i="6"/>
  <c r="R87" i="6"/>
  <c r="Q87" i="6"/>
  <c r="P87" i="6"/>
  <c r="O87" i="6"/>
  <c r="N87" i="6"/>
  <c r="M87" i="6"/>
  <c r="L87" i="6"/>
  <c r="K87" i="6"/>
  <c r="J87" i="6"/>
  <c r="I87" i="6"/>
  <c r="H87" i="6"/>
  <c r="G87" i="6"/>
  <c r="F87" i="6"/>
  <c r="E87" i="6"/>
  <c r="D87" i="6"/>
  <c r="C87" i="6"/>
  <c r="B87" i="6"/>
  <c r="AG86" i="6"/>
  <c r="E86" i="5" s="1"/>
  <c r="AG85" i="6"/>
  <c r="E85" i="5" s="1"/>
  <c r="AF84" i="6"/>
  <c r="AE84" i="6"/>
  <c r="AD84" i="6"/>
  <c r="AC84" i="6"/>
  <c r="AB84" i="6"/>
  <c r="AA84" i="6"/>
  <c r="Z84" i="6"/>
  <c r="Y84" i="6"/>
  <c r="X84" i="6"/>
  <c r="W84" i="6"/>
  <c r="V84" i="6"/>
  <c r="U84" i="6"/>
  <c r="T84" i="6"/>
  <c r="S84" i="6"/>
  <c r="R84" i="6"/>
  <c r="Q84" i="6"/>
  <c r="P84" i="6"/>
  <c r="O84" i="6"/>
  <c r="N84" i="6"/>
  <c r="M84" i="6"/>
  <c r="L84" i="6"/>
  <c r="K84" i="6"/>
  <c r="J84" i="6"/>
  <c r="I84" i="6"/>
  <c r="H84" i="6"/>
  <c r="G84" i="6"/>
  <c r="F84" i="6"/>
  <c r="E84" i="6"/>
  <c r="D84" i="6"/>
  <c r="C84" i="6"/>
  <c r="B84" i="6"/>
  <c r="AF82" i="6"/>
  <c r="AF83" i="6" s="1"/>
  <c r="AF81" i="6" s="1"/>
  <c r="AE82" i="6"/>
  <c r="AE83" i="6" s="1"/>
  <c r="AE81" i="6" s="1"/>
  <c r="AD82" i="6"/>
  <c r="AC82" i="6"/>
  <c r="AC83" i="6" s="1"/>
  <c r="AC81" i="6" s="1"/>
  <c r="AB82" i="6"/>
  <c r="AB83" i="6" s="1"/>
  <c r="AB81" i="6" s="1"/>
  <c r="AA82" i="6"/>
  <c r="AA83" i="6" s="1"/>
  <c r="Z83" i="6"/>
  <c r="Z81" i="6" s="1"/>
  <c r="Y83" i="6"/>
  <c r="X82" i="6"/>
  <c r="X83" i="6" s="1"/>
  <c r="X81" i="6" s="1"/>
  <c r="W82" i="6"/>
  <c r="W83" i="6" s="1"/>
  <c r="W81" i="6" s="1"/>
  <c r="V82" i="6"/>
  <c r="U82" i="6"/>
  <c r="U83" i="6" s="1"/>
  <c r="U81" i="6" s="1"/>
  <c r="T82" i="6"/>
  <c r="T83" i="6" s="1"/>
  <c r="T81" i="6" s="1"/>
  <c r="S83" i="6"/>
  <c r="R83" i="6"/>
  <c r="R81" i="6" s="1"/>
  <c r="Q82" i="6"/>
  <c r="Q83" i="6" s="1"/>
  <c r="P82" i="6"/>
  <c r="P83" i="6" s="1"/>
  <c r="P81" i="6" s="1"/>
  <c r="O82" i="6"/>
  <c r="O83" i="6" s="1"/>
  <c r="O81" i="6" s="1"/>
  <c r="N82" i="6"/>
  <c r="M82" i="6"/>
  <c r="M83" i="6" s="1"/>
  <c r="M81" i="6" s="1"/>
  <c r="L83" i="6"/>
  <c r="L81" i="6" s="1"/>
  <c r="K83" i="6"/>
  <c r="J82" i="6"/>
  <c r="J83" i="6" s="1"/>
  <c r="J81" i="6" s="1"/>
  <c r="I82" i="6"/>
  <c r="I83" i="6" s="1"/>
  <c r="H82" i="6"/>
  <c r="H83" i="6" s="1"/>
  <c r="H81" i="6" s="1"/>
  <c r="G82" i="6"/>
  <c r="G83" i="6" s="1"/>
  <c r="F82" i="6"/>
  <c r="E83" i="6"/>
  <c r="E81" i="6" s="1"/>
  <c r="D83" i="6"/>
  <c r="D81" i="6" s="1"/>
  <c r="C83" i="6"/>
  <c r="B82" i="6"/>
  <c r="B83" i="6" s="1"/>
  <c r="AF80" i="6"/>
  <c r="AC80" i="6"/>
  <c r="AC79" i="6" s="1"/>
  <c r="AC78" i="6" s="1"/>
  <c r="AB80" i="6"/>
  <c r="AB79" i="6" s="1"/>
  <c r="AB78" i="6" s="1"/>
  <c r="AA80" i="6"/>
  <c r="AA79" i="6" s="1"/>
  <c r="AA78" i="6" s="1"/>
  <c r="Y80" i="6"/>
  <c r="Y79" i="6" s="1"/>
  <c r="Y78" i="6" s="1"/>
  <c r="V80" i="6"/>
  <c r="V79" i="6" s="1"/>
  <c r="V78" i="6" s="1"/>
  <c r="U80" i="6"/>
  <c r="U79" i="6" s="1"/>
  <c r="U78" i="6" s="1"/>
  <c r="T80" i="6"/>
  <c r="T79" i="6" s="1"/>
  <c r="T78" i="6" s="1"/>
  <c r="S80" i="6"/>
  <c r="S79" i="6" s="1"/>
  <c r="S78" i="6" s="1"/>
  <c r="R80" i="6"/>
  <c r="R79" i="6" s="1"/>
  <c r="R78" i="6" s="1"/>
  <c r="O80" i="6"/>
  <c r="O79" i="6" s="1"/>
  <c r="O78" i="6" s="1"/>
  <c r="N80" i="6"/>
  <c r="N79" i="6" s="1"/>
  <c r="N78" i="6" s="1"/>
  <c r="M80" i="6"/>
  <c r="M79" i="6" s="1"/>
  <c r="M78" i="6" s="1"/>
  <c r="H80" i="6"/>
  <c r="H79" i="6" s="1"/>
  <c r="H78" i="6" s="1"/>
  <c r="G80" i="6"/>
  <c r="G79" i="6" s="1"/>
  <c r="G78" i="6" s="1"/>
  <c r="F80" i="6"/>
  <c r="F79" i="6" s="1"/>
  <c r="F78" i="6" s="1"/>
  <c r="AF79" i="6"/>
  <c r="AF78" i="6" s="1"/>
  <c r="AE79" i="6"/>
  <c r="AE78" i="6" s="1"/>
  <c r="AD79" i="6"/>
  <c r="AD78" i="6" s="1"/>
  <c r="Z79" i="6"/>
  <c r="Z78" i="6" s="1"/>
  <c r="X79" i="6"/>
  <c r="X78" i="6" s="1"/>
  <c r="W79" i="6"/>
  <c r="W78" i="6" s="1"/>
  <c r="Q79" i="6"/>
  <c r="Q78" i="6" s="1"/>
  <c r="P79" i="6"/>
  <c r="P78" i="6" s="1"/>
  <c r="L79" i="6"/>
  <c r="L78" i="6" s="1"/>
  <c r="K79" i="6"/>
  <c r="J79" i="6"/>
  <c r="J78" i="6" s="1"/>
  <c r="I79" i="6"/>
  <c r="I78" i="6" s="1"/>
  <c r="E79" i="6"/>
  <c r="E78" i="6" s="1"/>
  <c r="D79" i="6"/>
  <c r="D78" i="6" s="1"/>
  <c r="C79" i="6"/>
  <c r="C78" i="6" s="1"/>
  <c r="B79" i="6"/>
  <c r="B78" i="6" s="1"/>
  <c r="K78" i="6"/>
  <c r="AG77" i="6"/>
  <c r="E77" i="5" s="1"/>
  <c r="AG76" i="6"/>
  <c r="E76" i="5" s="1"/>
  <c r="AG75" i="6"/>
  <c r="E75" i="5" s="1"/>
  <c r="AG74" i="6"/>
  <c r="E74" i="5" s="1"/>
  <c r="AG73" i="6"/>
  <c r="E73" i="5" s="1"/>
  <c r="AG72" i="6"/>
  <c r="E72" i="5" s="1"/>
  <c r="AG71" i="6"/>
  <c r="E71" i="5" s="1"/>
  <c r="AG70" i="6"/>
  <c r="E70" i="5" s="1"/>
  <c r="AG69" i="6"/>
  <c r="E69" i="5" s="1"/>
  <c r="AG68" i="6"/>
  <c r="E68" i="5" s="1"/>
  <c r="AG67" i="6"/>
  <c r="E67" i="5" s="1"/>
  <c r="AG66" i="6"/>
  <c r="E66" i="5" s="1"/>
  <c r="AG65" i="6"/>
  <c r="E65" i="5" s="1"/>
  <c r="AG64" i="6"/>
  <c r="E64" i="5" s="1"/>
  <c r="AG63" i="6"/>
  <c r="E63" i="5" s="1"/>
  <c r="AG62" i="6"/>
  <c r="E62" i="5" s="1"/>
  <c r="AG61" i="6"/>
  <c r="E61" i="5" s="1"/>
  <c r="AG60" i="6"/>
  <c r="E60" i="5" s="1"/>
  <c r="AG59" i="6"/>
  <c r="E59" i="5" s="1"/>
  <c r="AG58" i="6"/>
  <c r="E58" i="5" s="1"/>
  <c r="AG57" i="6"/>
  <c r="E57" i="5" s="1"/>
  <c r="AG56" i="6"/>
  <c r="E56" i="5" s="1"/>
  <c r="AG55" i="6"/>
  <c r="E55" i="5" s="1"/>
  <c r="AG54" i="6"/>
  <c r="E54" i="5" s="1"/>
  <c r="AF53" i="6"/>
  <c r="AE53" i="6"/>
  <c r="AD53" i="6"/>
  <c r="AC53" i="6"/>
  <c r="AB53" i="6"/>
  <c r="AA53" i="6"/>
  <c r="Z53" i="6"/>
  <c r="Y53" i="6"/>
  <c r="X53" i="6"/>
  <c r="W53" i="6"/>
  <c r="V53" i="6"/>
  <c r="U53" i="6"/>
  <c r="T53" i="6"/>
  <c r="S53" i="6"/>
  <c r="R53" i="6"/>
  <c r="Q53" i="6"/>
  <c r="P53" i="6"/>
  <c r="O53" i="6"/>
  <c r="N53" i="6"/>
  <c r="M53" i="6"/>
  <c r="L53" i="6"/>
  <c r="K53" i="6"/>
  <c r="J53" i="6"/>
  <c r="I53" i="6"/>
  <c r="H53" i="6"/>
  <c r="G53" i="6"/>
  <c r="F53" i="6"/>
  <c r="E53" i="6"/>
  <c r="D53" i="6"/>
  <c r="C53" i="6"/>
  <c r="B53" i="6"/>
  <c r="AG52" i="6"/>
  <c r="E52" i="5" s="1"/>
  <c r="AG51" i="6"/>
  <c r="E51" i="5" s="1"/>
  <c r="AG50" i="6"/>
  <c r="E50" i="5" s="1"/>
  <c r="AG49" i="6"/>
  <c r="E49" i="5" s="1"/>
  <c r="AG48" i="6"/>
  <c r="E48" i="5" s="1"/>
  <c r="AG47" i="6"/>
  <c r="E47" i="5" s="1"/>
  <c r="AG46" i="6"/>
  <c r="E46" i="5" s="1"/>
  <c r="AG45" i="6"/>
  <c r="E45" i="5" s="1"/>
  <c r="AG44" i="6"/>
  <c r="E44" i="5" s="1"/>
  <c r="AG43" i="6"/>
  <c r="E43" i="5" s="1"/>
  <c r="AG42" i="6"/>
  <c r="E42" i="5" s="1"/>
  <c r="AG41" i="6"/>
  <c r="E41" i="5" s="1"/>
  <c r="AG40" i="6"/>
  <c r="E40" i="5" s="1"/>
  <c r="AG39" i="6"/>
  <c r="E39" i="5" s="1"/>
  <c r="AG38" i="6"/>
  <c r="E38" i="5" s="1"/>
  <c r="AG37" i="6"/>
  <c r="E37" i="5" s="1"/>
  <c r="AG36" i="6"/>
  <c r="E36" i="5" s="1"/>
  <c r="AG35" i="6"/>
  <c r="E35" i="5" s="1"/>
  <c r="AG34" i="6"/>
  <c r="E34" i="5" s="1"/>
  <c r="AG33" i="6"/>
  <c r="E33" i="5" s="1"/>
  <c r="AG32" i="6"/>
  <c r="E32" i="5" s="1"/>
  <c r="AG31" i="6"/>
  <c r="E31" i="5" s="1"/>
  <c r="AG30" i="6"/>
  <c r="E30" i="5" s="1"/>
  <c r="AG29" i="6"/>
  <c r="E29" i="5" s="1"/>
  <c r="AF28" i="6"/>
  <c r="AE28" i="6"/>
  <c r="AD28" i="6"/>
  <c r="AC28" i="6"/>
  <c r="AB28" i="6"/>
  <c r="AA28" i="6"/>
  <c r="Z28" i="6"/>
  <c r="Y28" i="6"/>
  <c r="X28" i="6"/>
  <c r="W28" i="6"/>
  <c r="V28" i="6"/>
  <c r="U28" i="6"/>
  <c r="T28" i="6"/>
  <c r="S28" i="6"/>
  <c r="R28" i="6"/>
  <c r="Q28" i="6"/>
  <c r="P28" i="6"/>
  <c r="O28" i="6"/>
  <c r="N28" i="6"/>
  <c r="M28" i="6"/>
  <c r="L28" i="6"/>
  <c r="K28" i="6"/>
  <c r="J28" i="6"/>
  <c r="I28" i="6"/>
  <c r="H28" i="6"/>
  <c r="G28" i="6"/>
  <c r="F28" i="6"/>
  <c r="E28" i="6"/>
  <c r="D28" i="6"/>
  <c r="C28" i="6"/>
  <c r="B28" i="6"/>
  <c r="AG27" i="6"/>
  <c r="E27" i="5" s="1"/>
  <c r="AG26" i="6"/>
  <c r="E26" i="5" s="1"/>
  <c r="AG25" i="6"/>
  <c r="E25" i="5" s="1"/>
  <c r="AG24" i="6"/>
  <c r="E24" i="5" s="1"/>
  <c r="AG23" i="6"/>
  <c r="E23" i="5" s="1"/>
  <c r="AG22" i="6"/>
  <c r="E22" i="5" s="1"/>
  <c r="AG21" i="6"/>
  <c r="E21" i="5" s="1"/>
  <c r="AG20" i="6"/>
  <c r="E20" i="5" s="1"/>
  <c r="AG19" i="6"/>
  <c r="E19" i="5" s="1"/>
  <c r="AG18" i="6"/>
  <c r="E18" i="5" s="1"/>
  <c r="AG17" i="6"/>
  <c r="E17" i="5" s="1"/>
  <c r="AG16" i="6"/>
  <c r="E16" i="5" s="1"/>
  <c r="AG15" i="6"/>
  <c r="E15" i="5" s="1"/>
  <c r="AG14" i="6"/>
  <c r="E14" i="5" s="1"/>
  <c r="AG13" i="6"/>
  <c r="E13" i="5" s="1"/>
  <c r="AG12" i="6"/>
  <c r="E12" i="5" s="1"/>
  <c r="AG11" i="6"/>
  <c r="E11" i="5" s="1"/>
  <c r="AG10" i="6"/>
  <c r="E10" i="5" s="1"/>
  <c r="AG9" i="6"/>
  <c r="E9" i="5" s="1"/>
  <c r="AG8" i="6"/>
  <c r="E8" i="5" s="1"/>
  <c r="AG7" i="6"/>
  <c r="E7" i="5" s="1"/>
  <c r="AG6" i="6"/>
  <c r="E6" i="5" s="1"/>
  <c r="AG5" i="6"/>
  <c r="E5" i="5" s="1"/>
  <c r="AG4" i="6"/>
  <c r="E4" i="5" s="1"/>
  <c r="AF3" i="6"/>
  <c r="AE3" i="6"/>
  <c r="AD3" i="6"/>
  <c r="AC3" i="6"/>
  <c r="AB3" i="6"/>
  <c r="AA3" i="6"/>
  <c r="Z3" i="6"/>
  <c r="Y3" i="6"/>
  <c r="X3" i="6"/>
  <c r="W3" i="6"/>
  <c r="V3" i="6"/>
  <c r="T3" i="6"/>
  <c r="S3" i="6"/>
  <c r="R3" i="6"/>
  <c r="Q3" i="6"/>
  <c r="P3" i="6"/>
  <c r="O3" i="6"/>
  <c r="N3" i="6"/>
  <c r="M3" i="6"/>
  <c r="L3" i="6"/>
  <c r="K3" i="6"/>
  <c r="J3" i="6"/>
  <c r="I3" i="6"/>
  <c r="H3" i="6"/>
  <c r="G3" i="6"/>
  <c r="F3" i="6"/>
  <c r="E3" i="6"/>
  <c r="D3" i="6"/>
  <c r="C3" i="6"/>
  <c r="B3" i="6"/>
  <c r="AC2" i="6"/>
  <c r="C2" i="6"/>
  <c r="D2" i="6" s="1"/>
  <c r="E2" i="6" s="1"/>
  <c r="F2" i="6" s="1"/>
  <c r="G2" i="6" s="1"/>
  <c r="H2" i="6" s="1"/>
  <c r="I2" i="6" s="1"/>
  <c r="J2" i="6" s="1"/>
  <c r="K2" i="6" s="1"/>
  <c r="L2" i="6" s="1"/>
  <c r="M2" i="6" s="1"/>
  <c r="N2" i="6" s="1"/>
  <c r="O2" i="6" s="1"/>
  <c r="P2" i="6" s="1"/>
  <c r="Q2" i="6" s="1"/>
  <c r="R2" i="6" s="1"/>
  <c r="S2" i="6" s="1"/>
  <c r="T2" i="6" s="1"/>
  <c r="U2" i="6" s="1"/>
  <c r="V2" i="6" s="1"/>
  <c r="W2" i="6" s="1"/>
  <c r="X2" i="6" s="1"/>
  <c r="Y2" i="6" s="1"/>
  <c r="Z2" i="6" s="1"/>
  <c r="AA2" i="6" s="1"/>
  <c r="AF134" i="4"/>
  <c r="AF143" i="4"/>
  <c r="AF142" i="4"/>
  <c r="AF129" i="4"/>
  <c r="AE134" i="4"/>
  <c r="AE142" i="4"/>
  <c r="AE143" i="4"/>
  <c r="AE129" i="4"/>
  <c r="AD142" i="4"/>
  <c r="AD143" i="4"/>
  <c r="AD129" i="4"/>
  <c r="AC134" i="4"/>
  <c r="AC142" i="4"/>
  <c r="AC143" i="4"/>
  <c r="AC129" i="4"/>
  <c r="AB134" i="4"/>
  <c r="AB142" i="4"/>
  <c r="AB137" i="4"/>
  <c r="AB143" i="4"/>
  <c r="AB129" i="4"/>
  <c r="AA134" i="4"/>
  <c r="AA142" i="4"/>
  <c r="AA143" i="4"/>
  <c r="AA129" i="4"/>
  <c r="Z134" i="4"/>
  <c r="Z143" i="4"/>
  <c r="Z142" i="4"/>
  <c r="Z129" i="4"/>
  <c r="Y142" i="4"/>
  <c r="Y134" i="4"/>
  <c r="Y143" i="4"/>
  <c r="Y129" i="4"/>
  <c r="X143" i="4"/>
  <c r="X142" i="4"/>
  <c r="X129" i="4"/>
  <c r="W134" i="4"/>
  <c r="W142" i="4"/>
  <c r="W137" i="4"/>
  <c r="W143" i="4"/>
  <c r="W129" i="4"/>
  <c r="V134" i="4"/>
  <c r="V142" i="4"/>
  <c r="V143" i="4"/>
  <c r="V129" i="4"/>
  <c r="U143" i="4"/>
  <c r="U129" i="4"/>
  <c r="T134" i="4"/>
  <c r="T142" i="4"/>
  <c r="T143" i="4"/>
  <c r="T129" i="4"/>
  <c r="S142" i="4"/>
  <c r="S143" i="4"/>
  <c r="S129" i="4"/>
  <c r="R134" i="4"/>
  <c r="R142" i="4"/>
  <c r="R143" i="4"/>
  <c r="R129" i="4"/>
  <c r="Q176" i="4"/>
  <c r="Q143" i="4"/>
  <c r="Q142" i="4"/>
  <c r="Q137" i="4"/>
  <c r="Q129" i="4"/>
  <c r="P134" i="4"/>
  <c r="P143" i="4"/>
  <c r="P142" i="4"/>
  <c r="P129" i="4"/>
  <c r="O142" i="4"/>
  <c r="O143" i="4"/>
  <c r="O129" i="4"/>
  <c r="N143" i="4"/>
  <c r="N134" i="4"/>
  <c r="N142" i="4"/>
  <c r="N129" i="4"/>
  <c r="M134" i="4"/>
  <c r="M143" i="4"/>
  <c r="M142" i="4"/>
  <c r="M129" i="4"/>
  <c r="L142" i="4"/>
  <c r="L143" i="4"/>
  <c r="L134" i="4"/>
  <c r="L129" i="4"/>
  <c r="K134" i="4"/>
  <c r="K143" i="4"/>
  <c r="K142" i="4"/>
  <c r="K129" i="4"/>
  <c r="J134" i="4"/>
  <c r="J143" i="4"/>
  <c r="J142" i="4"/>
  <c r="J139" i="4"/>
  <c r="J129" i="4"/>
  <c r="E144" i="6" l="1"/>
  <c r="AB144" i="6"/>
  <c r="U144" i="6"/>
  <c r="D144" i="6"/>
  <c r="K93" i="6"/>
  <c r="S93" i="6"/>
  <c r="G144" i="6"/>
  <c r="W144" i="6"/>
  <c r="AE144" i="6"/>
  <c r="O93" i="6"/>
  <c r="W93" i="6"/>
  <c r="AE93" i="6"/>
  <c r="I144" i="6"/>
  <c r="Q144" i="6"/>
  <c r="Y144" i="6"/>
  <c r="D93" i="6"/>
  <c r="L93" i="6"/>
  <c r="T93" i="6"/>
  <c r="AB93" i="6"/>
  <c r="F144" i="6"/>
  <c r="N144" i="6"/>
  <c r="V144" i="6"/>
  <c r="H144" i="6"/>
  <c r="P144" i="6"/>
  <c r="X144" i="6"/>
  <c r="AF144" i="6"/>
  <c r="B144" i="6"/>
  <c r="J144" i="6"/>
  <c r="R144" i="6"/>
  <c r="AC93" i="6"/>
  <c r="AA93" i="6"/>
  <c r="Y93" i="6"/>
  <c r="U93" i="6"/>
  <c r="T144" i="6"/>
  <c r="R93" i="6"/>
  <c r="Q93" i="6"/>
  <c r="B93" i="6"/>
  <c r="J93" i="6"/>
  <c r="Z93" i="6"/>
  <c r="N93" i="6"/>
  <c r="V93" i="6"/>
  <c r="AD93" i="6"/>
  <c r="AD144" i="6"/>
  <c r="Z144" i="6"/>
  <c r="E93" i="6"/>
  <c r="M93" i="6"/>
  <c r="C144" i="6"/>
  <c r="K144" i="6"/>
  <c r="S144" i="6"/>
  <c r="AA144" i="6"/>
  <c r="AC144" i="6"/>
  <c r="F93" i="6"/>
  <c r="F130" i="6"/>
  <c r="O144" i="6"/>
  <c r="L144" i="6"/>
  <c r="AG167" i="6"/>
  <c r="E167" i="5" s="1"/>
  <c r="P93" i="6"/>
  <c r="X93" i="6"/>
  <c r="AF93" i="6"/>
  <c r="AG147" i="6"/>
  <c r="E147" i="5" s="1"/>
  <c r="AG158" i="6"/>
  <c r="E158" i="5" s="1"/>
  <c r="AG222" i="6"/>
  <c r="E224" i="5" s="1"/>
  <c r="C93" i="6"/>
  <c r="D130" i="6"/>
  <c r="AG214" i="6"/>
  <c r="E215" i="5" s="1"/>
  <c r="I93" i="6"/>
  <c r="H93" i="6"/>
  <c r="G93" i="6"/>
  <c r="G81" i="6"/>
  <c r="AG80" i="6"/>
  <c r="E80" i="5" s="1"/>
  <c r="AG134" i="6"/>
  <c r="E134" i="5" s="1"/>
  <c r="AG176" i="6"/>
  <c r="E177" i="5" s="1"/>
  <c r="AG143" i="6"/>
  <c r="E143" i="5" s="1"/>
  <c r="AG129" i="6"/>
  <c r="E129" i="5" s="1"/>
  <c r="AG142" i="6"/>
  <c r="E142" i="5" s="1"/>
  <c r="AG100" i="6"/>
  <c r="E100" i="5" s="1"/>
  <c r="AG208" i="6"/>
  <c r="E209" i="5" s="1"/>
  <c r="AG173" i="6"/>
  <c r="E173" i="5" s="1"/>
  <c r="AG145" i="6"/>
  <c r="E145" i="5" s="1"/>
  <c r="C130" i="6"/>
  <c r="AG181" i="6"/>
  <c r="E182" i="5" s="1"/>
  <c r="B130" i="6"/>
  <c r="AG116" i="6"/>
  <c r="E116" i="5" s="1"/>
  <c r="AG87" i="6"/>
  <c r="E87" i="5" s="1"/>
  <c r="AG84" i="6"/>
  <c r="E84" i="5" s="1"/>
  <c r="AG53" i="6"/>
  <c r="E53" i="5" s="1"/>
  <c r="AG28" i="6"/>
  <c r="E28" i="5" s="1"/>
  <c r="AG3" i="6"/>
  <c r="E3" i="5" s="1"/>
  <c r="AG78" i="6"/>
  <c r="E78" i="5" s="1"/>
  <c r="B81" i="6"/>
  <c r="AG79" i="6"/>
  <c r="E79" i="5" s="1"/>
  <c r="AD83" i="6"/>
  <c r="AD81" i="6" s="1"/>
  <c r="N83" i="6"/>
  <c r="N81" i="6" s="1"/>
  <c r="I81" i="6"/>
  <c r="Q81" i="6"/>
  <c r="Y81" i="6"/>
  <c r="F83" i="6"/>
  <c r="V83" i="6"/>
  <c r="V81" i="6" s="1"/>
  <c r="AG82" i="6"/>
  <c r="E82" i="5" s="1"/>
  <c r="C81" i="6"/>
  <c r="K81" i="6"/>
  <c r="S81" i="6"/>
  <c r="AA81" i="6"/>
  <c r="AG148" i="6"/>
  <c r="AG94" i="6"/>
  <c r="E94" i="5" s="1"/>
  <c r="I134" i="4"/>
  <c r="I143" i="4"/>
  <c r="I142" i="4"/>
  <c r="I129" i="4"/>
  <c r="H173" i="4"/>
  <c r="H143" i="4"/>
  <c r="H142" i="4"/>
  <c r="H129" i="4"/>
  <c r="G134" i="4"/>
  <c r="G143" i="4"/>
  <c r="G142" i="4"/>
  <c r="G129" i="4"/>
  <c r="F143" i="4"/>
  <c r="F134" i="4"/>
  <c r="F142" i="4"/>
  <c r="F129" i="4"/>
  <c r="E143" i="4"/>
  <c r="E142" i="4"/>
  <c r="E129" i="4"/>
  <c r="D134" i="4"/>
  <c r="D142" i="4"/>
  <c r="D143" i="4"/>
  <c r="D129" i="4"/>
  <c r="AG219" i="4"/>
  <c r="AG219" i="2"/>
  <c r="AG219" i="3"/>
  <c r="C143" i="4"/>
  <c r="C142" i="4"/>
  <c r="C129" i="4"/>
  <c r="AG146" i="6" l="1"/>
  <c r="E146" i="5" s="1"/>
  <c r="E148" i="5"/>
  <c r="AG144" i="6"/>
  <c r="E144" i="5" s="1"/>
  <c r="AG83" i="6"/>
  <c r="AG93" i="6"/>
  <c r="F81" i="6"/>
  <c r="AG81" i="6" s="1"/>
  <c r="AG130" i="6"/>
  <c r="E130" i="5" s="1"/>
  <c r="AH87" i="6"/>
  <c r="B143" i="4"/>
  <c r="AG143" i="4" s="1"/>
  <c r="D143" i="5" s="1"/>
  <c r="B134" i="4"/>
  <c r="AG134" i="4" s="1"/>
  <c r="D134" i="5" s="1"/>
  <c r="B142" i="4"/>
  <c r="AG142" i="4" s="1"/>
  <c r="D142" i="5" s="1"/>
  <c r="B137" i="4"/>
  <c r="AG137" i="4" s="1"/>
  <c r="D137" i="5" s="1"/>
  <c r="B129" i="4"/>
  <c r="B116" i="4" s="1"/>
  <c r="AG227" i="4"/>
  <c r="D227" i="5" s="1"/>
  <c r="AG226" i="4"/>
  <c r="D226" i="5" s="1"/>
  <c r="AG225" i="4"/>
  <c r="D225" i="5" s="1"/>
  <c r="AF224" i="4"/>
  <c r="AE224" i="4"/>
  <c r="AD224" i="4"/>
  <c r="AG222" i="4"/>
  <c r="AG221" i="4"/>
  <c r="D216" i="5" s="1"/>
  <c r="AG220" i="4"/>
  <c r="D219" i="5" s="1"/>
  <c r="AG218" i="4"/>
  <c r="AG217" i="4"/>
  <c r="AG216" i="4"/>
  <c r="AG215" i="4"/>
  <c r="D217" i="5" s="1"/>
  <c r="AF214" i="4"/>
  <c r="AF223" i="4" s="1"/>
  <c r="AE214" i="4"/>
  <c r="AE223" i="4" s="1"/>
  <c r="AD214" i="4"/>
  <c r="AD223" i="4" s="1"/>
  <c r="AC214" i="4"/>
  <c r="AC223" i="4" s="1"/>
  <c r="AB214" i="4"/>
  <c r="AB223" i="4" s="1"/>
  <c r="AA214" i="4"/>
  <c r="AA223" i="4" s="1"/>
  <c r="Z214" i="4"/>
  <c r="Z223" i="4" s="1"/>
  <c r="Y214" i="4"/>
  <c r="Y223" i="4" s="1"/>
  <c r="X214" i="4"/>
  <c r="X223" i="4" s="1"/>
  <c r="W214" i="4"/>
  <c r="W223" i="4" s="1"/>
  <c r="V214" i="4"/>
  <c r="V223" i="4" s="1"/>
  <c r="U214" i="4"/>
  <c r="U223" i="4" s="1"/>
  <c r="T214" i="4"/>
  <c r="T223" i="4" s="1"/>
  <c r="S214" i="4"/>
  <c r="S223" i="4" s="1"/>
  <c r="R214" i="4"/>
  <c r="R223" i="4" s="1"/>
  <c r="Q214" i="4"/>
  <c r="Q223" i="4" s="1"/>
  <c r="P214" i="4"/>
  <c r="P223" i="4" s="1"/>
  <c r="O214" i="4"/>
  <c r="O223" i="4" s="1"/>
  <c r="N214" i="4"/>
  <c r="N223" i="4" s="1"/>
  <c r="M214" i="4"/>
  <c r="M223" i="4" s="1"/>
  <c r="L214" i="4"/>
  <c r="L223" i="4" s="1"/>
  <c r="K214" i="4"/>
  <c r="K223" i="4" s="1"/>
  <c r="J214" i="4"/>
  <c r="J223" i="4" s="1"/>
  <c r="I214" i="4"/>
  <c r="I223" i="4" s="1"/>
  <c r="H214" i="4"/>
  <c r="H223" i="4" s="1"/>
  <c r="G214" i="4"/>
  <c r="G223" i="4" s="1"/>
  <c r="F214" i="4"/>
  <c r="F223" i="4" s="1"/>
  <c r="E214" i="4"/>
  <c r="E223" i="4" s="1"/>
  <c r="D214" i="4"/>
  <c r="D223" i="4" s="1"/>
  <c r="C214" i="4"/>
  <c r="C223" i="4" s="1"/>
  <c r="B214" i="4"/>
  <c r="B223" i="4" s="1"/>
  <c r="AG213" i="4"/>
  <c r="D214" i="5" s="1"/>
  <c r="AG212" i="4"/>
  <c r="D213" i="5" s="1"/>
  <c r="AG211" i="4"/>
  <c r="D212" i="5" s="1"/>
  <c r="AG210" i="4"/>
  <c r="D211" i="5" s="1"/>
  <c r="AG209" i="4"/>
  <c r="D210" i="5" s="1"/>
  <c r="AF208" i="4"/>
  <c r="AE208" i="4"/>
  <c r="AD208" i="4"/>
  <c r="AC208" i="4"/>
  <c r="AB208" i="4"/>
  <c r="AA208" i="4"/>
  <c r="Z208" i="4"/>
  <c r="Y208" i="4"/>
  <c r="X208" i="4"/>
  <c r="W208" i="4"/>
  <c r="V208" i="4"/>
  <c r="U208" i="4"/>
  <c r="T208" i="4"/>
  <c r="S208" i="4"/>
  <c r="R208" i="4"/>
  <c r="Q208" i="4"/>
  <c r="P208" i="4"/>
  <c r="O208" i="4"/>
  <c r="N208" i="4"/>
  <c r="M208" i="4"/>
  <c r="L208" i="4"/>
  <c r="K208" i="4"/>
  <c r="J208" i="4"/>
  <c r="I208" i="4"/>
  <c r="H208" i="4"/>
  <c r="G208" i="4"/>
  <c r="F208" i="4"/>
  <c r="E208" i="4"/>
  <c r="D208" i="4"/>
  <c r="C208" i="4"/>
  <c r="B208" i="4"/>
  <c r="AG207" i="4"/>
  <c r="D208" i="5" s="1"/>
  <c r="AG206" i="4"/>
  <c r="D207" i="5" s="1"/>
  <c r="AG205" i="4"/>
  <c r="D206" i="5" s="1"/>
  <c r="AG204" i="4"/>
  <c r="D205" i="5" s="1"/>
  <c r="AG203" i="4"/>
  <c r="D204" i="5" s="1"/>
  <c r="AG202" i="4"/>
  <c r="D203" i="5" s="1"/>
  <c r="AG201" i="4"/>
  <c r="D202" i="5" s="1"/>
  <c r="AG200" i="4"/>
  <c r="D201" i="5" s="1"/>
  <c r="AG199" i="4"/>
  <c r="D200" i="5" s="1"/>
  <c r="AG198" i="4"/>
  <c r="D199" i="5" s="1"/>
  <c r="AG197" i="4"/>
  <c r="D198" i="5" s="1"/>
  <c r="AG196" i="4"/>
  <c r="D197" i="5" s="1"/>
  <c r="AG195" i="4"/>
  <c r="D196" i="5" s="1"/>
  <c r="AG194" i="4"/>
  <c r="D195" i="5" s="1"/>
  <c r="AG193" i="4"/>
  <c r="D194" i="5" s="1"/>
  <c r="AG192" i="4"/>
  <c r="D193" i="5" s="1"/>
  <c r="AG191" i="4"/>
  <c r="D192" i="5" s="1"/>
  <c r="AG190" i="4"/>
  <c r="D191" i="5" s="1"/>
  <c r="AG189" i="4"/>
  <c r="D190" i="5" s="1"/>
  <c r="AG188" i="4"/>
  <c r="D189" i="5" s="1"/>
  <c r="AG187" i="4"/>
  <c r="D188" i="5" s="1"/>
  <c r="AG186" i="4"/>
  <c r="D187" i="5" s="1"/>
  <c r="AG185" i="4"/>
  <c r="D186" i="5" s="1"/>
  <c r="AG184" i="4"/>
  <c r="D185" i="5" s="1"/>
  <c r="AG183" i="4"/>
  <c r="D184" i="5" s="1"/>
  <c r="AG182" i="4"/>
  <c r="D183" i="5" s="1"/>
  <c r="AF181" i="4"/>
  <c r="AE181" i="4"/>
  <c r="AD181" i="4"/>
  <c r="AC181" i="4"/>
  <c r="AB181" i="4"/>
  <c r="AA181" i="4"/>
  <c r="Z181" i="4"/>
  <c r="Y181" i="4"/>
  <c r="X181" i="4"/>
  <c r="W181" i="4"/>
  <c r="V181" i="4"/>
  <c r="U181" i="4"/>
  <c r="T181" i="4"/>
  <c r="S181" i="4"/>
  <c r="R181" i="4"/>
  <c r="Q181" i="4"/>
  <c r="P181" i="4"/>
  <c r="O181" i="4"/>
  <c r="N181" i="4"/>
  <c r="M181" i="4"/>
  <c r="L181" i="4"/>
  <c r="K181" i="4"/>
  <c r="J181" i="4"/>
  <c r="I181" i="4"/>
  <c r="H181" i="4"/>
  <c r="G181" i="4"/>
  <c r="F181" i="4"/>
  <c r="E181" i="4"/>
  <c r="D181" i="4"/>
  <c r="C181" i="4"/>
  <c r="B181" i="4"/>
  <c r="AG180" i="4"/>
  <c r="D181" i="5" s="1"/>
  <c r="AG179" i="4"/>
  <c r="D180" i="5" s="1"/>
  <c r="AG178" i="4"/>
  <c r="D179" i="5" s="1"/>
  <c r="AG177" i="4"/>
  <c r="D178" i="5" s="1"/>
  <c r="AF176" i="4"/>
  <c r="AE176" i="4"/>
  <c r="AD176" i="4"/>
  <c r="AC176" i="4"/>
  <c r="AB176" i="4"/>
  <c r="AA176" i="4"/>
  <c r="Z176" i="4"/>
  <c r="Y176" i="4"/>
  <c r="X176" i="4"/>
  <c r="W176" i="4"/>
  <c r="V176" i="4"/>
  <c r="U176" i="4"/>
  <c r="T176" i="4"/>
  <c r="S176" i="4"/>
  <c r="R176" i="4"/>
  <c r="P176" i="4"/>
  <c r="O176" i="4"/>
  <c r="N176" i="4"/>
  <c r="M176" i="4"/>
  <c r="L176" i="4"/>
  <c r="K176" i="4"/>
  <c r="J176" i="4"/>
  <c r="I176" i="4"/>
  <c r="H176" i="4"/>
  <c r="G176" i="4"/>
  <c r="F176" i="4"/>
  <c r="E176" i="4"/>
  <c r="D176" i="4"/>
  <c r="C176" i="4"/>
  <c r="B176" i="4"/>
  <c r="AG175" i="4"/>
  <c r="D175" i="5" s="1"/>
  <c r="AG174" i="4"/>
  <c r="D174" i="5" s="1"/>
  <c r="AF173" i="4"/>
  <c r="AE173" i="4"/>
  <c r="AD173" i="4"/>
  <c r="AC173" i="4"/>
  <c r="AB173" i="4"/>
  <c r="AA173" i="4"/>
  <c r="Z173" i="4"/>
  <c r="Y173" i="4"/>
  <c r="X173" i="4"/>
  <c r="W173" i="4"/>
  <c r="V173" i="4"/>
  <c r="U173" i="4"/>
  <c r="T173" i="4"/>
  <c r="S173" i="4"/>
  <c r="R173" i="4"/>
  <c r="Q173" i="4"/>
  <c r="P173" i="4"/>
  <c r="O173" i="4"/>
  <c r="N173" i="4"/>
  <c r="M173" i="4"/>
  <c r="L173" i="4"/>
  <c r="K173" i="4"/>
  <c r="J173" i="4"/>
  <c r="I173" i="4"/>
  <c r="G173" i="4"/>
  <c r="F173" i="4"/>
  <c r="E173" i="4"/>
  <c r="D173" i="4"/>
  <c r="C173" i="4"/>
  <c r="B173" i="4"/>
  <c r="AG172" i="4"/>
  <c r="D172" i="5" s="1"/>
  <c r="AG171" i="4"/>
  <c r="D171" i="5" s="1"/>
  <c r="AG170" i="4"/>
  <c r="D170" i="5" s="1"/>
  <c r="AG169" i="4"/>
  <c r="D169" i="5" s="1"/>
  <c r="AG168" i="4"/>
  <c r="D168" i="5" s="1"/>
  <c r="AF167" i="4"/>
  <c r="AE167" i="4"/>
  <c r="AD167" i="4"/>
  <c r="AC167" i="4"/>
  <c r="AB167" i="4"/>
  <c r="AA167" i="4"/>
  <c r="Z167" i="4"/>
  <c r="Y167" i="4"/>
  <c r="X167" i="4"/>
  <c r="W167" i="4"/>
  <c r="V167" i="4"/>
  <c r="U167" i="4"/>
  <c r="T167" i="4"/>
  <c r="S167" i="4"/>
  <c r="R167" i="4"/>
  <c r="Q167" i="4"/>
  <c r="P167" i="4"/>
  <c r="O167" i="4"/>
  <c r="N167" i="4"/>
  <c r="M167" i="4"/>
  <c r="L167" i="4"/>
  <c r="K167" i="4"/>
  <c r="J167" i="4"/>
  <c r="I167" i="4"/>
  <c r="H167" i="4"/>
  <c r="G167" i="4"/>
  <c r="F167" i="4"/>
  <c r="E167" i="4"/>
  <c r="D167" i="4"/>
  <c r="C167" i="4"/>
  <c r="B167" i="4"/>
  <c r="AG166" i="4"/>
  <c r="D166" i="5" s="1"/>
  <c r="AG165" i="4"/>
  <c r="D165" i="5" s="1"/>
  <c r="AG164" i="4"/>
  <c r="D164" i="5" s="1"/>
  <c r="AG163" i="4"/>
  <c r="D163" i="5" s="1"/>
  <c r="AG162" i="4"/>
  <c r="D162" i="5" s="1"/>
  <c r="AG161" i="4"/>
  <c r="D161" i="5" s="1"/>
  <c r="AG160" i="4"/>
  <c r="D160" i="5" s="1"/>
  <c r="AG159" i="4"/>
  <c r="D159" i="5" s="1"/>
  <c r="AF158" i="4"/>
  <c r="AE158" i="4"/>
  <c r="AD158" i="4"/>
  <c r="AC158" i="4"/>
  <c r="AB158" i="4"/>
  <c r="AA158" i="4"/>
  <c r="Z158" i="4"/>
  <c r="Y158" i="4"/>
  <c r="X158" i="4"/>
  <c r="W158" i="4"/>
  <c r="V158" i="4"/>
  <c r="U158" i="4"/>
  <c r="T158" i="4"/>
  <c r="S158" i="4"/>
  <c r="R158" i="4"/>
  <c r="Q158" i="4"/>
  <c r="P158" i="4"/>
  <c r="O158" i="4"/>
  <c r="N158" i="4"/>
  <c r="M158" i="4"/>
  <c r="L158" i="4"/>
  <c r="K158" i="4"/>
  <c r="J158" i="4"/>
  <c r="I158" i="4"/>
  <c r="H158" i="4"/>
  <c r="G158" i="4"/>
  <c r="F158" i="4"/>
  <c r="E158" i="4"/>
  <c r="D158" i="4"/>
  <c r="C158" i="4"/>
  <c r="B158" i="4"/>
  <c r="AG157" i="4"/>
  <c r="D157" i="5" s="1"/>
  <c r="AG156" i="4"/>
  <c r="D156" i="5" s="1"/>
  <c r="AG155" i="4"/>
  <c r="D155" i="5" s="1"/>
  <c r="AG154" i="4"/>
  <c r="D154" i="5" s="1"/>
  <c r="AG153" i="4"/>
  <c r="D153" i="5" s="1"/>
  <c r="AG152" i="4"/>
  <c r="D152" i="5" s="1"/>
  <c r="AG151" i="4"/>
  <c r="D151" i="5" s="1"/>
  <c r="AG150" i="4"/>
  <c r="D150" i="5" s="1"/>
  <c r="AG149" i="4"/>
  <c r="D149" i="5" s="1"/>
  <c r="AF148" i="4"/>
  <c r="AE148" i="4"/>
  <c r="AE146" i="4" s="1"/>
  <c r="AD148" i="4"/>
  <c r="AC148" i="4"/>
  <c r="AC146" i="4" s="1"/>
  <c r="AB148" i="4"/>
  <c r="AB146" i="4" s="1"/>
  <c r="AA148" i="4"/>
  <c r="AA146" i="4" s="1"/>
  <c r="AA144" i="4" s="1"/>
  <c r="Z148" i="4"/>
  <c r="Z146" i="4" s="1"/>
  <c r="Y148" i="4"/>
  <c r="Y146" i="4" s="1"/>
  <c r="X148" i="4"/>
  <c r="X146" i="4" s="1"/>
  <c r="W148" i="4"/>
  <c r="W146" i="4" s="1"/>
  <c r="V148" i="4"/>
  <c r="V146" i="4" s="1"/>
  <c r="U148" i="4"/>
  <c r="U146" i="4" s="1"/>
  <c r="T148" i="4"/>
  <c r="T146" i="4" s="1"/>
  <c r="S148" i="4"/>
  <c r="S146" i="4" s="1"/>
  <c r="R148" i="4"/>
  <c r="R146" i="4" s="1"/>
  <c r="Q148" i="4"/>
  <c r="Q146" i="4" s="1"/>
  <c r="P148" i="4"/>
  <c r="P146" i="4" s="1"/>
  <c r="O148" i="4"/>
  <c r="O146" i="4" s="1"/>
  <c r="N148" i="4"/>
  <c r="N146" i="4" s="1"/>
  <c r="M148" i="4"/>
  <c r="M146" i="4" s="1"/>
  <c r="L148" i="4"/>
  <c r="L146" i="4" s="1"/>
  <c r="K148" i="4"/>
  <c r="K146" i="4" s="1"/>
  <c r="J148" i="4"/>
  <c r="J146" i="4" s="1"/>
  <c r="I148" i="4"/>
  <c r="H148" i="4"/>
  <c r="H146" i="4" s="1"/>
  <c r="G148" i="4"/>
  <c r="G146" i="4" s="1"/>
  <c r="F148" i="4"/>
  <c r="F146" i="4" s="1"/>
  <c r="E148" i="4"/>
  <c r="E146" i="4" s="1"/>
  <c r="D148" i="4"/>
  <c r="D146" i="4" s="1"/>
  <c r="C148" i="4"/>
  <c r="C146" i="4" s="1"/>
  <c r="B148" i="4"/>
  <c r="B146" i="4" s="1"/>
  <c r="AE147" i="4"/>
  <c r="AD147" i="4"/>
  <c r="AC147" i="4"/>
  <c r="AB147" i="4"/>
  <c r="AA147" i="4"/>
  <c r="Z147" i="4"/>
  <c r="Y147" i="4"/>
  <c r="X147" i="4"/>
  <c r="W147" i="4"/>
  <c r="V147" i="4"/>
  <c r="U147" i="4"/>
  <c r="T147" i="4"/>
  <c r="S147" i="4"/>
  <c r="R147" i="4"/>
  <c r="Q147" i="4"/>
  <c r="P147" i="4"/>
  <c r="O147" i="4"/>
  <c r="N147" i="4"/>
  <c r="M147" i="4"/>
  <c r="L147" i="4"/>
  <c r="K147" i="4"/>
  <c r="J147" i="4"/>
  <c r="I147" i="4"/>
  <c r="H147" i="4"/>
  <c r="G147" i="4"/>
  <c r="F147" i="4"/>
  <c r="E147" i="4"/>
  <c r="D147" i="4"/>
  <c r="C147" i="4"/>
  <c r="B147" i="4"/>
  <c r="AF146" i="4"/>
  <c r="AD146" i="4"/>
  <c r="AF145" i="4"/>
  <c r="AE145" i="4"/>
  <c r="AD145" i="4"/>
  <c r="AC145" i="4"/>
  <c r="AB145" i="4"/>
  <c r="AA145" i="4"/>
  <c r="Z145" i="4"/>
  <c r="Y145" i="4"/>
  <c r="X145" i="4"/>
  <c r="W145" i="4"/>
  <c r="V145" i="4"/>
  <c r="U145" i="4"/>
  <c r="T145" i="4"/>
  <c r="S145" i="4"/>
  <c r="R145" i="4"/>
  <c r="Q145" i="4"/>
  <c r="P145" i="4"/>
  <c r="O145" i="4"/>
  <c r="N145" i="4"/>
  <c r="M145" i="4"/>
  <c r="L145" i="4"/>
  <c r="K145" i="4"/>
  <c r="J145" i="4"/>
  <c r="I145" i="4"/>
  <c r="H145" i="4"/>
  <c r="G145" i="4"/>
  <c r="F145" i="4"/>
  <c r="E145" i="4"/>
  <c r="D145" i="4"/>
  <c r="C145" i="4"/>
  <c r="B145" i="4"/>
  <c r="AG141" i="4"/>
  <c r="D141" i="5" s="1"/>
  <c r="AG140" i="4"/>
  <c r="D140" i="5" s="1"/>
  <c r="AG139" i="4"/>
  <c r="D139" i="5" s="1"/>
  <c r="AG138" i="4"/>
  <c r="D138" i="5" s="1"/>
  <c r="AG136" i="4"/>
  <c r="D136" i="5" s="1"/>
  <c r="AG135" i="4"/>
  <c r="D135" i="5" s="1"/>
  <c r="AG133" i="4"/>
  <c r="D133" i="5" s="1"/>
  <c r="AG132" i="4"/>
  <c r="D132" i="5" s="1"/>
  <c r="AG131" i="4"/>
  <c r="D131" i="5" s="1"/>
  <c r="AF130" i="4"/>
  <c r="AE130" i="4"/>
  <c r="AD130" i="4"/>
  <c r="AC130" i="4"/>
  <c r="AB130" i="4"/>
  <c r="AA130" i="4"/>
  <c r="Z130" i="4"/>
  <c r="Y130" i="4"/>
  <c r="X130" i="4"/>
  <c r="W130" i="4"/>
  <c r="V130" i="4"/>
  <c r="U130" i="4"/>
  <c r="T130" i="4"/>
  <c r="S130" i="4"/>
  <c r="R130" i="4"/>
  <c r="Q130" i="4"/>
  <c r="P130" i="4"/>
  <c r="O130" i="4"/>
  <c r="N130" i="4"/>
  <c r="M130" i="4"/>
  <c r="L130" i="4"/>
  <c r="K130" i="4"/>
  <c r="J130" i="4"/>
  <c r="I130" i="4"/>
  <c r="H130" i="4"/>
  <c r="G130" i="4"/>
  <c r="F130" i="4"/>
  <c r="E130" i="4"/>
  <c r="D130" i="4"/>
  <c r="C130" i="4"/>
  <c r="AG129" i="4"/>
  <c r="D129" i="5" s="1"/>
  <c r="AG128" i="4"/>
  <c r="D128" i="5" s="1"/>
  <c r="AG127" i="4"/>
  <c r="D127" i="5" s="1"/>
  <c r="AG126" i="4"/>
  <c r="D126" i="5" s="1"/>
  <c r="AG125" i="4"/>
  <c r="D125" i="5" s="1"/>
  <c r="AG124" i="4"/>
  <c r="D124" i="5" s="1"/>
  <c r="AG123" i="4"/>
  <c r="D123" i="5" s="1"/>
  <c r="AG122" i="4"/>
  <c r="D122" i="5" s="1"/>
  <c r="AG121" i="4"/>
  <c r="D121" i="5" s="1"/>
  <c r="AG120" i="4"/>
  <c r="D120" i="5" s="1"/>
  <c r="AG119" i="4"/>
  <c r="D119" i="5" s="1"/>
  <c r="AG118" i="4"/>
  <c r="D118" i="5" s="1"/>
  <c r="AG117" i="4"/>
  <c r="D117" i="5" s="1"/>
  <c r="AF116" i="4"/>
  <c r="AE116" i="4"/>
  <c r="AD116" i="4"/>
  <c r="AC116" i="4"/>
  <c r="AB116" i="4"/>
  <c r="AA116" i="4"/>
  <c r="Z116" i="4"/>
  <c r="Y116" i="4"/>
  <c r="X116" i="4"/>
  <c r="W116" i="4"/>
  <c r="V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E116" i="4"/>
  <c r="D116" i="4"/>
  <c r="C116" i="4"/>
  <c r="AG115" i="4"/>
  <c r="D115" i="5" s="1"/>
  <c r="AG114" i="4"/>
  <c r="D114" i="5" s="1"/>
  <c r="AG113" i="4"/>
  <c r="D113" i="5" s="1"/>
  <c r="AG112" i="4"/>
  <c r="D112" i="5" s="1"/>
  <c r="AG111" i="4"/>
  <c r="D111" i="5" s="1"/>
  <c r="AG110" i="4"/>
  <c r="D110" i="5" s="1"/>
  <c r="AG109" i="4"/>
  <c r="D109" i="5" s="1"/>
  <c r="AG108" i="4"/>
  <c r="D108" i="5" s="1"/>
  <c r="AG107" i="4"/>
  <c r="D107" i="5" s="1"/>
  <c r="AG106" i="4"/>
  <c r="D106" i="5" s="1"/>
  <c r="AG105" i="4"/>
  <c r="D105" i="5" s="1"/>
  <c r="AG104" i="4"/>
  <c r="D104" i="5" s="1"/>
  <c r="AG103" i="4"/>
  <c r="D103" i="5" s="1"/>
  <c r="AG102" i="4"/>
  <c r="D102" i="5" s="1"/>
  <c r="AG101" i="4"/>
  <c r="D101" i="5" s="1"/>
  <c r="AF100" i="4"/>
  <c r="AE100" i="4"/>
  <c r="AD100" i="4"/>
  <c r="AC100" i="4"/>
  <c r="AB100" i="4"/>
  <c r="AA100" i="4"/>
  <c r="Z100" i="4"/>
  <c r="Y100" i="4"/>
  <c r="X100" i="4"/>
  <c r="W100" i="4"/>
  <c r="V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E100" i="4"/>
  <c r="D100" i="4"/>
  <c r="C100" i="4"/>
  <c r="B100" i="4"/>
  <c r="AG99" i="4"/>
  <c r="D99" i="5" s="1"/>
  <c r="AG98" i="4"/>
  <c r="D98" i="5" s="1"/>
  <c r="AG97" i="4"/>
  <c r="D97" i="5" s="1"/>
  <c r="AG96" i="4"/>
  <c r="D96" i="5" s="1"/>
  <c r="AG95" i="4"/>
  <c r="D95" i="5" s="1"/>
  <c r="AF94" i="4"/>
  <c r="AE94" i="4"/>
  <c r="AD94" i="4"/>
  <c r="AC94" i="4"/>
  <c r="AC93" i="4" s="1"/>
  <c r="AB94" i="4"/>
  <c r="AA94" i="4"/>
  <c r="Z94" i="4"/>
  <c r="Y94" i="4"/>
  <c r="X94" i="4"/>
  <c r="X93" i="4" s="1"/>
  <c r="W94" i="4"/>
  <c r="V94" i="4"/>
  <c r="U94" i="4"/>
  <c r="T94" i="4"/>
  <c r="S94" i="4"/>
  <c r="R94" i="4"/>
  <c r="Q94" i="4"/>
  <c r="P94" i="4"/>
  <c r="O94" i="4"/>
  <c r="N94" i="4"/>
  <c r="N93" i="4" s="1"/>
  <c r="M94" i="4"/>
  <c r="L94" i="4"/>
  <c r="K94" i="4"/>
  <c r="J94" i="4"/>
  <c r="I94" i="4"/>
  <c r="H94" i="4"/>
  <c r="G94" i="4"/>
  <c r="F94" i="4"/>
  <c r="F93" i="4" s="1"/>
  <c r="E94" i="4"/>
  <c r="E93" i="4" s="1"/>
  <c r="D94" i="4"/>
  <c r="C94" i="4"/>
  <c r="B94" i="4"/>
  <c r="AG92" i="4"/>
  <c r="D92" i="5" s="1"/>
  <c r="AG91" i="4"/>
  <c r="D91" i="5" s="1"/>
  <c r="AG90" i="4"/>
  <c r="D90" i="5" s="1"/>
  <c r="AG89" i="4"/>
  <c r="D89" i="5" s="1"/>
  <c r="AG88" i="4"/>
  <c r="D88" i="5" s="1"/>
  <c r="AF87" i="4"/>
  <c r="AE87" i="4"/>
  <c r="AD87" i="4"/>
  <c r="AC87" i="4"/>
  <c r="AB87" i="4"/>
  <c r="AA87" i="4"/>
  <c r="Z87" i="4"/>
  <c r="Y87" i="4"/>
  <c r="X87" i="4"/>
  <c r="W87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E87" i="4"/>
  <c r="D87" i="4"/>
  <c r="C87" i="4"/>
  <c r="B87" i="4"/>
  <c r="AG86" i="4"/>
  <c r="D86" i="5" s="1"/>
  <c r="AG85" i="4"/>
  <c r="D85" i="5" s="1"/>
  <c r="AF84" i="4"/>
  <c r="AE84" i="4"/>
  <c r="AD84" i="4"/>
  <c r="AC84" i="4"/>
  <c r="AB84" i="4"/>
  <c r="AA84" i="4"/>
  <c r="Z84" i="4"/>
  <c r="Y84" i="4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E84" i="4"/>
  <c r="D84" i="4"/>
  <c r="C84" i="4"/>
  <c r="B84" i="4"/>
  <c r="AF82" i="4"/>
  <c r="AF83" i="4" s="1"/>
  <c r="AE82" i="4"/>
  <c r="AE83" i="4" s="1"/>
  <c r="AE81" i="4" s="1"/>
  <c r="AD82" i="4"/>
  <c r="AD83" i="4" s="1"/>
  <c r="AB83" i="4"/>
  <c r="AB81" i="4" s="1"/>
  <c r="AA82" i="4"/>
  <c r="AA83" i="4" s="1"/>
  <c r="AA81" i="4" s="1"/>
  <c r="Z82" i="4"/>
  <c r="Z83" i="4" s="1"/>
  <c r="Y82" i="4"/>
  <c r="Y83" i="4" s="1"/>
  <c r="Y81" i="4" s="1"/>
  <c r="X82" i="4"/>
  <c r="X83" i="4" s="1"/>
  <c r="W82" i="4"/>
  <c r="W83" i="4" s="1"/>
  <c r="W81" i="4" s="1"/>
  <c r="V83" i="4"/>
  <c r="T82" i="4"/>
  <c r="T83" i="4" s="1"/>
  <c r="T81" i="4" s="1"/>
  <c r="S82" i="4"/>
  <c r="S83" i="4" s="1"/>
  <c r="S81" i="4" s="1"/>
  <c r="R82" i="4"/>
  <c r="R83" i="4" s="1"/>
  <c r="Q82" i="4"/>
  <c r="Q83" i="4" s="1"/>
  <c r="Q81" i="4" s="1"/>
  <c r="P82" i="4"/>
  <c r="P83" i="4" s="1"/>
  <c r="O83" i="4"/>
  <c r="O81" i="4" s="1"/>
  <c r="N83" i="4"/>
  <c r="M82" i="4"/>
  <c r="L82" i="4"/>
  <c r="L83" i="4" s="1"/>
  <c r="L81" i="4" s="1"/>
  <c r="K82" i="4"/>
  <c r="K83" i="4" s="1"/>
  <c r="K81" i="4" s="1"/>
  <c r="J82" i="4"/>
  <c r="J83" i="4" s="1"/>
  <c r="I82" i="4"/>
  <c r="I83" i="4" s="1"/>
  <c r="I81" i="4" s="1"/>
  <c r="H83" i="4"/>
  <c r="G83" i="4"/>
  <c r="G81" i="4" s="1"/>
  <c r="F82" i="4"/>
  <c r="F83" i="4" s="1"/>
  <c r="E82" i="4"/>
  <c r="D82" i="4"/>
  <c r="D83" i="4" s="1"/>
  <c r="D81" i="4" s="1"/>
  <c r="C82" i="4"/>
  <c r="C83" i="4" s="1"/>
  <c r="C81" i="4" s="1"/>
  <c r="B82" i="4"/>
  <c r="B83" i="4" s="1"/>
  <c r="AF80" i="4"/>
  <c r="AC80" i="4"/>
  <c r="AC79" i="4" s="1"/>
  <c r="AC78" i="4" s="1"/>
  <c r="AB80" i="4"/>
  <c r="AB79" i="4" s="1"/>
  <c r="AB78" i="4" s="1"/>
  <c r="AA80" i="4"/>
  <c r="AA79" i="4" s="1"/>
  <c r="AA78" i="4" s="1"/>
  <c r="Y80" i="4"/>
  <c r="Y79" i="4" s="1"/>
  <c r="Y78" i="4" s="1"/>
  <c r="V80" i="4"/>
  <c r="V79" i="4" s="1"/>
  <c r="V78" i="4" s="1"/>
  <c r="U80" i="4"/>
  <c r="U79" i="4" s="1"/>
  <c r="U78" i="4" s="1"/>
  <c r="T80" i="4"/>
  <c r="T79" i="4" s="1"/>
  <c r="T78" i="4" s="1"/>
  <c r="S80" i="4"/>
  <c r="S79" i="4" s="1"/>
  <c r="S78" i="4" s="1"/>
  <c r="R80" i="4"/>
  <c r="R79" i="4" s="1"/>
  <c r="R78" i="4" s="1"/>
  <c r="O80" i="4"/>
  <c r="O79" i="4" s="1"/>
  <c r="O78" i="4" s="1"/>
  <c r="N80" i="4"/>
  <c r="N79" i="4" s="1"/>
  <c r="N78" i="4" s="1"/>
  <c r="M80" i="4"/>
  <c r="M79" i="4" s="1"/>
  <c r="M78" i="4" s="1"/>
  <c r="H80" i="4"/>
  <c r="H79" i="4" s="1"/>
  <c r="H78" i="4" s="1"/>
  <c r="G80" i="4"/>
  <c r="G79" i="4" s="1"/>
  <c r="G78" i="4" s="1"/>
  <c r="F80" i="4"/>
  <c r="F79" i="4" s="1"/>
  <c r="F78" i="4" s="1"/>
  <c r="AF79" i="4"/>
  <c r="AF78" i="4" s="1"/>
  <c r="AE79" i="4"/>
  <c r="AE78" i="4" s="1"/>
  <c r="AD79" i="4"/>
  <c r="AD78" i="4" s="1"/>
  <c r="Z79" i="4"/>
  <c r="Z78" i="4" s="1"/>
  <c r="X79" i="4"/>
  <c r="X78" i="4" s="1"/>
  <c r="W79" i="4"/>
  <c r="W78" i="4" s="1"/>
  <c r="Q79" i="4"/>
  <c r="Q78" i="4" s="1"/>
  <c r="P79" i="4"/>
  <c r="P78" i="4" s="1"/>
  <c r="L79" i="4"/>
  <c r="L78" i="4" s="1"/>
  <c r="K79" i="4"/>
  <c r="K78" i="4" s="1"/>
  <c r="J79" i="4"/>
  <c r="J78" i="4" s="1"/>
  <c r="I79" i="4"/>
  <c r="I78" i="4" s="1"/>
  <c r="E79" i="4"/>
  <c r="E78" i="4" s="1"/>
  <c r="D79" i="4"/>
  <c r="D78" i="4" s="1"/>
  <c r="C79" i="4"/>
  <c r="C78" i="4" s="1"/>
  <c r="B79" i="4"/>
  <c r="B78" i="4" s="1"/>
  <c r="AG77" i="4"/>
  <c r="D77" i="5" s="1"/>
  <c r="AG76" i="4"/>
  <c r="D76" i="5" s="1"/>
  <c r="AG75" i="4"/>
  <c r="D75" i="5" s="1"/>
  <c r="AG74" i="4"/>
  <c r="D74" i="5" s="1"/>
  <c r="AG73" i="4"/>
  <c r="D73" i="5" s="1"/>
  <c r="AG72" i="4"/>
  <c r="D72" i="5" s="1"/>
  <c r="AG71" i="4"/>
  <c r="D71" i="5" s="1"/>
  <c r="AG70" i="4"/>
  <c r="D70" i="5" s="1"/>
  <c r="AG69" i="4"/>
  <c r="D69" i="5" s="1"/>
  <c r="AG68" i="4"/>
  <c r="D68" i="5" s="1"/>
  <c r="AG67" i="4"/>
  <c r="D67" i="5" s="1"/>
  <c r="AG66" i="4"/>
  <c r="D66" i="5" s="1"/>
  <c r="AG65" i="4"/>
  <c r="D65" i="5" s="1"/>
  <c r="AG64" i="4"/>
  <c r="D64" i="5" s="1"/>
  <c r="AG63" i="4"/>
  <c r="D63" i="5" s="1"/>
  <c r="AG62" i="4"/>
  <c r="D62" i="5" s="1"/>
  <c r="AG61" i="4"/>
  <c r="D61" i="5" s="1"/>
  <c r="AG60" i="4"/>
  <c r="D60" i="5" s="1"/>
  <c r="AG59" i="4"/>
  <c r="D59" i="5" s="1"/>
  <c r="AG58" i="4"/>
  <c r="D58" i="5" s="1"/>
  <c r="AG57" i="4"/>
  <c r="D57" i="5" s="1"/>
  <c r="AG56" i="4"/>
  <c r="D56" i="5" s="1"/>
  <c r="AG55" i="4"/>
  <c r="D55" i="5" s="1"/>
  <c r="AG54" i="4"/>
  <c r="D54" i="5" s="1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E53" i="4"/>
  <c r="D53" i="4"/>
  <c r="C53" i="4"/>
  <c r="B53" i="4"/>
  <c r="AG52" i="4"/>
  <c r="D52" i="5" s="1"/>
  <c r="AG51" i="4"/>
  <c r="D51" i="5" s="1"/>
  <c r="AG50" i="4"/>
  <c r="D50" i="5" s="1"/>
  <c r="AG49" i="4"/>
  <c r="D49" i="5" s="1"/>
  <c r="AG48" i="4"/>
  <c r="D48" i="5" s="1"/>
  <c r="AG47" i="4"/>
  <c r="D47" i="5" s="1"/>
  <c r="AG46" i="4"/>
  <c r="D46" i="5" s="1"/>
  <c r="AG45" i="4"/>
  <c r="D45" i="5" s="1"/>
  <c r="AG44" i="4"/>
  <c r="D44" i="5" s="1"/>
  <c r="AG43" i="4"/>
  <c r="D43" i="5" s="1"/>
  <c r="AG42" i="4"/>
  <c r="D42" i="5" s="1"/>
  <c r="AG41" i="4"/>
  <c r="D41" i="5" s="1"/>
  <c r="AG40" i="4"/>
  <c r="D40" i="5" s="1"/>
  <c r="AG39" i="4"/>
  <c r="D39" i="5" s="1"/>
  <c r="AG38" i="4"/>
  <c r="D38" i="5" s="1"/>
  <c r="AG37" i="4"/>
  <c r="D37" i="5" s="1"/>
  <c r="AG36" i="4"/>
  <c r="D36" i="5" s="1"/>
  <c r="AG35" i="4"/>
  <c r="D35" i="5" s="1"/>
  <c r="AG34" i="4"/>
  <c r="D34" i="5" s="1"/>
  <c r="AG33" i="4"/>
  <c r="D33" i="5" s="1"/>
  <c r="AG32" i="4"/>
  <c r="D32" i="5" s="1"/>
  <c r="AG31" i="4"/>
  <c r="D31" i="5" s="1"/>
  <c r="AG30" i="4"/>
  <c r="D30" i="5" s="1"/>
  <c r="AG29" i="4"/>
  <c r="D29" i="5" s="1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AG27" i="4"/>
  <c r="D27" i="5" s="1"/>
  <c r="AG26" i="4"/>
  <c r="D26" i="5" s="1"/>
  <c r="AG25" i="4"/>
  <c r="D25" i="5" s="1"/>
  <c r="AG24" i="4"/>
  <c r="D24" i="5" s="1"/>
  <c r="AG23" i="4"/>
  <c r="D23" i="5" s="1"/>
  <c r="AG22" i="4"/>
  <c r="D22" i="5" s="1"/>
  <c r="AG21" i="4"/>
  <c r="D21" i="5" s="1"/>
  <c r="AG20" i="4"/>
  <c r="D20" i="5" s="1"/>
  <c r="AG19" i="4"/>
  <c r="D19" i="5" s="1"/>
  <c r="AG18" i="4"/>
  <c r="D18" i="5" s="1"/>
  <c r="AG17" i="4"/>
  <c r="D17" i="5" s="1"/>
  <c r="AG16" i="4"/>
  <c r="D16" i="5" s="1"/>
  <c r="AG15" i="4"/>
  <c r="D15" i="5" s="1"/>
  <c r="AG14" i="4"/>
  <c r="D14" i="5" s="1"/>
  <c r="AG13" i="4"/>
  <c r="D13" i="5" s="1"/>
  <c r="AG12" i="4"/>
  <c r="D12" i="5" s="1"/>
  <c r="AG11" i="4"/>
  <c r="D11" i="5" s="1"/>
  <c r="AG10" i="4"/>
  <c r="D10" i="5" s="1"/>
  <c r="AG9" i="4"/>
  <c r="D9" i="5" s="1"/>
  <c r="AG8" i="4"/>
  <c r="D8" i="5" s="1"/>
  <c r="AG7" i="4"/>
  <c r="D7" i="5" s="1"/>
  <c r="AG6" i="4"/>
  <c r="D6" i="5" s="1"/>
  <c r="AG5" i="4"/>
  <c r="D5" i="5" s="1"/>
  <c r="AG4" i="4"/>
  <c r="D4" i="5" s="1"/>
  <c r="AF3" i="4"/>
  <c r="AE3" i="4"/>
  <c r="AD3" i="4"/>
  <c r="AC3" i="4"/>
  <c r="AB3" i="4"/>
  <c r="AA3" i="4"/>
  <c r="Z3" i="4"/>
  <c r="Y3" i="4"/>
  <c r="X3" i="4"/>
  <c r="W3" i="4"/>
  <c r="V3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G3" i="4"/>
  <c r="F3" i="4"/>
  <c r="E3" i="4"/>
  <c r="D3" i="4"/>
  <c r="C3" i="4"/>
  <c r="B3" i="4"/>
  <c r="AC2" i="4"/>
  <c r="C2" i="4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C134" i="3"/>
  <c r="AC142" i="3"/>
  <c r="AC143" i="3"/>
  <c r="AC129" i="3"/>
  <c r="AB142" i="3"/>
  <c r="AB143" i="3"/>
  <c r="AB129" i="3"/>
  <c r="AA143" i="3"/>
  <c r="AA134" i="3"/>
  <c r="AA142" i="3"/>
  <c r="AA137" i="3"/>
  <c r="AA129" i="3"/>
  <c r="N129" i="3"/>
  <c r="J129" i="3"/>
  <c r="I129" i="3"/>
  <c r="Z100" i="3"/>
  <c r="Y130" i="3"/>
  <c r="AD93" i="4" l="1"/>
  <c r="S144" i="4"/>
  <c r="M93" i="4"/>
  <c r="C144" i="4"/>
  <c r="P93" i="4"/>
  <c r="AF93" i="4"/>
  <c r="R93" i="4"/>
  <c r="H93" i="4"/>
  <c r="U93" i="4"/>
  <c r="K144" i="4"/>
  <c r="B93" i="4"/>
  <c r="V93" i="4"/>
  <c r="V144" i="4"/>
  <c r="H144" i="4"/>
  <c r="P144" i="4"/>
  <c r="Q93" i="4"/>
  <c r="X144" i="4"/>
  <c r="N144" i="4"/>
  <c r="AF144" i="4"/>
  <c r="F144" i="4"/>
  <c r="I93" i="4"/>
  <c r="J93" i="4"/>
  <c r="AD144" i="4"/>
  <c r="J144" i="4"/>
  <c r="R144" i="4"/>
  <c r="E144" i="4"/>
  <c r="M144" i="4"/>
  <c r="U144" i="4"/>
  <c r="AH81" i="6"/>
  <c r="E81" i="5"/>
  <c r="AH208" i="6"/>
  <c r="E93" i="5"/>
  <c r="AH84" i="6"/>
  <c r="E83" i="5"/>
  <c r="AH93" i="6"/>
  <c r="AH144" i="6"/>
  <c r="AH130" i="6"/>
  <c r="AC144" i="4"/>
  <c r="Z144" i="4"/>
  <c r="Z93" i="4"/>
  <c r="Y144" i="4"/>
  <c r="Y93" i="4"/>
  <c r="Q144" i="4"/>
  <c r="D144" i="4"/>
  <c r="T144" i="4"/>
  <c r="AG176" i="4"/>
  <c r="D177" i="5" s="1"/>
  <c r="AG224" i="4"/>
  <c r="D224" i="5" s="1"/>
  <c r="AA93" i="4"/>
  <c r="O93" i="4"/>
  <c r="AG53" i="4"/>
  <c r="D53" i="5" s="1"/>
  <c r="K93" i="4"/>
  <c r="W93" i="4"/>
  <c r="AG82" i="4"/>
  <c r="D82" i="5" s="1"/>
  <c r="R81" i="4"/>
  <c r="D93" i="4"/>
  <c r="L93" i="4"/>
  <c r="T93" i="4"/>
  <c r="AB93" i="4"/>
  <c r="G144" i="4"/>
  <c r="O144" i="4"/>
  <c r="W144" i="4"/>
  <c r="AE144" i="4"/>
  <c r="AG84" i="4"/>
  <c r="D84" i="5" s="1"/>
  <c r="S93" i="4"/>
  <c r="G93" i="4"/>
  <c r="AE93" i="4"/>
  <c r="L144" i="4"/>
  <c r="AB144" i="4"/>
  <c r="AG148" i="4"/>
  <c r="AG100" i="4"/>
  <c r="D100" i="5" s="1"/>
  <c r="AG147" i="4"/>
  <c r="D147" i="5" s="1"/>
  <c r="AG116" i="4"/>
  <c r="D116" i="5" s="1"/>
  <c r="C93" i="4"/>
  <c r="AG87" i="4"/>
  <c r="D87" i="5" s="1"/>
  <c r="AG28" i="4"/>
  <c r="D28" i="5" s="1"/>
  <c r="AG3" i="4"/>
  <c r="D3" i="5" s="1"/>
  <c r="AG181" i="4"/>
  <c r="D182" i="5" s="1"/>
  <c r="AG208" i="4"/>
  <c r="D209" i="5" s="1"/>
  <c r="AG173" i="4"/>
  <c r="D173" i="5" s="1"/>
  <c r="AG145" i="4"/>
  <c r="D145" i="5" s="1"/>
  <c r="B144" i="4"/>
  <c r="AG167" i="4"/>
  <c r="D167" i="5" s="1"/>
  <c r="AG158" i="4"/>
  <c r="D158" i="5" s="1"/>
  <c r="B130" i="4"/>
  <c r="AG130" i="4" s="1"/>
  <c r="D130" i="5" s="1"/>
  <c r="AG223" i="4"/>
  <c r="AG79" i="4"/>
  <c r="D79" i="5" s="1"/>
  <c r="AG78" i="4"/>
  <c r="D78" i="5" s="1"/>
  <c r="F81" i="4"/>
  <c r="N81" i="4"/>
  <c r="V81" i="4"/>
  <c r="AD81" i="4"/>
  <c r="E83" i="4"/>
  <c r="E81" i="4" s="1"/>
  <c r="M83" i="4"/>
  <c r="M81" i="4" s="1"/>
  <c r="U83" i="4"/>
  <c r="U81" i="4" s="1"/>
  <c r="AC83" i="4"/>
  <c r="AC81" i="4" s="1"/>
  <c r="AG214" i="4"/>
  <c r="D215" i="5" s="1"/>
  <c r="H81" i="4"/>
  <c r="P81" i="4"/>
  <c r="X81" i="4"/>
  <c r="AF81" i="4"/>
  <c r="AG80" i="4"/>
  <c r="D80" i="5" s="1"/>
  <c r="B81" i="4"/>
  <c r="J81" i="4"/>
  <c r="Z81" i="4"/>
  <c r="AG94" i="4"/>
  <c r="D94" i="5" s="1"/>
  <c r="I146" i="4"/>
  <c r="I144" i="4" s="1"/>
  <c r="M176" i="3"/>
  <c r="AG146" i="4" l="1"/>
  <c r="D146" i="5" s="1"/>
  <c r="D148" i="5"/>
  <c r="AH87" i="4"/>
  <c r="AG93" i="4"/>
  <c r="AG144" i="4"/>
  <c r="D144" i="5" s="1"/>
  <c r="AG83" i="4"/>
  <c r="AG81" i="4"/>
  <c r="I181" i="3"/>
  <c r="AH130" i="4" l="1"/>
  <c r="D93" i="5"/>
  <c r="AH81" i="4"/>
  <c r="D81" i="5"/>
  <c r="AH84" i="4"/>
  <c r="D83" i="5"/>
  <c r="AH93" i="4"/>
  <c r="AH208" i="4"/>
  <c r="AH144" i="4"/>
  <c r="B143" i="3"/>
  <c r="B142" i="3"/>
  <c r="B129" i="3"/>
  <c r="C143" i="3" l="1"/>
  <c r="C129" i="3" l="1"/>
  <c r="C116" i="3" s="1"/>
  <c r="AG227" i="3"/>
  <c r="C227" i="5" s="1"/>
  <c r="AG226" i="3"/>
  <c r="C226" i="5" s="1"/>
  <c r="AG225" i="3"/>
  <c r="C225" i="5" s="1"/>
  <c r="AF224" i="3"/>
  <c r="AE224" i="3"/>
  <c r="AD224" i="3"/>
  <c r="AG222" i="3"/>
  <c r="AG221" i="3"/>
  <c r="C216" i="5" s="1"/>
  <c r="AG220" i="3"/>
  <c r="C219" i="5" s="1"/>
  <c r="AG218" i="3"/>
  <c r="AG217" i="3"/>
  <c r="AG216" i="3"/>
  <c r="AG215" i="3"/>
  <c r="C217" i="5" s="1"/>
  <c r="AF214" i="3"/>
  <c r="AF223" i="3" s="1"/>
  <c r="AE214" i="3"/>
  <c r="AE223" i="3" s="1"/>
  <c r="AD214" i="3"/>
  <c r="AD223" i="3" s="1"/>
  <c r="AC214" i="3"/>
  <c r="AC223" i="3" s="1"/>
  <c r="AB214" i="3"/>
  <c r="AB223" i="3" s="1"/>
  <c r="AA214" i="3"/>
  <c r="AA223" i="3" s="1"/>
  <c r="Z214" i="3"/>
  <c r="Z223" i="3" s="1"/>
  <c r="Y214" i="3"/>
  <c r="Y223" i="3" s="1"/>
  <c r="X214" i="3"/>
  <c r="X223" i="3" s="1"/>
  <c r="W214" i="3"/>
  <c r="W223" i="3" s="1"/>
  <c r="V214" i="3"/>
  <c r="V223" i="3" s="1"/>
  <c r="U214" i="3"/>
  <c r="U223" i="3" s="1"/>
  <c r="T214" i="3"/>
  <c r="T223" i="3" s="1"/>
  <c r="S214" i="3"/>
  <c r="S223" i="3" s="1"/>
  <c r="R214" i="3"/>
  <c r="R223" i="3" s="1"/>
  <c r="Q214" i="3"/>
  <c r="Q223" i="3" s="1"/>
  <c r="P214" i="3"/>
  <c r="P223" i="3" s="1"/>
  <c r="O214" i="3"/>
  <c r="O223" i="3" s="1"/>
  <c r="N214" i="3"/>
  <c r="N223" i="3" s="1"/>
  <c r="M214" i="3"/>
  <c r="M223" i="3" s="1"/>
  <c r="L214" i="3"/>
  <c r="L223" i="3" s="1"/>
  <c r="K214" i="3"/>
  <c r="K223" i="3" s="1"/>
  <c r="J214" i="3"/>
  <c r="J223" i="3" s="1"/>
  <c r="I214" i="3"/>
  <c r="I223" i="3" s="1"/>
  <c r="H214" i="3"/>
  <c r="H223" i="3" s="1"/>
  <c r="G214" i="3"/>
  <c r="G223" i="3" s="1"/>
  <c r="F214" i="3"/>
  <c r="F223" i="3" s="1"/>
  <c r="E214" i="3"/>
  <c r="E223" i="3" s="1"/>
  <c r="D214" i="3"/>
  <c r="D223" i="3" s="1"/>
  <c r="C214" i="3"/>
  <c r="C223" i="3" s="1"/>
  <c r="B214" i="3"/>
  <c r="B223" i="3" s="1"/>
  <c r="AG213" i="3"/>
  <c r="C214" i="5" s="1"/>
  <c r="AG212" i="3"/>
  <c r="C213" i="5" s="1"/>
  <c r="AG211" i="3"/>
  <c r="C212" i="5" s="1"/>
  <c r="AG210" i="3"/>
  <c r="C211" i="5" s="1"/>
  <c r="AG209" i="3"/>
  <c r="C210" i="5" s="1"/>
  <c r="AF208" i="3"/>
  <c r="AE208" i="3"/>
  <c r="AD208" i="3"/>
  <c r="AC208" i="3"/>
  <c r="AB208" i="3"/>
  <c r="AA208" i="3"/>
  <c r="Z208" i="3"/>
  <c r="Y208" i="3"/>
  <c r="X208" i="3"/>
  <c r="W208" i="3"/>
  <c r="V208" i="3"/>
  <c r="U208" i="3"/>
  <c r="T208" i="3"/>
  <c r="S208" i="3"/>
  <c r="R208" i="3"/>
  <c r="Q208" i="3"/>
  <c r="P208" i="3"/>
  <c r="O208" i="3"/>
  <c r="N208" i="3"/>
  <c r="M208" i="3"/>
  <c r="L208" i="3"/>
  <c r="K208" i="3"/>
  <c r="J208" i="3"/>
  <c r="I208" i="3"/>
  <c r="H208" i="3"/>
  <c r="G208" i="3"/>
  <c r="F208" i="3"/>
  <c r="E208" i="3"/>
  <c r="D208" i="3"/>
  <c r="C208" i="3"/>
  <c r="B208" i="3"/>
  <c r="AG207" i="3"/>
  <c r="C208" i="5" s="1"/>
  <c r="AG206" i="3"/>
  <c r="C207" i="5" s="1"/>
  <c r="AG205" i="3"/>
  <c r="C206" i="5" s="1"/>
  <c r="AG204" i="3"/>
  <c r="C205" i="5" s="1"/>
  <c r="AG203" i="3"/>
  <c r="C204" i="5" s="1"/>
  <c r="AG202" i="3"/>
  <c r="C203" i="5" s="1"/>
  <c r="AG201" i="3"/>
  <c r="C202" i="5" s="1"/>
  <c r="AG200" i="3"/>
  <c r="C201" i="5" s="1"/>
  <c r="AG199" i="3"/>
  <c r="C200" i="5" s="1"/>
  <c r="AG198" i="3"/>
  <c r="C199" i="5" s="1"/>
  <c r="AG197" i="3"/>
  <c r="C198" i="5" s="1"/>
  <c r="AG196" i="3"/>
  <c r="C197" i="5" s="1"/>
  <c r="AG195" i="3"/>
  <c r="C196" i="5" s="1"/>
  <c r="AG194" i="3"/>
  <c r="C195" i="5" s="1"/>
  <c r="AG193" i="3"/>
  <c r="C194" i="5" s="1"/>
  <c r="AG192" i="3"/>
  <c r="C193" i="5" s="1"/>
  <c r="AG191" i="3"/>
  <c r="C192" i="5" s="1"/>
  <c r="AG190" i="3"/>
  <c r="C191" i="5" s="1"/>
  <c r="AG189" i="3"/>
  <c r="C190" i="5" s="1"/>
  <c r="AG188" i="3"/>
  <c r="C189" i="5" s="1"/>
  <c r="AG187" i="3"/>
  <c r="C188" i="5" s="1"/>
  <c r="AG186" i="3"/>
  <c r="C187" i="5" s="1"/>
  <c r="AG185" i="3"/>
  <c r="C186" i="5" s="1"/>
  <c r="AG184" i="3"/>
  <c r="C185" i="5" s="1"/>
  <c r="AG183" i="3"/>
  <c r="C184" i="5" s="1"/>
  <c r="AG182" i="3"/>
  <c r="C183" i="5" s="1"/>
  <c r="AF181" i="3"/>
  <c r="AE181" i="3"/>
  <c r="AD181" i="3"/>
  <c r="AC181" i="3"/>
  <c r="AB181" i="3"/>
  <c r="AA181" i="3"/>
  <c r="Z181" i="3"/>
  <c r="Y181" i="3"/>
  <c r="X181" i="3"/>
  <c r="W181" i="3"/>
  <c r="V181" i="3"/>
  <c r="U181" i="3"/>
  <c r="T181" i="3"/>
  <c r="S181" i="3"/>
  <c r="R181" i="3"/>
  <c r="Q181" i="3"/>
  <c r="P181" i="3"/>
  <c r="O181" i="3"/>
  <c r="N181" i="3"/>
  <c r="M181" i="3"/>
  <c r="L181" i="3"/>
  <c r="K181" i="3"/>
  <c r="J181" i="3"/>
  <c r="H181" i="3"/>
  <c r="G181" i="3"/>
  <c r="F181" i="3"/>
  <c r="E181" i="3"/>
  <c r="D181" i="3"/>
  <c r="C181" i="3"/>
  <c r="B181" i="3"/>
  <c r="AG180" i="3"/>
  <c r="C181" i="5" s="1"/>
  <c r="AG179" i="3"/>
  <c r="C180" i="5" s="1"/>
  <c r="AG178" i="3"/>
  <c r="C179" i="5" s="1"/>
  <c r="AG177" i="3"/>
  <c r="C178" i="5" s="1"/>
  <c r="AF176" i="3"/>
  <c r="AE176" i="3"/>
  <c r="AD176" i="3"/>
  <c r="AC176" i="3"/>
  <c r="AB176" i="3"/>
  <c r="AA176" i="3"/>
  <c r="Z176" i="3"/>
  <c r="Y176" i="3"/>
  <c r="X176" i="3"/>
  <c r="W176" i="3"/>
  <c r="V176" i="3"/>
  <c r="U176" i="3"/>
  <c r="T176" i="3"/>
  <c r="S176" i="3"/>
  <c r="R176" i="3"/>
  <c r="Q176" i="3"/>
  <c r="P176" i="3"/>
  <c r="O176" i="3"/>
  <c r="N176" i="3"/>
  <c r="L176" i="3"/>
  <c r="K176" i="3"/>
  <c r="J176" i="3"/>
  <c r="I176" i="3"/>
  <c r="H176" i="3"/>
  <c r="G176" i="3"/>
  <c r="F176" i="3"/>
  <c r="E176" i="3"/>
  <c r="D176" i="3"/>
  <c r="C176" i="3"/>
  <c r="B176" i="3"/>
  <c r="AG175" i="3"/>
  <c r="C175" i="5" s="1"/>
  <c r="AG174" i="3"/>
  <c r="C174" i="5" s="1"/>
  <c r="AF173" i="3"/>
  <c r="AE173" i="3"/>
  <c r="AD173" i="3"/>
  <c r="AC173" i="3"/>
  <c r="AB173" i="3"/>
  <c r="AA173" i="3"/>
  <c r="Z173" i="3"/>
  <c r="Y173" i="3"/>
  <c r="X173" i="3"/>
  <c r="W173" i="3"/>
  <c r="V173" i="3"/>
  <c r="U173" i="3"/>
  <c r="T173" i="3"/>
  <c r="S173" i="3"/>
  <c r="R173" i="3"/>
  <c r="Q173" i="3"/>
  <c r="P173" i="3"/>
  <c r="O173" i="3"/>
  <c r="N173" i="3"/>
  <c r="M173" i="3"/>
  <c r="L173" i="3"/>
  <c r="K173" i="3"/>
  <c r="J173" i="3"/>
  <c r="I173" i="3"/>
  <c r="H173" i="3"/>
  <c r="G173" i="3"/>
  <c r="F173" i="3"/>
  <c r="E173" i="3"/>
  <c r="D173" i="3"/>
  <c r="C173" i="3"/>
  <c r="B173" i="3"/>
  <c r="AG172" i="3"/>
  <c r="C172" i="5" s="1"/>
  <c r="AG171" i="3"/>
  <c r="C171" i="5" s="1"/>
  <c r="AG170" i="3"/>
  <c r="C170" i="5" s="1"/>
  <c r="AG169" i="3"/>
  <c r="C169" i="5" s="1"/>
  <c r="AG168" i="3"/>
  <c r="C168" i="5" s="1"/>
  <c r="AF167" i="3"/>
  <c r="AE167" i="3"/>
  <c r="AD167" i="3"/>
  <c r="AC167" i="3"/>
  <c r="AB167" i="3"/>
  <c r="AA167" i="3"/>
  <c r="Z167" i="3"/>
  <c r="Y167" i="3"/>
  <c r="X167" i="3"/>
  <c r="W167" i="3"/>
  <c r="V167" i="3"/>
  <c r="U167" i="3"/>
  <c r="T167" i="3"/>
  <c r="S167" i="3"/>
  <c r="R167" i="3"/>
  <c r="Q167" i="3"/>
  <c r="P167" i="3"/>
  <c r="O167" i="3"/>
  <c r="N167" i="3"/>
  <c r="M167" i="3"/>
  <c r="L167" i="3"/>
  <c r="K167" i="3"/>
  <c r="J167" i="3"/>
  <c r="I167" i="3"/>
  <c r="H167" i="3"/>
  <c r="G167" i="3"/>
  <c r="F167" i="3"/>
  <c r="E167" i="3"/>
  <c r="D167" i="3"/>
  <c r="C167" i="3"/>
  <c r="B167" i="3"/>
  <c r="AG166" i="3"/>
  <c r="C166" i="5" s="1"/>
  <c r="AG165" i="3"/>
  <c r="C165" i="5" s="1"/>
  <c r="AG164" i="3"/>
  <c r="C164" i="5" s="1"/>
  <c r="AG163" i="3"/>
  <c r="C163" i="5" s="1"/>
  <c r="AG162" i="3"/>
  <c r="C162" i="5" s="1"/>
  <c r="AG161" i="3"/>
  <c r="C161" i="5" s="1"/>
  <c r="AG160" i="3"/>
  <c r="C160" i="5" s="1"/>
  <c r="AG159" i="3"/>
  <c r="C159" i="5" s="1"/>
  <c r="AF158" i="3"/>
  <c r="AE158" i="3"/>
  <c r="AD158" i="3"/>
  <c r="AC158" i="3"/>
  <c r="AB158" i="3"/>
  <c r="AA158" i="3"/>
  <c r="Z158" i="3"/>
  <c r="Y158" i="3"/>
  <c r="X158" i="3"/>
  <c r="W158" i="3"/>
  <c r="V158" i="3"/>
  <c r="U158" i="3"/>
  <c r="T158" i="3"/>
  <c r="S158" i="3"/>
  <c r="R158" i="3"/>
  <c r="Q158" i="3"/>
  <c r="P158" i="3"/>
  <c r="O158" i="3"/>
  <c r="N158" i="3"/>
  <c r="M158" i="3"/>
  <c r="L158" i="3"/>
  <c r="K158" i="3"/>
  <c r="J158" i="3"/>
  <c r="I158" i="3"/>
  <c r="H158" i="3"/>
  <c r="G158" i="3"/>
  <c r="F158" i="3"/>
  <c r="E158" i="3"/>
  <c r="D158" i="3"/>
  <c r="C158" i="3"/>
  <c r="B158" i="3"/>
  <c r="AG157" i="3"/>
  <c r="C157" i="5" s="1"/>
  <c r="AG156" i="3"/>
  <c r="C156" i="5" s="1"/>
  <c r="AG155" i="3"/>
  <c r="C155" i="5" s="1"/>
  <c r="AG154" i="3"/>
  <c r="C154" i="5" s="1"/>
  <c r="AG153" i="3"/>
  <c r="C153" i="5" s="1"/>
  <c r="AG152" i="3"/>
  <c r="C152" i="5" s="1"/>
  <c r="AG151" i="3"/>
  <c r="C151" i="5" s="1"/>
  <c r="AG150" i="3"/>
  <c r="C150" i="5" s="1"/>
  <c r="AG149" i="3"/>
  <c r="C149" i="5" s="1"/>
  <c r="AF148" i="3"/>
  <c r="AF146" i="3" s="1"/>
  <c r="AE148" i="3"/>
  <c r="AE146" i="3" s="1"/>
  <c r="AD148" i="3"/>
  <c r="AD146" i="3" s="1"/>
  <c r="AC148" i="3"/>
  <c r="AC146" i="3" s="1"/>
  <c r="AB148" i="3"/>
  <c r="AB146" i="3" s="1"/>
  <c r="AA148" i="3"/>
  <c r="AA146" i="3" s="1"/>
  <c r="Z148" i="3"/>
  <c r="Z146" i="3" s="1"/>
  <c r="Y148" i="3"/>
  <c r="Y146" i="3" s="1"/>
  <c r="X148" i="3"/>
  <c r="X146" i="3" s="1"/>
  <c r="W148" i="3"/>
  <c r="W146" i="3" s="1"/>
  <c r="V148" i="3"/>
  <c r="V146" i="3" s="1"/>
  <c r="U148" i="3"/>
  <c r="U146" i="3" s="1"/>
  <c r="T148" i="3"/>
  <c r="T146" i="3" s="1"/>
  <c r="S148" i="3"/>
  <c r="S146" i="3" s="1"/>
  <c r="R148" i="3"/>
  <c r="R146" i="3" s="1"/>
  <c r="Q148" i="3"/>
  <c r="Q146" i="3" s="1"/>
  <c r="P148" i="3"/>
  <c r="P146" i="3" s="1"/>
  <c r="O148" i="3"/>
  <c r="O146" i="3" s="1"/>
  <c r="N148" i="3"/>
  <c r="N146" i="3" s="1"/>
  <c r="M148" i="3"/>
  <c r="M146" i="3" s="1"/>
  <c r="L148" i="3"/>
  <c r="L146" i="3" s="1"/>
  <c r="K148" i="3"/>
  <c r="K146" i="3" s="1"/>
  <c r="J148" i="3"/>
  <c r="J146" i="3" s="1"/>
  <c r="I148" i="3"/>
  <c r="I146" i="3" s="1"/>
  <c r="H148" i="3"/>
  <c r="H146" i="3" s="1"/>
  <c r="G148" i="3"/>
  <c r="G146" i="3" s="1"/>
  <c r="F148" i="3"/>
  <c r="F146" i="3" s="1"/>
  <c r="E148" i="3"/>
  <c r="E146" i="3" s="1"/>
  <c r="D148" i="3"/>
  <c r="D146" i="3" s="1"/>
  <c r="C148" i="3"/>
  <c r="C146" i="3" s="1"/>
  <c r="B148" i="3"/>
  <c r="B146" i="3" s="1"/>
  <c r="AE147" i="3"/>
  <c r="AD147" i="3"/>
  <c r="AC147" i="3"/>
  <c r="AB147" i="3"/>
  <c r="AA147" i="3"/>
  <c r="Z147" i="3"/>
  <c r="Y147" i="3"/>
  <c r="X147" i="3"/>
  <c r="W147" i="3"/>
  <c r="V147" i="3"/>
  <c r="U147" i="3"/>
  <c r="T147" i="3"/>
  <c r="S147" i="3"/>
  <c r="R147" i="3"/>
  <c r="Q147" i="3"/>
  <c r="P147" i="3"/>
  <c r="O147" i="3"/>
  <c r="N147" i="3"/>
  <c r="M147" i="3"/>
  <c r="L147" i="3"/>
  <c r="K147" i="3"/>
  <c r="J147" i="3"/>
  <c r="I147" i="3"/>
  <c r="H147" i="3"/>
  <c r="G147" i="3"/>
  <c r="F147" i="3"/>
  <c r="E147" i="3"/>
  <c r="D147" i="3"/>
  <c r="C147" i="3"/>
  <c r="B147" i="3"/>
  <c r="AF145" i="3"/>
  <c r="AE145" i="3"/>
  <c r="AD145" i="3"/>
  <c r="AC145" i="3"/>
  <c r="AB145" i="3"/>
  <c r="AA145" i="3"/>
  <c r="Z145" i="3"/>
  <c r="Y145" i="3"/>
  <c r="X145" i="3"/>
  <c r="W145" i="3"/>
  <c r="V145" i="3"/>
  <c r="U145" i="3"/>
  <c r="T145" i="3"/>
  <c r="S145" i="3"/>
  <c r="R145" i="3"/>
  <c r="Q145" i="3"/>
  <c r="P145" i="3"/>
  <c r="O145" i="3"/>
  <c r="N145" i="3"/>
  <c r="M145" i="3"/>
  <c r="L145" i="3"/>
  <c r="K145" i="3"/>
  <c r="J145" i="3"/>
  <c r="I145" i="3"/>
  <c r="H145" i="3"/>
  <c r="G145" i="3"/>
  <c r="F145" i="3"/>
  <c r="E145" i="3"/>
  <c r="D145" i="3"/>
  <c r="C145" i="3"/>
  <c r="B145" i="3"/>
  <c r="AG143" i="3"/>
  <c r="C143" i="5" s="1"/>
  <c r="AG142" i="3"/>
  <c r="C142" i="5" s="1"/>
  <c r="AG141" i="3"/>
  <c r="C141" i="5" s="1"/>
  <c r="AG140" i="3"/>
  <c r="C140" i="5" s="1"/>
  <c r="AG139" i="3"/>
  <c r="C139" i="5" s="1"/>
  <c r="AG138" i="3"/>
  <c r="C138" i="5" s="1"/>
  <c r="AG137" i="3"/>
  <c r="C137" i="5" s="1"/>
  <c r="AG136" i="3"/>
  <c r="C136" i="5" s="1"/>
  <c r="AG135" i="3"/>
  <c r="C135" i="5" s="1"/>
  <c r="AG134" i="3"/>
  <c r="C134" i="5" s="1"/>
  <c r="AG133" i="3"/>
  <c r="C133" i="5" s="1"/>
  <c r="AG132" i="3"/>
  <c r="C132" i="5" s="1"/>
  <c r="AG131" i="3"/>
  <c r="C131" i="5" s="1"/>
  <c r="AF130" i="3"/>
  <c r="AE130" i="3"/>
  <c r="AD130" i="3"/>
  <c r="AC130" i="3"/>
  <c r="AB130" i="3"/>
  <c r="AA130" i="3"/>
  <c r="Z130" i="3"/>
  <c r="X130" i="3"/>
  <c r="W130" i="3"/>
  <c r="V130" i="3"/>
  <c r="U130" i="3"/>
  <c r="T130" i="3"/>
  <c r="S130" i="3"/>
  <c r="R130" i="3"/>
  <c r="Q130" i="3"/>
  <c r="P130" i="3"/>
  <c r="O130" i="3"/>
  <c r="N130" i="3"/>
  <c r="M130" i="3"/>
  <c r="L130" i="3"/>
  <c r="K130" i="3"/>
  <c r="J130" i="3"/>
  <c r="I130" i="3"/>
  <c r="H130" i="3"/>
  <c r="G130" i="3"/>
  <c r="F130" i="3"/>
  <c r="E130" i="3"/>
  <c r="D130" i="3"/>
  <c r="C130" i="3"/>
  <c r="B130" i="3"/>
  <c r="AG129" i="3"/>
  <c r="C129" i="5" s="1"/>
  <c r="AG128" i="3"/>
  <c r="C128" i="5" s="1"/>
  <c r="AG127" i="3"/>
  <c r="C127" i="5" s="1"/>
  <c r="AG126" i="3"/>
  <c r="C126" i="5" s="1"/>
  <c r="AG125" i="3"/>
  <c r="C125" i="5" s="1"/>
  <c r="AG124" i="3"/>
  <c r="C124" i="5" s="1"/>
  <c r="AG123" i="3"/>
  <c r="C123" i="5" s="1"/>
  <c r="AG122" i="3"/>
  <c r="C122" i="5" s="1"/>
  <c r="AG121" i="3"/>
  <c r="C121" i="5" s="1"/>
  <c r="AG120" i="3"/>
  <c r="C120" i="5" s="1"/>
  <c r="AG119" i="3"/>
  <c r="C119" i="5" s="1"/>
  <c r="AG118" i="3"/>
  <c r="C118" i="5" s="1"/>
  <c r="AG117" i="3"/>
  <c r="C117" i="5" s="1"/>
  <c r="AF116" i="3"/>
  <c r="AE116" i="3"/>
  <c r="AD116" i="3"/>
  <c r="AC116" i="3"/>
  <c r="AB116" i="3"/>
  <c r="AA116" i="3"/>
  <c r="Z116" i="3"/>
  <c r="Y116" i="3"/>
  <c r="X116" i="3"/>
  <c r="W116" i="3"/>
  <c r="V116" i="3"/>
  <c r="U116" i="3"/>
  <c r="T116" i="3"/>
  <c r="S116" i="3"/>
  <c r="R116" i="3"/>
  <c r="Q116" i="3"/>
  <c r="P116" i="3"/>
  <c r="O116" i="3"/>
  <c r="N116" i="3"/>
  <c r="M116" i="3"/>
  <c r="L116" i="3"/>
  <c r="K116" i="3"/>
  <c r="J116" i="3"/>
  <c r="I116" i="3"/>
  <c r="H116" i="3"/>
  <c r="G116" i="3"/>
  <c r="F116" i="3"/>
  <c r="E116" i="3"/>
  <c r="D116" i="3"/>
  <c r="B116" i="3"/>
  <c r="AG115" i="3"/>
  <c r="C115" i="5" s="1"/>
  <c r="AG114" i="3"/>
  <c r="C114" i="5" s="1"/>
  <c r="AG113" i="3"/>
  <c r="C113" i="5" s="1"/>
  <c r="AG112" i="3"/>
  <c r="C112" i="5" s="1"/>
  <c r="AG111" i="3"/>
  <c r="C111" i="5" s="1"/>
  <c r="AG110" i="3"/>
  <c r="C110" i="5" s="1"/>
  <c r="AG109" i="3"/>
  <c r="C109" i="5" s="1"/>
  <c r="AG108" i="3"/>
  <c r="C108" i="5" s="1"/>
  <c r="AG107" i="3"/>
  <c r="C107" i="5" s="1"/>
  <c r="AG106" i="3"/>
  <c r="C106" i="5" s="1"/>
  <c r="AG105" i="3"/>
  <c r="C105" i="5" s="1"/>
  <c r="AG104" i="3"/>
  <c r="C104" i="5" s="1"/>
  <c r="AG103" i="3"/>
  <c r="C103" i="5" s="1"/>
  <c r="AG102" i="3"/>
  <c r="C102" i="5" s="1"/>
  <c r="AG101" i="3"/>
  <c r="C101" i="5" s="1"/>
  <c r="AF100" i="3"/>
  <c r="AE100" i="3"/>
  <c r="AD100" i="3"/>
  <c r="AC100" i="3"/>
  <c r="AB100" i="3"/>
  <c r="AA100" i="3"/>
  <c r="Y100" i="3"/>
  <c r="X100" i="3"/>
  <c r="W100" i="3"/>
  <c r="V100" i="3"/>
  <c r="U100" i="3"/>
  <c r="T100" i="3"/>
  <c r="T93" i="3" s="1"/>
  <c r="S100" i="3"/>
  <c r="R100" i="3"/>
  <c r="Q100" i="3"/>
  <c r="P100" i="3"/>
  <c r="O100" i="3"/>
  <c r="N100" i="3"/>
  <c r="M100" i="3"/>
  <c r="L100" i="3"/>
  <c r="K100" i="3"/>
  <c r="J100" i="3"/>
  <c r="I100" i="3"/>
  <c r="H100" i="3"/>
  <c r="G100" i="3"/>
  <c r="F100" i="3"/>
  <c r="E100" i="3"/>
  <c r="D100" i="3"/>
  <c r="C100" i="3"/>
  <c r="B100" i="3"/>
  <c r="AG99" i="3"/>
  <c r="C99" i="5" s="1"/>
  <c r="AG98" i="3"/>
  <c r="C98" i="5" s="1"/>
  <c r="AG97" i="3"/>
  <c r="C97" i="5" s="1"/>
  <c r="AG96" i="3"/>
  <c r="C96" i="5" s="1"/>
  <c r="AG95" i="3"/>
  <c r="C95" i="5" s="1"/>
  <c r="AF94" i="3"/>
  <c r="AE94" i="3"/>
  <c r="AD94" i="3"/>
  <c r="AC94" i="3"/>
  <c r="AB94" i="3"/>
  <c r="AA94" i="3"/>
  <c r="Z94" i="3"/>
  <c r="Y94" i="3"/>
  <c r="X94" i="3"/>
  <c r="W94" i="3"/>
  <c r="V94" i="3"/>
  <c r="U94" i="3"/>
  <c r="T94" i="3"/>
  <c r="S94" i="3"/>
  <c r="R94" i="3"/>
  <c r="Q94" i="3"/>
  <c r="P94" i="3"/>
  <c r="O94" i="3"/>
  <c r="N94" i="3"/>
  <c r="M94" i="3"/>
  <c r="L94" i="3"/>
  <c r="K94" i="3"/>
  <c r="J94" i="3"/>
  <c r="I94" i="3"/>
  <c r="H94" i="3"/>
  <c r="G94" i="3"/>
  <c r="F94" i="3"/>
  <c r="E94" i="3"/>
  <c r="D94" i="3"/>
  <c r="C94" i="3"/>
  <c r="B94" i="3"/>
  <c r="Y93" i="3"/>
  <c r="AG92" i="3"/>
  <c r="C92" i="5" s="1"/>
  <c r="AG91" i="3"/>
  <c r="C91" i="5" s="1"/>
  <c r="AG90" i="3"/>
  <c r="C90" i="5" s="1"/>
  <c r="AG89" i="3"/>
  <c r="C89" i="5" s="1"/>
  <c r="AG88" i="3"/>
  <c r="C88" i="5" s="1"/>
  <c r="AF87" i="3"/>
  <c r="AE87" i="3"/>
  <c r="AD87" i="3"/>
  <c r="AC87" i="3"/>
  <c r="AB87" i="3"/>
  <c r="AA87" i="3"/>
  <c r="Z87" i="3"/>
  <c r="Y87" i="3"/>
  <c r="X87" i="3"/>
  <c r="W87" i="3"/>
  <c r="V87" i="3"/>
  <c r="U87" i="3"/>
  <c r="T87" i="3"/>
  <c r="S87" i="3"/>
  <c r="R87" i="3"/>
  <c r="Q87" i="3"/>
  <c r="P87" i="3"/>
  <c r="O87" i="3"/>
  <c r="N87" i="3"/>
  <c r="M87" i="3"/>
  <c r="L87" i="3"/>
  <c r="K87" i="3"/>
  <c r="J87" i="3"/>
  <c r="I87" i="3"/>
  <c r="H87" i="3"/>
  <c r="G87" i="3"/>
  <c r="F87" i="3"/>
  <c r="E87" i="3"/>
  <c r="D87" i="3"/>
  <c r="C87" i="3"/>
  <c r="B87" i="3"/>
  <c r="AG86" i="3"/>
  <c r="C86" i="5" s="1"/>
  <c r="AG85" i="3"/>
  <c r="C85" i="5" s="1"/>
  <c r="AF84" i="3"/>
  <c r="AE84" i="3"/>
  <c r="AD84" i="3"/>
  <c r="AC84" i="3"/>
  <c r="AB84" i="3"/>
  <c r="AA84" i="3"/>
  <c r="Z84" i="3"/>
  <c r="Y84" i="3"/>
  <c r="X84" i="3"/>
  <c r="W84" i="3"/>
  <c r="V84" i="3"/>
  <c r="U84" i="3"/>
  <c r="T84" i="3"/>
  <c r="S84" i="3"/>
  <c r="R84" i="3"/>
  <c r="Q84" i="3"/>
  <c r="P84" i="3"/>
  <c r="O84" i="3"/>
  <c r="N84" i="3"/>
  <c r="M84" i="3"/>
  <c r="L84" i="3"/>
  <c r="K84" i="3"/>
  <c r="J84" i="3"/>
  <c r="I84" i="3"/>
  <c r="H84" i="3"/>
  <c r="G84" i="3"/>
  <c r="F84" i="3"/>
  <c r="E84" i="3"/>
  <c r="D84" i="3"/>
  <c r="C84" i="3"/>
  <c r="B84" i="3"/>
  <c r="AF82" i="3"/>
  <c r="AF83" i="3" s="1"/>
  <c r="AF81" i="3" s="1"/>
  <c r="AE82" i="3"/>
  <c r="AE83" i="3" s="1"/>
  <c r="AD82" i="3"/>
  <c r="AD83" i="3" s="1"/>
  <c r="AD81" i="3" s="1"/>
  <c r="AC82" i="3"/>
  <c r="AB82" i="3"/>
  <c r="AB83" i="3" s="1"/>
  <c r="AA82" i="3"/>
  <c r="AA83" i="3" s="1"/>
  <c r="AA81" i="3" s="1"/>
  <c r="Z82" i="3"/>
  <c r="Z83" i="3" s="1"/>
  <c r="Z81" i="3" s="1"/>
  <c r="Y82" i="3"/>
  <c r="Y83" i="3" s="1"/>
  <c r="X82" i="3"/>
  <c r="X83" i="3" s="1"/>
  <c r="X81" i="3" s="1"/>
  <c r="W82" i="3"/>
  <c r="W83" i="3" s="1"/>
  <c r="V82" i="3"/>
  <c r="V83" i="3" s="1"/>
  <c r="V81" i="3" s="1"/>
  <c r="U82" i="3"/>
  <c r="U83" i="3" s="1"/>
  <c r="T82" i="3"/>
  <c r="T83" i="3" s="1"/>
  <c r="S82" i="3"/>
  <c r="S83" i="3" s="1"/>
  <c r="S81" i="3" s="1"/>
  <c r="R82" i="3"/>
  <c r="R83" i="3" s="1"/>
  <c r="R81" i="3" s="1"/>
  <c r="Q82" i="3"/>
  <c r="Q83" i="3" s="1"/>
  <c r="P82" i="3"/>
  <c r="P83" i="3" s="1"/>
  <c r="P81" i="3" s="1"/>
  <c r="O82" i="3"/>
  <c r="O83" i="3" s="1"/>
  <c r="N82" i="3"/>
  <c r="N83" i="3" s="1"/>
  <c r="N81" i="3" s="1"/>
  <c r="M82" i="3"/>
  <c r="L82" i="3"/>
  <c r="L83" i="3" s="1"/>
  <c r="K82" i="3"/>
  <c r="K83" i="3" s="1"/>
  <c r="K81" i="3" s="1"/>
  <c r="J82" i="3"/>
  <c r="J83" i="3" s="1"/>
  <c r="J81" i="3" s="1"/>
  <c r="I82" i="3"/>
  <c r="I83" i="3" s="1"/>
  <c r="H82" i="3"/>
  <c r="H83" i="3" s="1"/>
  <c r="H81" i="3" s="1"/>
  <c r="G82" i="3"/>
  <c r="G83" i="3" s="1"/>
  <c r="F82" i="3"/>
  <c r="F83" i="3" s="1"/>
  <c r="F81" i="3" s="1"/>
  <c r="E82" i="3"/>
  <c r="D82" i="3"/>
  <c r="D83" i="3" s="1"/>
  <c r="C82" i="3"/>
  <c r="C83" i="3" s="1"/>
  <c r="C81" i="3" s="1"/>
  <c r="B82" i="3"/>
  <c r="B83" i="3" s="1"/>
  <c r="AF80" i="3"/>
  <c r="AF79" i="3" s="1"/>
  <c r="AF78" i="3" s="1"/>
  <c r="AC80" i="3"/>
  <c r="AC79" i="3" s="1"/>
  <c r="AC78" i="3" s="1"/>
  <c r="AB80" i="3"/>
  <c r="AB79" i="3" s="1"/>
  <c r="AB78" i="3" s="1"/>
  <c r="AA80" i="3"/>
  <c r="AA79" i="3" s="1"/>
  <c r="AA78" i="3" s="1"/>
  <c r="Y80" i="3"/>
  <c r="Y79" i="3" s="1"/>
  <c r="Y78" i="3" s="1"/>
  <c r="V80" i="3"/>
  <c r="V79" i="3" s="1"/>
  <c r="V78" i="3" s="1"/>
  <c r="U80" i="3"/>
  <c r="U79" i="3" s="1"/>
  <c r="U78" i="3" s="1"/>
  <c r="T80" i="3"/>
  <c r="T79" i="3" s="1"/>
  <c r="T78" i="3" s="1"/>
  <c r="S80" i="3"/>
  <c r="S79" i="3" s="1"/>
  <c r="S78" i="3" s="1"/>
  <c r="R80" i="3"/>
  <c r="R79" i="3" s="1"/>
  <c r="R78" i="3" s="1"/>
  <c r="O80" i="3"/>
  <c r="O79" i="3" s="1"/>
  <c r="O78" i="3" s="1"/>
  <c r="N80" i="3"/>
  <c r="N79" i="3" s="1"/>
  <c r="N78" i="3" s="1"/>
  <c r="M80" i="3"/>
  <c r="M79" i="3" s="1"/>
  <c r="M78" i="3" s="1"/>
  <c r="H80" i="3"/>
  <c r="H79" i="3" s="1"/>
  <c r="H78" i="3" s="1"/>
  <c r="G80" i="3"/>
  <c r="G79" i="3" s="1"/>
  <c r="F80" i="3"/>
  <c r="AE79" i="3"/>
  <c r="AE78" i="3" s="1"/>
  <c r="AD79" i="3"/>
  <c r="AD78" i="3" s="1"/>
  <c r="Z79" i="3"/>
  <c r="Z78" i="3" s="1"/>
  <c r="X79" i="3"/>
  <c r="X78" i="3" s="1"/>
  <c r="W79" i="3"/>
  <c r="W78" i="3" s="1"/>
  <c r="Q79" i="3"/>
  <c r="Q78" i="3" s="1"/>
  <c r="P79" i="3"/>
  <c r="P78" i="3" s="1"/>
  <c r="L79" i="3"/>
  <c r="L78" i="3" s="1"/>
  <c r="K79" i="3"/>
  <c r="K78" i="3" s="1"/>
  <c r="J79" i="3"/>
  <c r="J78" i="3" s="1"/>
  <c r="I79" i="3"/>
  <c r="I78" i="3" s="1"/>
  <c r="E79" i="3"/>
  <c r="E78" i="3" s="1"/>
  <c r="D79" i="3"/>
  <c r="D78" i="3" s="1"/>
  <c r="C79" i="3"/>
  <c r="C78" i="3" s="1"/>
  <c r="B79" i="3"/>
  <c r="B78" i="3" s="1"/>
  <c r="AG77" i="3"/>
  <c r="C77" i="5" s="1"/>
  <c r="AG76" i="3"/>
  <c r="C76" i="5" s="1"/>
  <c r="AG75" i="3"/>
  <c r="C75" i="5" s="1"/>
  <c r="AG74" i="3"/>
  <c r="C74" i="5" s="1"/>
  <c r="AG73" i="3"/>
  <c r="C73" i="5" s="1"/>
  <c r="AG72" i="3"/>
  <c r="C72" i="5" s="1"/>
  <c r="AG71" i="3"/>
  <c r="C71" i="5" s="1"/>
  <c r="AG70" i="3"/>
  <c r="C70" i="5" s="1"/>
  <c r="AG69" i="3"/>
  <c r="C69" i="5" s="1"/>
  <c r="AG68" i="3"/>
  <c r="C68" i="5" s="1"/>
  <c r="AG67" i="3"/>
  <c r="C67" i="5" s="1"/>
  <c r="AG66" i="3"/>
  <c r="C66" i="5" s="1"/>
  <c r="AG65" i="3"/>
  <c r="C65" i="5" s="1"/>
  <c r="AG64" i="3"/>
  <c r="C64" i="5" s="1"/>
  <c r="AG63" i="3"/>
  <c r="C63" i="5" s="1"/>
  <c r="AG62" i="3"/>
  <c r="C62" i="5" s="1"/>
  <c r="AG61" i="3"/>
  <c r="C61" i="5" s="1"/>
  <c r="AG60" i="3"/>
  <c r="C60" i="5" s="1"/>
  <c r="AG59" i="3"/>
  <c r="C59" i="5" s="1"/>
  <c r="AG58" i="3"/>
  <c r="C58" i="5" s="1"/>
  <c r="AG57" i="3"/>
  <c r="C57" i="5" s="1"/>
  <c r="AG56" i="3"/>
  <c r="C56" i="5" s="1"/>
  <c r="AG55" i="3"/>
  <c r="C55" i="5" s="1"/>
  <c r="AG54" i="3"/>
  <c r="C54" i="5" s="1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AG52" i="3"/>
  <c r="C52" i="5" s="1"/>
  <c r="AG51" i="3"/>
  <c r="C51" i="5" s="1"/>
  <c r="AG50" i="3"/>
  <c r="C50" i="5" s="1"/>
  <c r="AG49" i="3"/>
  <c r="C49" i="5" s="1"/>
  <c r="AG48" i="3"/>
  <c r="C48" i="5" s="1"/>
  <c r="AG47" i="3"/>
  <c r="C47" i="5" s="1"/>
  <c r="AG46" i="3"/>
  <c r="C46" i="5" s="1"/>
  <c r="AG45" i="3"/>
  <c r="C45" i="5" s="1"/>
  <c r="AG44" i="3"/>
  <c r="C44" i="5" s="1"/>
  <c r="AG43" i="3"/>
  <c r="C43" i="5" s="1"/>
  <c r="AG42" i="3"/>
  <c r="C42" i="5" s="1"/>
  <c r="AG41" i="3"/>
  <c r="C41" i="5" s="1"/>
  <c r="AG40" i="3"/>
  <c r="C40" i="5" s="1"/>
  <c r="AG39" i="3"/>
  <c r="C39" i="5" s="1"/>
  <c r="AG38" i="3"/>
  <c r="C38" i="5" s="1"/>
  <c r="AG37" i="3"/>
  <c r="C37" i="5" s="1"/>
  <c r="AG36" i="3"/>
  <c r="C36" i="5" s="1"/>
  <c r="AG35" i="3"/>
  <c r="C35" i="5" s="1"/>
  <c r="AG34" i="3"/>
  <c r="C34" i="5" s="1"/>
  <c r="AG33" i="3"/>
  <c r="C33" i="5" s="1"/>
  <c r="AG32" i="3"/>
  <c r="C32" i="5" s="1"/>
  <c r="AG31" i="3"/>
  <c r="C31" i="5" s="1"/>
  <c r="AG30" i="3"/>
  <c r="C30" i="5" s="1"/>
  <c r="AG29" i="3"/>
  <c r="C29" i="5" s="1"/>
  <c r="AF28" i="3"/>
  <c r="AE28" i="3"/>
  <c r="AD28" i="3"/>
  <c r="AC28" i="3"/>
  <c r="AB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C28" i="3"/>
  <c r="B28" i="3"/>
  <c r="AG27" i="3"/>
  <c r="C27" i="5" s="1"/>
  <c r="AG26" i="3"/>
  <c r="C26" i="5" s="1"/>
  <c r="AG25" i="3"/>
  <c r="C25" i="5" s="1"/>
  <c r="AG24" i="3"/>
  <c r="C24" i="5" s="1"/>
  <c r="AG23" i="3"/>
  <c r="C23" i="5" s="1"/>
  <c r="AG22" i="3"/>
  <c r="C22" i="5" s="1"/>
  <c r="AG21" i="3"/>
  <c r="C21" i="5" s="1"/>
  <c r="AG20" i="3"/>
  <c r="C20" i="5" s="1"/>
  <c r="AG19" i="3"/>
  <c r="C19" i="5" s="1"/>
  <c r="AG18" i="3"/>
  <c r="C18" i="5" s="1"/>
  <c r="AG17" i="3"/>
  <c r="C17" i="5" s="1"/>
  <c r="AG16" i="3"/>
  <c r="C16" i="5" s="1"/>
  <c r="AG15" i="3"/>
  <c r="C15" i="5" s="1"/>
  <c r="AG14" i="3"/>
  <c r="C14" i="5" s="1"/>
  <c r="AG13" i="3"/>
  <c r="C13" i="5" s="1"/>
  <c r="AG12" i="3"/>
  <c r="C12" i="5" s="1"/>
  <c r="AG11" i="3"/>
  <c r="C11" i="5" s="1"/>
  <c r="AG10" i="3"/>
  <c r="C10" i="5" s="1"/>
  <c r="AG9" i="3"/>
  <c r="C9" i="5" s="1"/>
  <c r="AG8" i="3"/>
  <c r="C8" i="5" s="1"/>
  <c r="AG7" i="3"/>
  <c r="C7" i="5" s="1"/>
  <c r="AG6" i="3"/>
  <c r="C6" i="5" s="1"/>
  <c r="AG5" i="3"/>
  <c r="C5" i="5" s="1"/>
  <c r="AG4" i="3"/>
  <c r="C4" i="5" s="1"/>
  <c r="AF3" i="3"/>
  <c r="AE3" i="3"/>
  <c r="AD3" i="3"/>
  <c r="AC3" i="3"/>
  <c r="AB3" i="3"/>
  <c r="AA3" i="3"/>
  <c r="Z3" i="3"/>
  <c r="Y3" i="3"/>
  <c r="X3" i="3"/>
  <c r="W3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C3" i="3"/>
  <c r="B3" i="3"/>
  <c r="AC2" i="3"/>
  <c r="C2" i="3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E144" i="3" l="1"/>
  <c r="E144" i="3"/>
  <c r="B144" i="3"/>
  <c r="R144" i="3"/>
  <c r="Z144" i="3"/>
  <c r="F144" i="3"/>
  <c r="N144" i="3"/>
  <c r="V144" i="3"/>
  <c r="K144" i="3"/>
  <c r="G144" i="3"/>
  <c r="O144" i="3"/>
  <c r="W144" i="3"/>
  <c r="Y144" i="3"/>
  <c r="S144" i="3"/>
  <c r="AE93" i="3"/>
  <c r="AD144" i="3"/>
  <c r="AA144" i="3"/>
  <c r="C144" i="3"/>
  <c r="G93" i="3"/>
  <c r="O93" i="3"/>
  <c r="W93" i="3"/>
  <c r="J144" i="3"/>
  <c r="AB93" i="3"/>
  <c r="M93" i="3"/>
  <c r="U93" i="3"/>
  <c r="AC93" i="3"/>
  <c r="I93" i="3"/>
  <c r="I144" i="3"/>
  <c r="Q144" i="3"/>
  <c r="D93" i="3"/>
  <c r="AF93" i="3"/>
  <c r="M144" i="3"/>
  <c r="H144" i="3"/>
  <c r="X144" i="3"/>
  <c r="S93" i="3"/>
  <c r="X93" i="3"/>
  <c r="P144" i="3"/>
  <c r="AF144" i="3"/>
  <c r="AC144" i="3"/>
  <c r="AG158" i="3"/>
  <c r="C158" i="5" s="1"/>
  <c r="AG224" i="3"/>
  <c r="C224" i="5" s="1"/>
  <c r="Q93" i="3"/>
  <c r="U144" i="3"/>
  <c r="AC83" i="3"/>
  <c r="AC81" i="3" s="1"/>
  <c r="L144" i="3"/>
  <c r="AB144" i="3"/>
  <c r="R93" i="3"/>
  <c r="Z93" i="3"/>
  <c r="V93" i="3"/>
  <c r="AD93" i="3"/>
  <c r="U81" i="3"/>
  <c r="AA93" i="3"/>
  <c r="P93" i="3"/>
  <c r="N93" i="3"/>
  <c r="M83" i="3"/>
  <c r="M81" i="3" s="1"/>
  <c r="L93" i="3"/>
  <c r="K93" i="3"/>
  <c r="J93" i="3"/>
  <c r="AG148" i="3"/>
  <c r="AG147" i="3"/>
  <c r="C147" i="5" s="1"/>
  <c r="H93" i="3"/>
  <c r="F93" i="3"/>
  <c r="AG80" i="3"/>
  <c r="C80" i="5" s="1"/>
  <c r="F79" i="3"/>
  <c r="F78" i="3" s="1"/>
  <c r="E93" i="3"/>
  <c r="AG176" i="3"/>
  <c r="C177" i="5" s="1"/>
  <c r="D144" i="3"/>
  <c r="AG167" i="3"/>
  <c r="C167" i="5" s="1"/>
  <c r="AG130" i="3"/>
  <c r="C130" i="5" s="1"/>
  <c r="AG87" i="3"/>
  <c r="C87" i="5" s="1"/>
  <c r="AG181" i="3"/>
  <c r="C182" i="5" s="1"/>
  <c r="AG208" i="3"/>
  <c r="C209" i="5" s="1"/>
  <c r="AG173" i="3"/>
  <c r="C173" i="5" s="1"/>
  <c r="AG145" i="3"/>
  <c r="C145" i="5" s="1"/>
  <c r="AG116" i="3"/>
  <c r="C116" i="5" s="1"/>
  <c r="AG100" i="3"/>
  <c r="C100" i="5" s="1"/>
  <c r="C93" i="3"/>
  <c r="AG94" i="3"/>
  <c r="C94" i="5" s="1"/>
  <c r="AG84" i="3"/>
  <c r="C84" i="5" s="1"/>
  <c r="AG53" i="3"/>
  <c r="C53" i="5" s="1"/>
  <c r="AG28" i="3"/>
  <c r="C28" i="5" s="1"/>
  <c r="AG3" i="3"/>
  <c r="C3" i="5" s="1"/>
  <c r="AG223" i="3"/>
  <c r="B81" i="3"/>
  <c r="G78" i="3"/>
  <c r="G81" i="3"/>
  <c r="O81" i="3"/>
  <c r="W81" i="3"/>
  <c r="AE81" i="3"/>
  <c r="AG214" i="3"/>
  <c r="C215" i="5" s="1"/>
  <c r="I81" i="3"/>
  <c r="Q81" i="3"/>
  <c r="Y81" i="3"/>
  <c r="AG82" i="3"/>
  <c r="C82" i="5" s="1"/>
  <c r="E83" i="3"/>
  <c r="E81" i="3" s="1"/>
  <c r="D81" i="3"/>
  <c r="L81" i="3"/>
  <c r="T81" i="3"/>
  <c r="AB81" i="3"/>
  <c r="B93" i="3"/>
  <c r="AF143" i="2"/>
  <c r="AF142" i="2"/>
  <c r="AF137" i="2"/>
  <c r="AF129" i="2"/>
  <c r="AG146" i="3" l="1"/>
  <c r="C146" i="5" s="1"/>
  <c r="C148" i="5"/>
  <c r="AG144" i="3"/>
  <c r="C144" i="5" s="1"/>
  <c r="AH87" i="3"/>
  <c r="AG79" i="3"/>
  <c r="C79" i="5" s="1"/>
  <c r="AG78" i="3"/>
  <c r="C78" i="5" s="1"/>
  <c r="AG93" i="3"/>
  <c r="AG83" i="3"/>
  <c r="AG81" i="3"/>
  <c r="AE143" i="2"/>
  <c r="AE142" i="2"/>
  <c r="AE129" i="2"/>
  <c r="AD143" i="2"/>
  <c r="AD142" i="2"/>
  <c r="AD137" i="2"/>
  <c r="AD129" i="2"/>
  <c r="AH81" i="3" l="1"/>
  <c r="C81" i="5"/>
  <c r="AH84" i="3"/>
  <c r="C83" i="5"/>
  <c r="AH93" i="3"/>
  <c r="C93" i="5"/>
  <c r="AH130" i="3"/>
  <c r="AH208" i="3"/>
  <c r="AH144" i="3"/>
  <c r="AC143" i="2"/>
  <c r="AC142" i="2"/>
  <c r="AC129" i="2"/>
  <c r="AB143" i="2" l="1"/>
  <c r="AB142" i="2"/>
  <c r="AB137" i="2"/>
  <c r="AB129" i="2"/>
  <c r="AA143" i="2" l="1"/>
  <c r="AA142" i="2"/>
  <c r="AA137" i="2"/>
  <c r="AA129" i="2"/>
  <c r="Z143" i="2"/>
  <c r="Z142" i="2"/>
  <c r="Z139" i="2"/>
  <c r="Z137" i="2"/>
  <c r="Z129" i="2"/>
  <c r="Y143" i="2"/>
  <c r="Y142" i="2"/>
  <c r="Y139" i="2"/>
  <c r="Y134" i="2"/>
  <c r="Y129" i="2"/>
  <c r="X143" i="2" l="1"/>
  <c r="X142" i="2"/>
  <c r="X134" i="2"/>
  <c r="X137" i="2"/>
  <c r="X129" i="2"/>
  <c r="W143" i="2" l="1"/>
  <c r="W142" i="2"/>
  <c r="W139" i="2"/>
  <c r="W137" i="2"/>
  <c r="W129" i="2"/>
  <c r="V143" i="2" l="1"/>
  <c r="V142" i="2"/>
  <c r="V129" i="2" l="1"/>
  <c r="U143" i="2" l="1"/>
  <c r="U134" i="2"/>
  <c r="U142" i="2"/>
  <c r="U129" i="2"/>
  <c r="T134" i="2" l="1"/>
  <c r="T143" i="2"/>
  <c r="T142" i="2"/>
  <c r="T129" i="2"/>
  <c r="S143" i="2" l="1"/>
  <c r="S142" i="2"/>
  <c r="S139" i="2"/>
  <c r="S134" i="2"/>
  <c r="S129" i="2"/>
  <c r="R129" i="2" l="1"/>
  <c r="R143" i="2"/>
  <c r="R142" i="2"/>
  <c r="Q143" i="2"/>
  <c r="Q142" i="2"/>
  <c r="Q137" i="2"/>
  <c r="Q129" i="2"/>
  <c r="P143" i="2" l="1"/>
  <c r="P142" i="2"/>
  <c r="P129" i="2"/>
  <c r="O143" i="2" l="1"/>
  <c r="O142" i="2"/>
  <c r="O129" i="2"/>
  <c r="N143" i="2" l="1"/>
  <c r="N142" i="2"/>
  <c r="N139" i="2"/>
  <c r="N134" i="2"/>
  <c r="N137" i="2"/>
  <c r="N129" i="2"/>
  <c r="M143" i="2" l="1"/>
  <c r="M142" i="2"/>
  <c r="M129" i="2"/>
  <c r="L143" i="2" l="1"/>
  <c r="L142" i="2"/>
  <c r="L129" i="2"/>
  <c r="K143" i="2" l="1"/>
  <c r="K142" i="2"/>
  <c r="K129" i="2"/>
  <c r="J137" i="2" l="1"/>
  <c r="J129" i="2"/>
  <c r="I143" i="2"/>
  <c r="I142" i="2"/>
  <c r="I129" i="2"/>
  <c r="H143" i="2" l="1"/>
  <c r="H142" i="2"/>
  <c r="H137" i="2"/>
  <c r="H129" i="2"/>
  <c r="AF214" i="2" l="1"/>
  <c r="AE214" i="2"/>
  <c r="AD214" i="2"/>
  <c r="AC214" i="2"/>
  <c r="AB214" i="2"/>
  <c r="AA214" i="2"/>
  <c r="Z214" i="2"/>
  <c r="Y214" i="2"/>
  <c r="X214" i="2"/>
  <c r="W214" i="2"/>
  <c r="V214" i="2"/>
  <c r="U214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H214" i="2"/>
  <c r="G214" i="2"/>
  <c r="F214" i="2"/>
  <c r="E214" i="2"/>
  <c r="D214" i="2"/>
  <c r="C214" i="2"/>
  <c r="B214" i="2"/>
  <c r="G143" i="2" l="1"/>
  <c r="G142" i="2"/>
  <c r="G134" i="2"/>
  <c r="G129" i="2"/>
  <c r="F143" i="2" l="1"/>
  <c r="F142" i="2"/>
  <c r="F129" i="2"/>
  <c r="E143" i="2"/>
  <c r="E142" i="2"/>
  <c r="E139" i="2"/>
  <c r="E129" i="2"/>
  <c r="D143" i="2"/>
  <c r="D142" i="2"/>
  <c r="D129" i="2"/>
  <c r="C143" i="2"/>
  <c r="C142" i="2"/>
  <c r="C129" i="2"/>
  <c r="B143" i="2" l="1"/>
  <c r="B142" i="2"/>
  <c r="B137" i="2"/>
  <c r="B129" i="2"/>
  <c r="B116" i="2" s="1"/>
  <c r="AG227" i="2"/>
  <c r="AG226" i="2"/>
  <c r="AG225" i="2"/>
  <c r="AF223" i="2"/>
  <c r="AE223" i="2"/>
  <c r="AD223" i="2"/>
  <c r="AC223" i="2"/>
  <c r="AB223" i="2"/>
  <c r="AA223" i="2"/>
  <c r="Z223" i="2"/>
  <c r="Y223" i="2"/>
  <c r="X223" i="2"/>
  <c r="W223" i="2"/>
  <c r="V223" i="2"/>
  <c r="U223" i="2"/>
  <c r="T223" i="2"/>
  <c r="S223" i="2"/>
  <c r="R223" i="2"/>
  <c r="Q223" i="2"/>
  <c r="P223" i="2"/>
  <c r="O223" i="2"/>
  <c r="N223" i="2"/>
  <c r="M223" i="2"/>
  <c r="L223" i="2"/>
  <c r="K223" i="2"/>
  <c r="J223" i="2"/>
  <c r="I223" i="2"/>
  <c r="H223" i="2"/>
  <c r="G223" i="2"/>
  <c r="F223" i="2"/>
  <c r="E223" i="2"/>
  <c r="D223" i="2"/>
  <c r="C223" i="2"/>
  <c r="B223" i="2"/>
  <c r="AG222" i="2"/>
  <c r="AG221" i="2"/>
  <c r="B216" i="5" s="1"/>
  <c r="AG220" i="2"/>
  <c r="B219" i="5" s="1"/>
  <c r="N219" i="5" s="1"/>
  <c r="AG218" i="2"/>
  <c r="AG217" i="2"/>
  <c r="AG216" i="2"/>
  <c r="AG215" i="2"/>
  <c r="AG214" i="2"/>
  <c r="B215" i="5" s="1"/>
  <c r="N215" i="5" s="1"/>
  <c r="AG213" i="2"/>
  <c r="B214" i="5" s="1"/>
  <c r="N214" i="5" s="1"/>
  <c r="AG212" i="2"/>
  <c r="B213" i="5" s="1"/>
  <c r="N213" i="5" s="1"/>
  <c r="AG211" i="2"/>
  <c r="B212" i="5" s="1"/>
  <c r="N212" i="5" s="1"/>
  <c r="AG210" i="2"/>
  <c r="B211" i="5" s="1"/>
  <c r="N211" i="5" s="1"/>
  <c r="AG209" i="2"/>
  <c r="B210" i="5" s="1"/>
  <c r="N210" i="5" s="1"/>
  <c r="AF208" i="2"/>
  <c r="AE208" i="2"/>
  <c r="AD208" i="2"/>
  <c r="AC208" i="2"/>
  <c r="AB208" i="2"/>
  <c r="AA208" i="2"/>
  <c r="Z208" i="2"/>
  <c r="Y208" i="2"/>
  <c r="X208" i="2"/>
  <c r="W208" i="2"/>
  <c r="V208" i="2"/>
  <c r="U208" i="2"/>
  <c r="T208" i="2"/>
  <c r="S208" i="2"/>
  <c r="R208" i="2"/>
  <c r="Q208" i="2"/>
  <c r="P208" i="2"/>
  <c r="O208" i="2"/>
  <c r="N208" i="2"/>
  <c r="M208" i="2"/>
  <c r="L208" i="2"/>
  <c r="K208" i="2"/>
  <c r="J208" i="2"/>
  <c r="I208" i="2"/>
  <c r="H208" i="2"/>
  <c r="G208" i="2"/>
  <c r="F208" i="2"/>
  <c r="E208" i="2"/>
  <c r="D208" i="2"/>
  <c r="C208" i="2"/>
  <c r="B208" i="2"/>
  <c r="AG207" i="2"/>
  <c r="B208" i="5" s="1"/>
  <c r="N208" i="5" s="1"/>
  <c r="AG206" i="2"/>
  <c r="B207" i="5" s="1"/>
  <c r="N207" i="5" s="1"/>
  <c r="AG205" i="2"/>
  <c r="B206" i="5" s="1"/>
  <c r="N206" i="5" s="1"/>
  <c r="AG204" i="2"/>
  <c r="B205" i="5" s="1"/>
  <c r="N205" i="5" s="1"/>
  <c r="AG203" i="2"/>
  <c r="B204" i="5" s="1"/>
  <c r="N204" i="5" s="1"/>
  <c r="AG202" i="2"/>
  <c r="B203" i="5" s="1"/>
  <c r="N203" i="5" s="1"/>
  <c r="AG201" i="2"/>
  <c r="B202" i="5" s="1"/>
  <c r="N202" i="5" s="1"/>
  <c r="AG200" i="2"/>
  <c r="B201" i="5" s="1"/>
  <c r="N201" i="5" s="1"/>
  <c r="AG199" i="2"/>
  <c r="B200" i="5" s="1"/>
  <c r="N200" i="5" s="1"/>
  <c r="AG198" i="2"/>
  <c r="B199" i="5" s="1"/>
  <c r="N199" i="5" s="1"/>
  <c r="AG197" i="2"/>
  <c r="B198" i="5" s="1"/>
  <c r="N198" i="5" s="1"/>
  <c r="AG196" i="2"/>
  <c r="B197" i="5" s="1"/>
  <c r="N197" i="5" s="1"/>
  <c r="AG195" i="2"/>
  <c r="B196" i="5" s="1"/>
  <c r="N196" i="5" s="1"/>
  <c r="AG194" i="2"/>
  <c r="B195" i="5" s="1"/>
  <c r="N195" i="5" s="1"/>
  <c r="AG193" i="2"/>
  <c r="B194" i="5" s="1"/>
  <c r="N194" i="5" s="1"/>
  <c r="AG192" i="2"/>
  <c r="B193" i="5" s="1"/>
  <c r="N193" i="5" s="1"/>
  <c r="AG191" i="2"/>
  <c r="B192" i="5" s="1"/>
  <c r="N192" i="5" s="1"/>
  <c r="AG190" i="2"/>
  <c r="B191" i="5" s="1"/>
  <c r="N191" i="5" s="1"/>
  <c r="AG189" i="2"/>
  <c r="B190" i="5" s="1"/>
  <c r="N190" i="5" s="1"/>
  <c r="AG188" i="2"/>
  <c r="B189" i="5" s="1"/>
  <c r="N189" i="5" s="1"/>
  <c r="AG187" i="2"/>
  <c r="B188" i="5" s="1"/>
  <c r="N188" i="5" s="1"/>
  <c r="AG186" i="2"/>
  <c r="B187" i="5" s="1"/>
  <c r="N187" i="5" s="1"/>
  <c r="AG185" i="2"/>
  <c r="B186" i="5" s="1"/>
  <c r="N186" i="5" s="1"/>
  <c r="AG184" i="2"/>
  <c r="B185" i="5" s="1"/>
  <c r="N185" i="5" s="1"/>
  <c r="AG183" i="2"/>
  <c r="B184" i="5" s="1"/>
  <c r="N184" i="5" s="1"/>
  <c r="AG182" i="2"/>
  <c r="B183" i="5" s="1"/>
  <c r="N183" i="5" s="1"/>
  <c r="AF181" i="2"/>
  <c r="AE181" i="2"/>
  <c r="AD181" i="2"/>
  <c r="AC181" i="2"/>
  <c r="AB181" i="2"/>
  <c r="AA181" i="2"/>
  <c r="Z181" i="2"/>
  <c r="Y181" i="2"/>
  <c r="X181" i="2"/>
  <c r="W181" i="2"/>
  <c r="V181" i="2"/>
  <c r="U181" i="2"/>
  <c r="T181" i="2"/>
  <c r="S181" i="2"/>
  <c r="R181" i="2"/>
  <c r="Q181" i="2"/>
  <c r="P181" i="2"/>
  <c r="O181" i="2"/>
  <c r="N181" i="2"/>
  <c r="M181" i="2"/>
  <c r="L181" i="2"/>
  <c r="K181" i="2"/>
  <c r="J181" i="2"/>
  <c r="I181" i="2"/>
  <c r="H181" i="2"/>
  <c r="G181" i="2"/>
  <c r="F181" i="2"/>
  <c r="E181" i="2"/>
  <c r="D181" i="2"/>
  <c r="C181" i="2"/>
  <c r="B181" i="2"/>
  <c r="AG180" i="2"/>
  <c r="B181" i="5" s="1"/>
  <c r="N181" i="5" s="1"/>
  <c r="AG179" i="2"/>
  <c r="B180" i="5" s="1"/>
  <c r="N180" i="5" s="1"/>
  <c r="AG178" i="2"/>
  <c r="B179" i="5" s="1"/>
  <c r="N179" i="5" s="1"/>
  <c r="AG177" i="2"/>
  <c r="B178" i="5" s="1"/>
  <c r="N178" i="5" s="1"/>
  <c r="AF176" i="2"/>
  <c r="AE176" i="2"/>
  <c r="AD176" i="2"/>
  <c r="AC176" i="2"/>
  <c r="AB176" i="2"/>
  <c r="AA176" i="2"/>
  <c r="Z176" i="2"/>
  <c r="Y176" i="2"/>
  <c r="X176" i="2"/>
  <c r="W176" i="2"/>
  <c r="V176" i="2"/>
  <c r="U176" i="2"/>
  <c r="T176" i="2"/>
  <c r="S176" i="2"/>
  <c r="R176" i="2"/>
  <c r="Q176" i="2"/>
  <c r="P176" i="2"/>
  <c r="O176" i="2"/>
  <c r="N176" i="2"/>
  <c r="M176" i="2"/>
  <c r="L176" i="2"/>
  <c r="K176" i="2"/>
  <c r="J176" i="2"/>
  <c r="I176" i="2"/>
  <c r="H176" i="2"/>
  <c r="G176" i="2"/>
  <c r="F176" i="2"/>
  <c r="E176" i="2"/>
  <c r="D176" i="2"/>
  <c r="C176" i="2"/>
  <c r="B176" i="2"/>
  <c r="AG175" i="2"/>
  <c r="B175" i="5" s="1"/>
  <c r="N175" i="5" s="1"/>
  <c r="AG174" i="2"/>
  <c r="B174" i="5" s="1"/>
  <c r="N174" i="5" s="1"/>
  <c r="AF173" i="2"/>
  <c r="AE173" i="2"/>
  <c r="AD173" i="2"/>
  <c r="AC173" i="2"/>
  <c r="AB173" i="2"/>
  <c r="AA173" i="2"/>
  <c r="Z173" i="2"/>
  <c r="Y173" i="2"/>
  <c r="X173" i="2"/>
  <c r="W173" i="2"/>
  <c r="V173" i="2"/>
  <c r="U173" i="2"/>
  <c r="T173" i="2"/>
  <c r="S173" i="2"/>
  <c r="R173" i="2"/>
  <c r="Q173" i="2"/>
  <c r="P173" i="2"/>
  <c r="O173" i="2"/>
  <c r="N173" i="2"/>
  <c r="M173" i="2"/>
  <c r="L173" i="2"/>
  <c r="K173" i="2"/>
  <c r="J173" i="2"/>
  <c r="I173" i="2"/>
  <c r="H173" i="2"/>
  <c r="G173" i="2"/>
  <c r="F173" i="2"/>
  <c r="E173" i="2"/>
  <c r="D173" i="2"/>
  <c r="C173" i="2"/>
  <c r="B173" i="2"/>
  <c r="AG172" i="2"/>
  <c r="B172" i="5" s="1"/>
  <c r="N172" i="5" s="1"/>
  <c r="AG171" i="2"/>
  <c r="B171" i="5" s="1"/>
  <c r="N171" i="5" s="1"/>
  <c r="AG170" i="2"/>
  <c r="B170" i="5" s="1"/>
  <c r="N170" i="5" s="1"/>
  <c r="AG169" i="2"/>
  <c r="B169" i="5" s="1"/>
  <c r="N169" i="5" s="1"/>
  <c r="AG168" i="2"/>
  <c r="B168" i="5" s="1"/>
  <c r="N168" i="5" s="1"/>
  <c r="AF167" i="2"/>
  <c r="AE167" i="2"/>
  <c r="AD167" i="2"/>
  <c r="AC167" i="2"/>
  <c r="AB167" i="2"/>
  <c r="AA167" i="2"/>
  <c r="Z167" i="2"/>
  <c r="Y167" i="2"/>
  <c r="X167" i="2"/>
  <c r="W167" i="2"/>
  <c r="V167" i="2"/>
  <c r="U167" i="2"/>
  <c r="T167" i="2"/>
  <c r="S167" i="2"/>
  <c r="R167" i="2"/>
  <c r="Q167" i="2"/>
  <c r="P167" i="2"/>
  <c r="O167" i="2"/>
  <c r="N167" i="2"/>
  <c r="M167" i="2"/>
  <c r="L167" i="2"/>
  <c r="K167" i="2"/>
  <c r="J167" i="2"/>
  <c r="I167" i="2"/>
  <c r="H167" i="2"/>
  <c r="G167" i="2"/>
  <c r="F167" i="2"/>
  <c r="E167" i="2"/>
  <c r="D167" i="2"/>
  <c r="C167" i="2"/>
  <c r="B167" i="2"/>
  <c r="AG166" i="2"/>
  <c r="B166" i="5" s="1"/>
  <c r="N166" i="5" s="1"/>
  <c r="AG165" i="2"/>
  <c r="B165" i="5" s="1"/>
  <c r="N165" i="5" s="1"/>
  <c r="AG164" i="2"/>
  <c r="B164" i="5" s="1"/>
  <c r="N164" i="5" s="1"/>
  <c r="AG163" i="2"/>
  <c r="B163" i="5" s="1"/>
  <c r="N163" i="5" s="1"/>
  <c r="AG162" i="2"/>
  <c r="B162" i="5" s="1"/>
  <c r="N162" i="5" s="1"/>
  <c r="AG161" i="2"/>
  <c r="B161" i="5" s="1"/>
  <c r="N161" i="5" s="1"/>
  <c r="AG160" i="2"/>
  <c r="B160" i="5" s="1"/>
  <c r="N160" i="5" s="1"/>
  <c r="AG159" i="2"/>
  <c r="B159" i="5" s="1"/>
  <c r="N159" i="5" s="1"/>
  <c r="AF158" i="2"/>
  <c r="AE158" i="2"/>
  <c r="AD158" i="2"/>
  <c r="AC158" i="2"/>
  <c r="AB158" i="2"/>
  <c r="AA158" i="2"/>
  <c r="Z158" i="2"/>
  <c r="Y158" i="2"/>
  <c r="X158" i="2"/>
  <c r="W158" i="2"/>
  <c r="V158" i="2"/>
  <c r="U158" i="2"/>
  <c r="T158" i="2"/>
  <c r="S158" i="2"/>
  <c r="R158" i="2"/>
  <c r="Q158" i="2"/>
  <c r="P158" i="2"/>
  <c r="O158" i="2"/>
  <c r="N158" i="2"/>
  <c r="M158" i="2"/>
  <c r="L158" i="2"/>
  <c r="K158" i="2"/>
  <c r="J158" i="2"/>
  <c r="I158" i="2"/>
  <c r="H158" i="2"/>
  <c r="G158" i="2"/>
  <c r="F158" i="2"/>
  <c r="E158" i="2"/>
  <c r="D158" i="2"/>
  <c r="C158" i="2"/>
  <c r="B158" i="2"/>
  <c r="AG157" i="2"/>
  <c r="B157" i="5" s="1"/>
  <c r="N157" i="5" s="1"/>
  <c r="AG156" i="2"/>
  <c r="B156" i="5" s="1"/>
  <c r="N156" i="5" s="1"/>
  <c r="AG155" i="2"/>
  <c r="B155" i="5" s="1"/>
  <c r="N155" i="5" s="1"/>
  <c r="AG154" i="2"/>
  <c r="B154" i="5" s="1"/>
  <c r="N154" i="5" s="1"/>
  <c r="AG153" i="2"/>
  <c r="B153" i="5" s="1"/>
  <c r="N153" i="5" s="1"/>
  <c r="AG152" i="2"/>
  <c r="B152" i="5" s="1"/>
  <c r="N152" i="5" s="1"/>
  <c r="AG151" i="2"/>
  <c r="B151" i="5" s="1"/>
  <c r="N151" i="5" s="1"/>
  <c r="AG150" i="2"/>
  <c r="B150" i="5" s="1"/>
  <c r="N150" i="5" s="1"/>
  <c r="AG149" i="2"/>
  <c r="B149" i="5" s="1"/>
  <c r="N149" i="5" s="1"/>
  <c r="AF148" i="2"/>
  <c r="AF146" i="2" s="1"/>
  <c r="AE148" i="2"/>
  <c r="AE146" i="2" s="1"/>
  <c r="AD148" i="2"/>
  <c r="AD146" i="2" s="1"/>
  <c r="AC148" i="2"/>
  <c r="AC146" i="2" s="1"/>
  <c r="AB148" i="2"/>
  <c r="AB146" i="2" s="1"/>
  <c r="AA148" i="2"/>
  <c r="AA146" i="2" s="1"/>
  <c r="Z148" i="2"/>
  <c r="Z146" i="2" s="1"/>
  <c r="Y148" i="2"/>
  <c r="Y146" i="2" s="1"/>
  <c r="X148" i="2"/>
  <c r="X146" i="2" s="1"/>
  <c r="W148" i="2"/>
  <c r="W146" i="2" s="1"/>
  <c r="V148" i="2"/>
  <c r="V146" i="2" s="1"/>
  <c r="U148" i="2"/>
  <c r="U146" i="2" s="1"/>
  <c r="T148" i="2"/>
  <c r="T146" i="2" s="1"/>
  <c r="S148" i="2"/>
  <c r="S146" i="2" s="1"/>
  <c r="R148" i="2"/>
  <c r="R146" i="2" s="1"/>
  <c r="Q148" i="2"/>
  <c r="Q146" i="2" s="1"/>
  <c r="P148" i="2"/>
  <c r="P146" i="2" s="1"/>
  <c r="O148" i="2"/>
  <c r="O146" i="2" s="1"/>
  <c r="N148" i="2"/>
  <c r="N146" i="2" s="1"/>
  <c r="M148" i="2"/>
  <c r="M146" i="2" s="1"/>
  <c r="L148" i="2"/>
  <c r="L146" i="2" s="1"/>
  <c r="K148" i="2"/>
  <c r="K146" i="2" s="1"/>
  <c r="J148" i="2"/>
  <c r="J146" i="2" s="1"/>
  <c r="I148" i="2"/>
  <c r="I146" i="2" s="1"/>
  <c r="H148" i="2"/>
  <c r="H146" i="2" s="1"/>
  <c r="G148" i="2"/>
  <c r="G146" i="2" s="1"/>
  <c r="F148" i="2"/>
  <c r="F146" i="2" s="1"/>
  <c r="E148" i="2"/>
  <c r="E146" i="2" s="1"/>
  <c r="D148" i="2"/>
  <c r="D146" i="2" s="1"/>
  <c r="C148" i="2"/>
  <c r="C146" i="2" s="1"/>
  <c r="B148" i="2"/>
  <c r="B146" i="2" s="1"/>
  <c r="B144" i="2" s="1"/>
  <c r="AE147" i="2"/>
  <c r="AD147" i="2"/>
  <c r="AC147" i="2"/>
  <c r="AB147" i="2"/>
  <c r="AA147" i="2"/>
  <c r="Z147" i="2"/>
  <c r="Y147" i="2"/>
  <c r="X147" i="2"/>
  <c r="W147" i="2"/>
  <c r="V147" i="2"/>
  <c r="U147" i="2"/>
  <c r="T147" i="2"/>
  <c r="S147" i="2"/>
  <c r="R147" i="2"/>
  <c r="Q147" i="2"/>
  <c r="P147" i="2"/>
  <c r="O147" i="2"/>
  <c r="N147" i="2"/>
  <c r="M147" i="2"/>
  <c r="L147" i="2"/>
  <c r="K147" i="2"/>
  <c r="J147" i="2"/>
  <c r="I147" i="2"/>
  <c r="H147" i="2"/>
  <c r="G147" i="2"/>
  <c r="F147" i="2"/>
  <c r="E147" i="2"/>
  <c r="D147" i="2"/>
  <c r="C147" i="2"/>
  <c r="B147" i="2"/>
  <c r="AF145" i="2"/>
  <c r="AE145" i="2"/>
  <c r="AD145" i="2"/>
  <c r="AC145" i="2"/>
  <c r="AB145" i="2"/>
  <c r="AA145" i="2"/>
  <c r="Z145" i="2"/>
  <c r="Y145" i="2"/>
  <c r="X145" i="2"/>
  <c r="W145" i="2"/>
  <c r="V145" i="2"/>
  <c r="U145" i="2"/>
  <c r="T145" i="2"/>
  <c r="S145" i="2"/>
  <c r="R145" i="2"/>
  <c r="Q145" i="2"/>
  <c r="P145" i="2"/>
  <c r="O145" i="2"/>
  <c r="N145" i="2"/>
  <c r="M145" i="2"/>
  <c r="L145" i="2"/>
  <c r="K145" i="2"/>
  <c r="J145" i="2"/>
  <c r="I145" i="2"/>
  <c r="H145" i="2"/>
  <c r="G145" i="2"/>
  <c r="F145" i="2"/>
  <c r="E145" i="2"/>
  <c r="D145" i="2"/>
  <c r="C145" i="2"/>
  <c r="B145" i="2"/>
  <c r="AG143" i="2"/>
  <c r="B143" i="5" s="1"/>
  <c r="N143" i="5" s="1"/>
  <c r="AG142" i="2"/>
  <c r="B142" i="5" s="1"/>
  <c r="N142" i="5" s="1"/>
  <c r="AG141" i="2"/>
  <c r="B141" i="5" s="1"/>
  <c r="N141" i="5" s="1"/>
  <c r="AG140" i="2"/>
  <c r="B140" i="5" s="1"/>
  <c r="N140" i="5" s="1"/>
  <c r="AG139" i="2"/>
  <c r="B139" i="5" s="1"/>
  <c r="N139" i="5" s="1"/>
  <c r="AG138" i="2"/>
  <c r="B138" i="5" s="1"/>
  <c r="N138" i="5" s="1"/>
  <c r="AG137" i="2"/>
  <c r="B137" i="5" s="1"/>
  <c r="N137" i="5" s="1"/>
  <c r="AG136" i="2"/>
  <c r="B136" i="5" s="1"/>
  <c r="N136" i="5" s="1"/>
  <c r="AG135" i="2"/>
  <c r="B135" i="5" s="1"/>
  <c r="N135" i="5" s="1"/>
  <c r="AG134" i="2"/>
  <c r="B134" i="5" s="1"/>
  <c r="N134" i="5" s="1"/>
  <c r="AG133" i="2"/>
  <c r="B133" i="5" s="1"/>
  <c r="N133" i="5" s="1"/>
  <c r="AG132" i="2"/>
  <c r="B132" i="5" s="1"/>
  <c r="N132" i="5" s="1"/>
  <c r="AG131" i="2"/>
  <c r="B131" i="5" s="1"/>
  <c r="N131" i="5" s="1"/>
  <c r="AF130" i="2"/>
  <c r="AE130" i="2"/>
  <c r="AD130" i="2"/>
  <c r="AC130" i="2"/>
  <c r="AB130" i="2"/>
  <c r="AA130" i="2"/>
  <c r="Z130" i="2"/>
  <c r="Y130" i="2"/>
  <c r="X130" i="2"/>
  <c r="W130" i="2"/>
  <c r="V130" i="2"/>
  <c r="U130" i="2"/>
  <c r="T130" i="2"/>
  <c r="S130" i="2"/>
  <c r="R130" i="2"/>
  <c r="Q130" i="2"/>
  <c r="P130" i="2"/>
  <c r="O130" i="2"/>
  <c r="N130" i="2"/>
  <c r="M130" i="2"/>
  <c r="L130" i="2"/>
  <c r="K130" i="2"/>
  <c r="J130" i="2"/>
  <c r="I130" i="2"/>
  <c r="H130" i="2"/>
  <c r="G130" i="2"/>
  <c r="F130" i="2"/>
  <c r="E130" i="2"/>
  <c r="D130" i="2"/>
  <c r="C130" i="2"/>
  <c r="AG128" i="2"/>
  <c r="B128" i="5" s="1"/>
  <c r="N128" i="5" s="1"/>
  <c r="AG127" i="2"/>
  <c r="B127" i="5" s="1"/>
  <c r="N127" i="5" s="1"/>
  <c r="AG126" i="2"/>
  <c r="B126" i="5" s="1"/>
  <c r="N126" i="5" s="1"/>
  <c r="AG125" i="2"/>
  <c r="B125" i="5" s="1"/>
  <c r="N125" i="5" s="1"/>
  <c r="AG124" i="2"/>
  <c r="B124" i="5" s="1"/>
  <c r="N124" i="5" s="1"/>
  <c r="AG123" i="2"/>
  <c r="B123" i="5" s="1"/>
  <c r="N123" i="5" s="1"/>
  <c r="AG122" i="2"/>
  <c r="B122" i="5" s="1"/>
  <c r="N122" i="5" s="1"/>
  <c r="AG121" i="2"/>
  <c r="B121" i="5" s="1"/>
  <c r="N121" i="5" s="1"/>
  <c r="AG120" i="2"/>
  <c r="B120" i="5" s="1"/>
  <c r="N120" i="5" s="1"/>
  <c r="AG119" i="2"/>
  <c r="B119" i="5" s="1"/>
  <c r="N119" i="5" s="1"/>
  <c r="AG118" i="2"/>
  <c r="B118" i="5" s="1"/>
  <c r="N118" i="5" s="1"/>
  <c r="AG117" i="2"/>
  <c r="B117" i="5" s="1"/>
  <c r="N117" i="5" s="1"/>
  <c r="AF116" i="2"/>
  <c r="AE116" i="2"/>
  <c r="AD116" i="2"/>
  <c r="AC116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E116" i="2"/>
  <c r="D116" i="2"/>
  <c r="C116" i="2"/>
  <c r="AG115" i="2"/>
  <c r="B115" i="5" s="1"/>
  <c r="N115" i="5" s="1"/>
  <c r="AG114" i="2"/>
  <c r="B114" i="5" s="1"/>
  <c r="N114" i="5" s="1"/>
  <c r="AG113" i="2"/>
  <c r="B113" i="5" s="1"/>
  <c r="N113" i="5" s="1"/>
  <c r="AG112" i="2"/>
  <c r="B112" i="5" s="1"/>
  <c r="N112" i="5" s="1"/>
  <c r="AG111" i="2"/>
  <c r="B111" i="5" s="1"/>
  <c r="N111" i="5" s="1"/>
  <c r="AG110" i="2"/>
  <c r="B110" i="5" s="1"/>
  <c r="N110" i="5" s="1"/>
  <c r="AG109" i="2"/>
  <c r="B109" i="5" s="1"/>
  <c r="N109" i="5" s="1"/>
  <c r="AG108" i="2"/>
  <c r="B108" i="5" s="1"/>
  <c r="N108" i="5" s="1"/>
  <c r="AG107" i="2"/>
  <c r="B107" i="5" s="1"/>
  <c r="N107" i="5" s="1"/>
  <c r="AG106" i="2"/>
  <c r="B106" i="5" s="1"/>
  <c r="N106" i="5" s="1"/>
  <c r="AG105" i="2"/>
  <c r="B105" i="5" s="1"/>
  <c r="N105" i="5" s="1"/>
  <c r="AG104" i="2"/>
  <c r="B104" i="5" s="1"/>
  <c r="N104" i="5" s="1"/>
  <c r="AG103" i="2"/>
  <c r="B103" i="5" s="1"/>
  <c r="N103" i="5" s="1"/>
  <c r="AG102" i="2"/>
  <c r="B102" i="5" s="1"/>
  <c r="N102" i="5" s="1"/>
  <c r="AG101" i="2"/>
  <c r="B101" i="5" s="1"/>
  <c r="N101" i="5" s="1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B100" i="2"/>
  <c r="AG99" i="2"/>
  <c r="B99" i="5" s="1"/>
  <c r="N99" i="5" s="1"/>
  <c r="AG98" i="2"/>
  <c r="B98" i="5" s="1"/>
  <c r="N98" i="5" s="1"/>
  <c r="AG97" i="2"/>
  <c r="B97" i="5" s="1"/>
  <c r="N97" i="5" s="1"/>
  <c r="AG96" i="2"/>
  <c r="B96" i="5" s="1"/>
  <c r="N96" i="5" s="1"/>
  <c r="AG95" i="2"/>
  <c r="B95" i="5" s="1"/>
  <c r="N95" i="5" s="1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C93" i="2" s="1"/>
  <c r="B94" i="2"/>
  <c r="AG92" i="2"/>
  <c r="B92" i="5" s="1"/>
  <c r="N92" i="5" s="1"/>
  <c r="AG91" i="2"/>
  <c r="B91" i="5" s="1"/>
  <c r="N91" i="5" s="1"/>
  <c r="AG90" i="2"/>
  <c r="B90" i="5" s="1"/>
  <c r="N90" i="5" s="1"/>
  <c r="AG89" i="2"/>
  <c r="B89" i="5" s="1"/>
  <c r="N89" i="5" s="1"/>
  <c r="AG88" i="2"/>
  <c r="B88" i="5" s="1"/>
  <c r="N88" i="5" s="1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D87" i="2"/>
  <c r="C87" i="2"/>
  <c r="B87" i="2"/>
  <c r="AG86" i="2"/>
  <c r="B86" i="5" s="1"/>
  <c r="N86" i="5" s="1"/>
  <c r="AG85" i="2"/>
  <c r="B85" i="5" s="1"/>
  <c r="N85" i="5" s="1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B84" i="2"/>
  <c r="AF83" i="2"/>
  <c r="AE83" i="2"/>
  <c r="AE81" i="2" s="1"/>
  <c r="AD82" i="2"/>
  <c r="AC82" i="2"/>
  <c r="AC83" i="2" s="1"/>
  <c r="AC81" i="2" s="1"/>
  <c r="AB82" i="2"/>
  <c r="AA82" i="2"/>
  <c r="AA83" i="2" s="1"/>
  <c r="AA81" i="2" s="1"/>
  <c r="Z82" i="2"/>
  <c r="Z83" i="2" s="1"/>
  <c r="Z81" i="2" s="1"/>
  <c r="Y83" i="2"/>
  <c r="X83" i="2"/>
  <c r="W82" i="2"/>
  <c r="W83" i="2" s="1"/>
  <c r="W81" i="2" s="1"/>
  <c r="V82" i="2"/>
  <c r="U82" i="2"/>
  <c r="U83" i="2" s="1"/>
  <c r="U81" i="2" s="1"/>
  <c r="T82" i="2"/>
  <c r="S82" i="2"/>
  <c r="S83" i="2" s="1"/>
  <c r="S81" i="2" s="1"/>
  <c r="R83" i="2"/>
  <c r="R81" i="2" s="1"/>
  <c r="Q83" i="2"/>
  <c r="P82" i="2"/>
  <c r="P83" i="2" s="1"/>
  <c r="O82" i="2"/>
  <c r="O83" i="2" s="1"/>
  <c r="O81" i="2" s="1"/>
  <c r="N82" i="2"/>
  <c r="M82" i="2"/>
  <c r="M83" i="2" s="1"/>
  <c r="M81" i="2" s="1"/>
  <c r="L82" i="2"/>
  <c r="L83" i="2" s="1"/>
  <c r="K83" i="2"/>
  <c r="K81" i="2" s="1"/>
  <c r="J83" i="2"/>
  <c r="J81" i="2" s="1"/>
  <c r="I82" i="2"/>
  <c r="I83" i="2" s="1"/>
  <c r="H82" i="2"/>
  <c r="H83" i="2" s="1"/>
  <c r="G82" i="2"/>
  <c r="G83" i="2" s="1"/>
  <c r="G81" i="2" s="1"/>
  <c r="F82" i="2"/>
  <c r="E82" i="2"/>
  <c r="E83" i="2" s="1"/>
  <c r="E81" i="2" s="1"/>
  <c r="C83" i="2"/>
  <c r="C81" i="2" s="1"/>
  <c r="B83" i="2"/>
  <c r="AF80" i="2"/>
  <c r="AF79" i="2" s="1"/>
  <c r="AF78" i="2" s="1"/>
  <c r="AC80" i="2"/>
  <c r="AC79" i="2" s="1"/>
  <c r="AC78" i="2" s="1"/>
  <c r="AB80" i="2"/>
  <c r="AB79" i="2" s="1"/>
  <c r="AB78" i="2" s="1"/>
  <c r="AA80" i="2"/>
  <c r="AA79" i="2" s="1"/>
  <c r="AA78" i="2" s="1"/>
  <c r="Y80" i="2"/>
  <c r="Y79" i="2" s="1"/>
  <c r="Y78" i="2" s="1"/>
  <c r="V80" i="2"/>
  <c r="V79" i="2" s="1"/>
  <c r="V78" i="2" s="1"/>
  <c r="U80" i="2"/>
  <c r="U79" i="2" s="1"/>
  <c r="U78" i="2" s="1"/>
  <c r="T80" i="2"/>
  <c r="T79" i="2" s="1"/>
  <c r="T78" i="2" s="1"/>
  <c r="S80" i="2"/>
  <c r="S79" i="2" s="1"/>
  <c r="S78" i="2" s="1"/>
  <c r="R80" i="2"/>
  <c r="R79" i="2" s="1"/>
  <c r="R78" i="2" s="1"/>
  <c r="O80" i="2"/>
  <c r="O79" i="2" s="1"/>
  <c r="O78" i="2" s="1"/>
  <c r="N80" i="2"/>
  <c r="N79" i="2" s="1"/>
  <c r="N78" i="2" s="1"/>
  <c r="M80" i="2"/>
  <c r="M79" i="2" s="1"/>
  <c r="M78" i="2" s="1"/>
  <c r="H80" i="2"/>
  <c r="H79" i="2" s="1"/>
  <c r="H78" i="2" s="1"/>
  <c r="G80" i="2"/>
  <c r="G79" i="2" s="1"/>
  <c r="G78" i="2" s="1"/>
  <c r="F80" i="2"/>
  <c r="AE79" i="2"/>
  <c r="AE78" i="2" s="1"/>
  <c r="AD79" i="2"/>
  <c r="AD78" i="2" s="1"/>
  <c r="Z79" i="2"/>
  <c r="Z78" i="2" s="1"/>
  <c r="X79" i="2"/>
  <c r="X78" i="2" s="1"/>
  <c r="W79" i="2"/>
  <c r="W78" i="2" s="1"/>
  <c r="Q79" i="2"/>
  <c r="Q78" i="2" s="1"/>
  <c r="P79" i="2"/>
  <c r="P78" i="2" s="1"/>
  <c r="L79" i="2"/>
  <c r="L78" i="2" s="1"/>
  <c r="K79" i="2"/>
  <c r="K78" i="2" s="1"/>
  <c r="J79" i="2"/>
  <c r="J78" i="2" s="1"/>
  <c r="I79" i="2"/>
  <c r="I78" i="2" s="1"/>
  <c r="E79" i="2"/>
  <c r="E78" i="2" s="1"/>
  <c r="D79" i="2"/>
  <c r="D78" i="2" s="1"/>
  <c r="C79" i="2"/>
  <c r="C78" i="2" s="1"/>
  <c r="B79" i="2"/>
  <c r="B78" i="2" s="1"/>
  <c r="AG77" i="2"/>
  <c r="B77" i="5" s="1"/>
  <c r="N77" i="5" s="1"/>
  <c r="AG76" i="2"/>
  <c r="B76" i="5" s="1"/>
  <c r="N76" i="5" s="1"/>
  <c r="AG75" i="2"/>
  <c r="B75" i="5" s="1"/>
  <c r="N75" i="5" s="1"/>
  <c r="AG74" i="2"/>
  <c r="B74" i="5" s="1"/>
  <c r="N74" i="5" s="1"/>
  <c r="AG73" i="2"/>
  <c r="B73" i="5" s="1"/>
  <c r="N73" i="5" s="1"/>
  <c r="AG72" i="2"/>
  <c r="B72" i="5" s="1"/>
  <c r="N72" i="5" s="1"/>
  <c r="AG71" i="2"/>
  <c r="B71" i="5" s="1"/>
  <c r="N71" i="5" s="1"/>
  <c r="AG70" i="2"/>
  <c r="B70" i="5" s="1"/>
  <c r="N70" i="5" s="1"/>
  <c r="AG69" i="2"/>
  <c r="B69" i="5" s="1"/>
  <c r="N69" i="5" s="1"/>
  <c r="AG68" i="2"/>
  <c r="B68" i="5" s="1"/>
  <c r="N68" i="5" s="1"/>
  <c r="AG67" i="2"/>
  <c r="B67" i="5" s="1"/>
  <c r="N67" i="5" s="1"/>
  <c r="AG66" i="2"/>
  <c r="B66" i="5" s="1"/>
  <c r="N66" i="5" s="1"/>
  <c r="AG65" i="2"/>
  <c r="B65" i="5" s="1"/>
  <c r="N65" i="5" s="1"/>
  <c r="AG64" i="2"/>
  <c r="B64" i="5" s="1"/>
  <c r="N64" i="5" s="1"/>
  <c r="AG63" i="2"/>
  <c r="B63" i="5" s="1"/>
  <c r="N63" i="5" s="1"/>
  <c r="AG62" i="2"/>
  <c r="B62" i="5" s="1"/>
  <c r="N62" i="5" s="1"/>
  <c r="AG61" i="2"/>
  <c r="B61" i="5" s="1"/>
  <c r="N61" i="5" s="1"/>
  <c r="AG60" i="2"/>
  <c r="B60" i="5" s="1"/>
  <c r="N60" i="5" s="1"/>
  <c r="AG59" i="2"/>
  <c r="B59" i="5" s="1"/>
  <c r="N59" i="5" s="1"/>
  <c r="AG58" i="2"/>
  <c r="B58" i="5" s="1"/>
  <c r="N58" i="5" s="1"/>
  <c r="AG57" i="2"/>
  <c r="B57" i="5" s="1"/>
  <c r="N57" i="5" s="1"/>
  <c r="AG56" i="2"/>
  <c r="B56" i="5" s="1"/>
  <c r="N56" i="5" s="1"/>
  <c r="AG55" i="2"/>
  <c r="B55" i="5" s="1"/>
  <c r="N55" i="5" s="1"/>
  <c r="AG54" i="2"/>
  <c r="B54" i="5" s="1"/>
  <c r="N54" i="5" s="1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G52" i="2"/>
  <c r="B52" i="5" s="1"/>
  <c r="N52" i="5" s="1"/>
  <c r="AG51" i="2"/>
  <c r="B51" i="5" s="1"/>
  <c r="N51" i="5" s="1"/>
  <c r="AG50" i="2"/>
  <c r="B50" i="5" s="1"/>
  <c r="N50" i="5" s="1"/>
  <c r="AG49" i="2"/>
  <c r="B49" i="5" s="1"/>
  <c r="N49" i="5" s="1"/>
  <c r="AG48" i="2"/>
  <c r="B48" i="5" s="1"/>
  <c r="N48" i="5" s="1"/>
  <c r="AG47" i="2"/>
  <c r="B47" i="5" s="1"/>
  <c r="N47" i="5" s="1"/>
  <c r="AG46" i="2"/>
  <c r="B46" i="5" s="1"/>
  <c r="N46" i="5" s="1"/>
  <c r="AG45" i="2"/>
  <c r="B45" i="5" s="1"/>
  <c r="N45" i="5" s="1"/>
  <c r="AG44" i="2"/>
  <c r="B44" i="5" s="1"/>
  <c r="N44" i="5" s="1"/>
  <c r="AG43" i="2"/>
  <c r="B43" i="5" s="1"/>
  <c r="N43" i="5" s="1"/>
  <c r="AG42" i="2"/>
  <c r="B42" i="5" s="1"/>
  <c r="N42" i="5" s="1"/>
  <c r="AG41" i="2"/>
  <c r="B41" i="5" s="1"/>
  <c r="N41" i="5" s="1"/>
  <c r="AG40" i="2"/>
  <c r="B40" i="5" s="1"/>
  <c r="N40" i="5" s="1"/>
  <c r="AG39" i="2"/>
  <c r="B39" i="5" s="1"/>
  <c r="N39" i="5" s="1"/>
  <c r="AG38" i="2"/>
  <c r="B38" i="5" s="1"/>
  <c r="N38" i="5" s="1"/>
  <c r="AG37" i="2"/>
  <c r="B37" i="5" s="1"/>
  <c r="N37" i="5" s="1"/>
  <c r="AG36" i="2"/>
  <c r="B36" i="5" s="1"/>
  <c r="N36" i="5" s="1"/>
  <c r="AG35" i="2"/>
  <c r="B35" i="5" s="1"/>
  <c r="N35" i="5" s="1"/>
  <c r="AG34" i="2"/>
  <c r="B34" i="5" s="1"/>
  <c r="N34" i="5" s="1"/>
  <c r="AG33" i="2"/>
  <c r="B33" i="5" s="1"/>
  <c r="N33" i="5" s="1"/>
  <c r="AG32" i="2"/>
  <c r="B32" i="5" s="1"/>
  <c r="N32" i="5" s="1"/>
  <c r="AG31" i="2"/>
  <c r="B31" i="5" s="1"/>
  <c r="N31" i="5" s="1"/>
  <c r="AG30" i="2"/>
  <c r="B30" i="5" s="1"/>
  <c r="N30" i="5" s="1"/>
  <c r="AG29" i="2"/>
  <c r="B29" i="5" s="1"/>
  <c r="N29" i="5" s="1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G27" i="2"/>
  <c r="B27" i="5" s="1"/>
  <c r="N27" i="5" s="1"/>
  <c r="AG26" i="2"/>
  <c r="B26" i="5" s="1"/>
  <c r="N26" i="5" s="1"/>
  <c r="AG25" i="2"/>
  <c r="B25" i="5" s="1"/>
  <c r="N25" i="5" s="1"/>
  <c r="AG24" i="2"/>
  <c r="B24" i="5" s="1"/>
  <c r="N24" i="5" s="1"/>
  <c r="AG23" i="2"/>
  <c r="B23" i="5" s="1"/>
  <c r="N23" i="5" s="1"/>
  <c r="AG22" i="2"/>
  <c r="B22" i="5" s="1"/>
  <c r="N22" i="5" s="1"/>
  <c r="AG21" i="2"/>
  <c r="B21" i="5" s="1"/>
  <c r="N21" i="5" s="1"/>
  <c r="AG20" i="2"/>
  <c r="B20" i="5" s="1"/>
  <c r="N20" i="5" s="1"/>
  <c r="AG19" i="2"/>
  <c r="B19" i="5" s="1"/>
  <c r="N19" i="5" s="1"/>
  <c r="AG18" i="2"/>
  <c r="B18" i="5" s="1"/>
  <c r="N18" i="5" s="1"/>
  <c r="AG17" i="2"/>
  <c r="B17" i="5" s="1"/>
  <c r="N17" i="5" s="1"/>
  <c r="AG16" i="2"/>
  <c r="B16" i="5" s="1"/>
  <c r="N16" i="5" s="1"/>
  <c r="AG15" i="2"/>
  <c r="B15" i="5" s="1"/>
  <c r="N15" i="5" s="1"/>
  <c r="AG14" i="2"/>
  <c r="B14" i="5" s="1"/>
  <c r="N14" i="5" s="1"/>
  <c r="AG13" i="2"/>
  <c r="B13" i="5" s="1"/>
  <c r="N13" i="5" s="1"/>
  <c r="AG12" i="2"/>
  <c r="B12" i="5" s="1"/>
  <c r="N12" i="5" s="1"/>
  <c r="AG11" i="2"/>
  <c r="B11" i="5" s="1"/>
  <c r="N11" i="5" s="1"/>
  <c r="AG10" i="2"/>
  <c r="B10" i="5" s="1"/>
  <c r="N10" i="5" s="1"/>
  <c r="AG9" i="2"/>
  <c r="B9" i="5" s="1"/>
  <c r="N9" i="5" s="1"/>
  <c r="AG8" i="2"/>
  <c r="B8" i="5" s="1"/>
  <c r="N8" i="5" s="1"/>
  <c r="AG7" i="2"/>
  <c r="B7" i="5" s="1"/>
  <c r="N7" i="5" s="1"/>
  <c r="AG6" i="2"/>
  <c r="B6" i="5" s="1"/>
  <c r="N6" i="5" s="1"/>
  <c r="AG5" i="2"/>
  <c r="B5" i="5" s="1"/>
  <c r="N5" i="5" s="1"/>
  <c r="AG4" i="2"/>
  <c r="B4" i="5" s="1"/>
  <c r="N4" i="5" s="1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3" i="2"/>
  <c r="AC2" i="2"/>
  <c r="C2" i="2"/>
  <c r="D2" i="2" s="1"/>
  <c r="E2" i="2" s="1"/>
  <c r="F2" i="2" s="1"/>
  <c r="G2" i="2" s="1"/>
  <c r="H2" i="2" s="1"/>
  <c r="I2" i="2" s="1"/>
  <c r="J2" i="2" s="1"/>
  <c r="K2" i="2" s="1"/>
  <c r="L2" i="2" s="1"/>
  <c r="M2" i="2" s="1"/>
  <c r="N2" i="2" s="1"/>
  <c r="O2" i="2" s="1"/>
  <c r="P2" i="2" s="1"/>
  <c r="Q2" i="2" s="1"/>
  <c r="R2" i="2" s="1"/>
  <c r="S2" i="2" s="1"/>
  <c r="T2" i="2" s="1"/>
  <c r="U2" i="2" s="1"/>
  <c r="V2" i="2" s="1"/>
  <c r="W2" i="2" s="1"/>
  <c r="X2" i="2" s="1"/>
  <c r="Y2" i="2" s="1"/>
  <c r="Z2" i="2" s="1"/>
  <c r="AA2" i="2" s="1"/>
  <c r="S93" i="2" l="1"/>
  <c r="T93" i="2"/>
  <c r="N216" i="5"/>
  <c r="B217" i="5"/>
  <c r="N217" i="5"/>
  <c r="Z93" i="2"/>
  <c r="K93" i="2"/>
  <c r="E144" i="2"/>
  <c r="M144" i="2"/>
  <c r="U144" i="2"/>
  <c r="AC144" i="2"/>
  <c r="B130" i="2"/>
  <c r="AG130" i="2" s="1"/>
  <c r="B130" i="5" s="1"/>
  <c r="N130" i="5" s="1"/>
  <c r="B225" i="5"/>
  <c r="B226" i="5"/>
  <c r="N226" i="5" s="1"/>
  <c r="B227" i="5"/>
  <c r="N227" i="5" s="1"/>
  <c r="D144" i="2"/>
  <c r="T144" i="2"/>
  <c r="AB144" i="2"/>
  <c r="F144" i="2"/>
  <c r="AD144" i="2"/>
  <c r="N144" i="2"/>
  <c r="N93" i="2"/>
  <c r="V93" i="2"/>
  <c r="AE93" i="2"/>
  <c r="O144" i="2"/>
  <c r="AE144" i="2"/>
  <c r="C144" i="2"/>
  <c r="S144" i="2"/>
  <c r="H93" i="2"/>
  <c r="P93" i="2"/>
  <c r="X93" i="2"/>
  <c r="H144" i="2"/>
  <c r="P144" i="2"/>
  <c r="X144" i="2"/>
  <c r="AF144" i="2"/>
  <c r="G144" i="2"/>
  <c r="W144" i="2"/>
  <c r="K144" i="2"/>
  <c r="AA144" i="2"/>
  <c r="I93" i="2"/>
  <c r="Q93" i="2"/>
  <c r="Z144" i="2"/>
  <c r="Q144" i="2"/>
  <c r="AG129" i="2"/>
  <c r="B129" i="5" s="1"/>
  <c r="N129" i="5" s="1"/>
  <c r="R144" i="2"/>
  <c r="AG224" i="2"/>
  <c r="I144" i="2"/>
  <c r="Y144" i="2"/>
  <c r="Y93" i="2"/>
  <c r="J144" i="2"/>
  <c r="AF93" i="2"/>
  <c r="AD93" i="2"/>
  <c r="AC93" i="2"/>
  <c r="AB93" i="2"/>
  <c r="AA93" i="2"/>
  <c r="AG147" i="2"/>
  <c r="B147" i="5" s="1"/>
  <c r="N147" i="5" s="1"/>
  <c r="W93" i="2"/>
  <c r="V144" i="2"/>
  <c r="U93" i="2"/>
  <c r="AG158" i="2"/>
  <c r="B158" i="5" s="1"/>
  <c r="N158" i="5" s="1"/>
  <c r="R93" i="2"/>
  <c r="O93" i="2"/>
  <c r="M93" i="2"/>
  <c r="AG80" i="2"/>
  <c r="B80" i="5" s="1"/>
  <c r="N80" i="5" s="1"/>
  <c r="L144" i="2"/>
  <c r="AG167" i="2"/>
  <c r="B167" i="5" s="1"/>
  <c r="N167" i="5" s="1"/>
  <c r="L93" i="2"/>
  <c r="J93" i="2"/>
  <c r="AG223" i="2"/>
  <c r="G93" i="2"/>
  <c r="F93" i="2"/>
  <c r="F79" i="2"/>
  <c r="F78" i="2" s="1"/>
  <c r="AG78" i="2" s="1"/>
  <c r="B78" i="5" s="1"/>
  <c r="N78" i="5" s="1"/>
  <c r="AG176" i="2"/>
  <c r="B177" i="5" s="1"/>
  <c r="N177" i="5" s="1"/>
  <c r="AG100" i="2"/>
  <c r="B100" i="5" s="1"/>
  <c r="N100" i="5" s="1"/>
  <c r="E93" i="2"/>
  <c r="AG145" i="2"/>
  <c r="B145" i="5" s="1"/>
  <c r="N145" i="5" s="1"/>
  <c r="D93" i="2"/>
  <c r="AG181" i="2"/>
  <c r="B182" i="5" s="1"/>
  <c r="N182" i="5" s="1"/>
  <c r="AG208" i="2"/>
  <c r="B209" i="5" s="1"/>
  <c r="N209" i="5" s="1"/>
  <c r="AG173" i="2"/>
  <c r="B173" i="5" s="1"/>
  <c r="N173" i="5" s="1"/>
  <c r="AG116" i="2"/>
  <c r="B116" i="5" s="1"/>
  <c r="N116" i="5" s="1"/>
  <c r="AG94" i="2"/>
  <c r="B94" i="5" s="1"/>
  <c r="N94" i="5" s="1"/>
  <c r="AG87" i="2"/>
  <c r="B87" i="5" s="1"/>
  <c r="N87" i="5" s="1"/>
  <c r="AG53" i="2"/>
  <c r="B53" i="5" s="1"/>
  <c r="N53" i="5" s="1"/>
  <c r="AG28" i="2"/>
  <c r="B28" i="5" s="1"/>
  <c r="N28" i="5" s="1"/>
  <c r="AG3" i="2"/>
  <c r="B3" i="5" s="1"/>
  <c r="N3" i="5" s="1"/>
  <c r="AG84" i="2"/>
  <c r="B84" i="5" s="1"/>
  <c r="N84" i="5" s="1"/>
  <c r="B81" i="2"/>
  <c r="T83" i="2"/>
  <c r="T81" i="2" s="1"/>
  <c r="F83" i="2"/>
  <c r="F81" i="2" s="1"/>
  <c r="N83" i="2"/>
  <c r="N81" i="2" s="1"/>
  <c r="AD83" i="2"/>
  <c r="AD81" i="2" s="1"/>
  <c r="H81" i="2"/>
  <c r="P81" i="2"/>
  <c r="X81" i="2"/>
  <c r="AF81" i="2"/>
  <c r="V83" i="2"/>
  <c r="V81" i="2" s="1"/>
  <c r="I81" i="2"/>
  <c r="Q81" i="2"/>
  <c r="Y81" i="2"/>
  <c r="D83" i="2"/>
  <c r="AG82" i="2"/>
  <c r="B82" i="5" s="1"/>
  <c r="N82" i="5" s="1"/>
  <c r="AG148" i="2"/>
  <c r="AB83" i="2"/>
  <c r="AB81" i="2" s="1"/>
  <c r="L81" i="2"/>
  <c r="B93" i="2"/>
  <c r="N225" i="5" l="1"/>
  <c r="B224" i="5"/>
  <c r="N224" i="5" s="1"/>
  <c r="O87" i="5"/>
  <c r="AG146" i="2"/>
  <c r="B146" i="5" s="1"/>
  <c r="B148" i="5"/>
  <c r="N148" i="5" s="1"/>
  <c r="N146" i="5" s="1"/>
  <c r="AG144" i="2"/>
  <c r="B144" i="5" s="1"/>
  <c r="N144" i="5" s="1"/>
  <c r="AG83" i="2"/>
  <c r="AG79" i="2"/>
  <c r="B79" i="5" s="1"/>
  <c r="N79" i="5" s="1"/>
  <c r="AG93" i="2"/>
  <c r="AH87" i="2"/>
  <c r="D81" i="2"/>
  <c r="AG81" i="2" s="1"/>
  <c r="C2" i="1"/>
  <c r="D2" i="1" s="1"/>
  <c r="E2" i="1" s="1"/>
  <c r="F2" i="1" s="1"/>
  <c r="G2" i="1" s="1"/>
  <c r="H2" i="1" s="1"/>
  <c r="I2" i="1" s="1"/>
  <c r="J2" i="1" s="1"/>
  <c r="K2" i="1" s="1"/>
  <c r="L2" i="1" s="1"/>
  <c r="M2" i="1" s="1"/>
  <c r="N2" i="1" s="1"/>
  <c r="O2" i="1" s="1"/>
  <c r="P2" i="1" s="1"/>
  <c r="Q2" i="1" s="1"/>
  <c r="R2" i="1" s="1"/>
  <c r="S2" i="1" s="1"/>
  <c r="T2" i="1" s="1"/>
  <c r="U2" i="1" s="1"/>
  <c r="V2" i="1" s="1"/>
  <c r="W2" i="1" s="1"/>
  <c r="X2" i="1" s="1"/>
  <c r="Y2" i="1" s="1"/>
  <c r="Z2" i="1" s="1"/>
  <c r="AA2" i="1" s="1"/>
  <c r="AC2" i="1"/>
  <c r="B3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B53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B79" i="1"/>
  <c r="C79" i="1"/>
  <c r="C78" i="1" s="1"/>
  <c r="D79" i="1"/>
  <c r="D78" i="1" s="1"/>
  <c r="E79" i="1"/>
  <c r="E78" i="1" s="1"/>
  <c r="I79" i="1"/>
  <c r="I78" i="1" s="1"/>
  <c r="J79" i="1"/>
  <c r="J78" i="1" s="1"/>
  <c r="K79" i="1"/>
  <c r="K78" i="1" s="1"/>
  <c r="L79" i="1"/>
  <c r="L78" i="1" s="1"/>
  <c r="P79" i="1"/>
  <c r="P78" i="1" s="1"/>
  <c r="Q79" i="1"/>
  <c r="Q78" i="1" s="1"/>
  <c r="W79" i="1"/>
  <c r="W78" i="1" s="1"/>
  <c r="X79" i="1"/>
  <c r="X78" i="1" s="1"/>
  <c r="Z79" i="1"/>
  <c r="Z78" i="1" s="1"/>
  <c r="AD79" i="1"/>
  <c r="AD78" i="1" s="1"/>
  <c r="AE79" i="1"/>
  <c r="AE78" i="1" s="1"/>
  <c r="F80" i="1"/>
  <c r="F79" i="1" s="1"/>
  <c r="F78" i="1" s="1"/>
  <c r="G80" i="1"/>
  <c r="H80" i="1"/>
  <c r="H79" i="1" s="1"/>
  <c r="H78" i="1" s="1"/>
  <c r="M80" i="1"/>
  <c r="M79" i="1" s="1"/>
  <c r="M78" i="1" s="1"/>
  <c r="N80" i="1"/>
  <c r="N79" i="1" s="1"/>
  <c r="N78" i="1" s="1"/>
  <c r="O80" i="1"/>
  <c r="O79" i="1" s="1"/>
  <c r="O78" i="1" s="1"/>
  <c r="R80" i="1"/>
  <c r="R79" i="1" s="1"/>
  <c r="R78" i="1" s="1"/>
  <c r="S80" i="1"/>
  <c r="S79" i="1" s="1"/>
  <c r="S78" i="1" s="1"/>
  <c r="T80" i="1"/>
  <c r="T79" i="1" s="1"/>
  <c r="T78" i="1" s="1"/>
  <c r="U80" i="1"/>
  <c r="U79" i="1" s="1"/>
  <c r="U78" i="1" s="1"/>
  <c r="V80" i="1"/>
  <c r="V79" i="1" s="1"/>
  <c r="V78" i="1" s="1"/>
  <c r="Y80" i="1"/>
  <c r="Y79" i="1" s="1"/>
  <c r="Y78" i="1" s="1"/>
  <c r="AA80" i="1"/>
  <c r="AA79" i="1" s="1"/>
  <c r="AA78" i="1" s="1"/>
  <c r="AB80" i="1"/>
  <c r="AB79" i="1" s="1"/>
  <c r="AB78" i="1" s="1"/>
  <c r="AC80" i="1"/>
  <c r="AC79" i="1" s="1"/>
  <c r="AC78" i="1" s="1"/>
  <c r="AF80" i="1"/>
  <c r="AF79" i="1" s="1"/>
  <c r="AF78" i="1" s="1"/>
  <c r="B82" i="1"/>
  <c r="C82" i="1"/>
  <c r="C83" i="1" s="1"/>
  <c r="D82" i="1"/>
  <c r="D83" i="1" s="1"/>
  <c r="E82" i="1"/>
  <c r="E83" i="1" s="1"/>
  <c r="F82" i="1"/>
  <c r="F83" i="1" s="1"/>
  <c r="G82" i="1"/>
  <c r="G83" i="1" s="1"/>
  <c r="G81" i="1" s="1"/>
  <c r="H82" i="1"/>
  <c r="H83" i="1" s="1"/>
  <c r="I82" i="1"/>
  <c r="I83" i="1" s="1"/>
  <c r="J82" i="1"/>
  <c r="K82" i="1"/>
  <c r="K83" i="1" s="1"/>
  <c r="K81" i="1" s="1"/>
  <c r="L82" i="1"/>
  <c r="L83" i="1" s="1"/>
  <c r="M82" i="1"/>
  <c r="M83" i="1" s="1"/>
  <c r="N82" i="1"/>
  <c r="N83" i="1" s="1"/>
  <c r="O82" i="1"/>
  <c r="O83" i="1" s="1"/>
  <c r="O81" i="1" s="1"/>
  <c r="P82" i="1"/>
  <c r="P83" i="1" s="1"/>
  <c r="Q82" i="1"/>
  <c r="Q83" i="1" s="1"/>
  <c r="R82" i="1"/>
  <c r="S82" i="1"/>
  <c r="S83" i="1" s="1"/>
  <c r="T82" i="1"/>
  <c r="T83" i="1" s="1"/>
  <c r="U82" i="1"/>
  <c r="U83" i="1" s="1"/>
  <c r="V82" i="1"/>
  <c r="V83" i="1" s="1"/>
  <c r="W82" i="1"/>
  <c r="W83" i="1" s="1"/>
  <c r="W81" i="1" s="1"/>
  <c r="X82" i="1"/>
  <c r="X83" i="1" s="1"/>
  <c r="Y82" i="1"/>
  <c r="Z82" i="1"/>
  <c r="AA82" i="1"/>
  <c r="AA83" i="1" s="1"/>
  <c r="AB82" i="1"/>
  <c r="AB83" i="1" s="1"/>
  <c r="AC82" i="1"/>
  <c r="AD82" i="1"/>
  <c r="AD83" i="1" s="1"/>
  <c r="AE82" i="1"/>
  <c r="AE83" i="1" s="1"/>
  <c r="AE81" i="1" s="1"/>
  <c r="AF82" i="1"/>
  <c r="AF83" i="1" s="1"/>
  <c r="B84" i="1"/>
  <c r="C84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5" i="1"/>
  <c r="AG86" i="1"/>
  <c r="B87" i="1"/>
  <c r="C87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8" i="1"/>
  <c r="AG89" i="1"/>
  <c r="AG90" i="1"/>
  <c r="AG91" i="1"/>
  <c r="AG92" i="1"/>
  <c r="B94" i="1"/>
  <c r="C94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5" i="1"/>
  <c r="AG96" i="1"/>
  <c r="AG97" i="1"/>
  <c r="AG98" i="1"/>
  <c r="AG99" i="1"/>
  <c r="B100" i="1"/>
  <c r="C100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B116" i="1"/>
  <c r="C116" i="1"/>
  <c r="D116" i="1"/>
  <c r="E116" i="1"/>
  <c r="F116" i="1"/>
  <c r="G116" i="1"/>
  <c r="H116" i="1"/>
  <c r="I116" i="1"/>
  <c r="J116" i="1"/>
  <c r="K116" i="1"/>
  <c r="L116" i="1"/>
  <c r="M116" i="1"/>
  <c r="N116" i="1"/>
  <c r="O116" i="1"/>
  <c r="P116" i="1"/>
  <c r="Q116" i="1"/>
  <c r="R116" i="1"/>
  <c r="S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B130" i="1"/>
  <c r="C130" i="1"/>
  <c r="D130" i="1"/>
  <c r="E130" i="1"/>
  <c r="F130" i="1"/>
  <c r="G130" i="1"/>
  <c r="H130" i="1"/>
  <c r="I130" i="1"/>
  <c r="J130" i="1"/>
  <c r="K130" i="1"/>
  <c r="L130" i="1"/>
  <c r="M130" i="1"/>
  <c r="N130" i="1"/>
  <c r="O130" i="1"/>
  <c r="P130" i="1"/>
  <c r="Q130" i="1"/>
  <c r="R130" i="1"/>
  <c r="S130" i="1"/>
  <c r="T130" i="1"/>
  <c r="U130" i="1"/>
  <c r="V130" i="1"/>
  <c r="W130" i="1"/>
  <c r="X130" i="1"/>
  <c r="Y130" i="1"/>
  <c r="Z130" i="1"/>
  <c r="AA130" i="1"/>
  <c r="AB130" i="1"/>
  <c r="AC130" i="1"/>
  <c r="AD130" i="1"/>
  <c r="AE130" i="1"/>
  <c r="AF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B145" i="1"/>
  <c r="C145" i="1"/>
  <c r="D145" i="1"/>
  <c r="E145" i="1"/>
  <c r="F145" i="1"/>
  <c r="G145" i="1"/>
  <c r="H145" i="1"/>
  <c r="I145" i="1"/>
  <c r="J145" i="1"/>
  <c r="K145" i="1"/>
  <c r="L145" i="1"/>
  <c r="M145" i="1"/>
  <c r="N145" i="1"/>
  <c r="O145" i="1"/>
  <c r="P145" i="1"/>
  <c r="Q145" i="1"/>
  <c r="R145" i="1"/>
  <c r="S145" i="1"/>
  <c r="T145" i="1"/>
  <c r="U145" i="1"/>
  <c r="V145" i="1"/>
  <c r="W145" i="1"/>
  <c r="X145" i="1"/>
  <c r="Y145" i="1"/>
  <c r="Z145" i="1"/>
  <c r="AA145" i="1"/>
  <c r="AB145" i="1"/>
  <c r="AC145" i="1"/>
  <c r="AD145" i="1"/>
  <c r="AE145" i="1"/>
  <c r="AF145" i="1"/>
  <c r="B147" i="1"/>
  <c r="C147" i="1"/>
  <c r="D147" i="1"/>
  <c r="E147" i="1"/>
  <c r="F147" i="1"/>
  <c r="G147" i="1"/>
  <c r="H147" i="1"/>
  <c r="I147" i="1"/>
  <c r="J147" i="1"/>
  <c r="K147" i="1"/>
  <c r="L147" i="1"/>
  <c r="M147" i="1"/>
  <c r="N147" i="1"/>
  <c r="O147" i="1"/>
  <c r="P147" i="1"/>
  <c r="Q147" i="1"/>
  <c r="R147" i="1"/>
  <c r="S147" i="1"/>
  <c r="T147" i="1"/>
  <c r="U147" i="1"/>
  <c r="V147" i="1"/>
  <c r="W147" i="1"/>
  <c r="X147" i="1"/>
  <c r="Y147" i="1"/>
  <c r="Z147" i="1"/>
  <c r="AA147" i="1"/>
  <c r="AB147" i="1"/>
  <c r="AC147" i="1"/>
  <c r="AD147" i="1"/>
  <c r="AE147" i="1"/>
  <c r="B148" i="1"/>
  <c r="B146" i="1" s="1"/>
  <c r="C148" i="1"/>
  <c r="C146" i="1" s="1"/>
  <c r="D148" i="1"/>
  <c r="D146" i="1" s="1"/>
  <c r="E148" i="1"/>
  <c r="E146" i="1" s="1"/>
  <c r="F148" i="1"/>
  <c r="F146" i="1" s="1"/>
  <c r="G148" i="1"/>
  <c r="G146" i="1" s="1"/>
  <c r="H148" i="1"/>
  <c r="H146" i="1" s="1"/>
  <c r="I148" i="1"/>
  <c r="I146" i="1" s="1"/>
  <c r="J148" i="1"/>
  <c r="J146" i="1" s="1"/>
  <c r="K148" i="1"/>
  <c r="K146" i="1" s="1"/>
  <c r="L148" i="1"/>
  <c r="L146" i="1" s="1"/>
  <c r="M148" i="1"/>
  <c r="M146" i="1" s="1"/>
  <c r="N148" i="1"/>
  <c r="N146" i="1" s="1"/>
  <c r="O148" i="1"/>
  <c r="O146" i="1" s="1"/>
  <c r="P148" i="1"/>
  <c r="P146" i="1" s="1"/>
  <c r="Q148" i="1"/>
  <c r="Q146" i="1" s="1"/>
  <c r="R148" i="1"/>
  <c r="R146" i="1" s="1"/>
  <c r="S148" i="1"/>
  <c r="S146" i="1" s="1"/>
  <c r="T148" i="1"/>
  <c r="T146" i="1" s="1"/>
  <c r="U148" i="1"/>
  <c r="U146" i="1" s="1"/>
  <c r="V148" i="1"/>
  <c r="V146" i="1" s="1"/>
  <c r="W148" i="1"/>
  <c r="W146" i="1" s="1"/>
  <c r="X148" i="1"/>
  <c r="X146" i="1" s="1"/>
  <c r="Y148" i="1"/>
  <c r="Y146" i="1" s="1"/>
  <c r="Z148" i="1"/>
  <c r="Z146" i="1" s="1"/>
  <c r="AA148" i="1"/>
  <c r="AA146" i="1" s="1"/>
  <c r="AB148" i="1"/>
  <c r="AB146" i="1" s="1"/>
  <c r="AC148" i="1"/>
  <c r="AC146" i="1" s="1"/>
  <c r="AD148" i="1"/>
  <c r="AD146" i="1" s="1"/>
  <c r="AE148" i="1"/>
  <c r="AE146" i="1" s="1"/>
  <c r="AF148" i="1"/>
  <c r="AF146" i="1" s="1"/>
  <c r="AG149" i="1"/>
  <c r="AG150" i="1"/>
  <c r="AG151" i="1"/>
  <c r="AG152" i="1"/>
  <c r="AG153" i="1"/>
  <c r="AG154" i="1"/>
  <c r="AG155" i="1"/>
  <c r="AG156" i="1"/>
  <c r="AG157" i="1"/>
  <c r="B158" i="1"/>
  <c r="C158" i="1"/>
  <c r="D158" i="1"/>
  <c r="E158" i="1"/>
  <c r="F158" i="1"/>
  <c r="G158" i="1"/>
  <c r="H158" i="1"/>
  <c r="I158" i="1"/>
  <c r="J158" i="1"/>
  <c r="K158" i="1"/>
  <c r="L158" i="1"/>
  <c r="M158" i="1"/>
  <c r="N158" i="1"/>
  <c r="O158" i="1"/>
  <c r="P158" i="1"/>
  <c r="Q158" i="1"/>
  <c r="R158" i="1"/>
  <c r="S158" i="1"/>
  <c r="T158" i="1"/>
  <c r="U158" i="1"/>
  <c r="V158" i="1"/>
  <c r="W158" i="1"/>
  <c r="X158" i="1"/>
  <c r="Y158" i="1"/>
  <c r="Z158" i="1"/>
  <c r="AA158" i="1"/>
  <c r="AB158" i="1"/>
  <c r="AC158" i="1"/>
  <c r="AD158" i="1"/>
  <c r="AE158" i="1"/>
  <c r="AF158" i="1"/>
  <c r="AG159" i="1"/>
  <c r="AG160" i="1"/>
  <c r="AG161" i="1"/>
  <c r="AG162" i="1"/>
  <c r="AG163" i="1"/>
  <c r="AG164" i="1"/>
  <c r="AG165" i="1"/>
  <c r="AG166" i="1"/>
  <c r="B167" i="1"/>
  <c r="C167" i="1"/>
  <c r="D167" i="1"/>
  <c r="E167" i="1"/>
  <c r="F167" i="1"/>
  <c r="G167" i="1"/>
  <c r="H167" i="1"/>
  <c r="I167" i="1"/>
  <c r="J167" i="1"/>
  <c r="K167" i="1"/>
  <c r="L167" i="1"/>
  <c r="M167" i="1"/>
  <c r="N167" i="1"/>
  <c r="O167" i="1"/>
  <c r="P167" i="1"/>
  <c r="Q167" i="1"/>
  <c r="R167" i="1"/>
  <c r="S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8" i="1"/>
  <c r="AG169" i="1"/>
  <c r="AG170" i="1"/>
  <c r="AG171" i="1"/>
  <c r="AG172" i="1"/>
  <c r="AG174" i="1"/>
  <c r="AG175" i="1"/>
  <c r="B177" i="1"/>
  <c r="C177" i="1"/>
  <c r="D177" i="1"/>
  <c r="E177" i="1"/>
  <c r="F177" i="1"/>
  <c r="G177" i="1"/>
  <c r="H177" i="1"/>
  <c r="I177" i="1"/>
  <c r="J177" i="1"/>
  <c r="K177" i="1"/>
  <c r="L177" i="1"/>
  <c r="M177" i="1"/>
  <c r="N177" i="1"/>
  <c r="O177" i="1"/>
  <c r="P177" i="1"/>
  <c r="Q177" i="1"/>
  <c r="R177" i="1"/>
  <c r="S177" i="1"/>
  <c r="T177" i="1"/>
  <c r="U177" i="1"/>
  <c r="V177" i="1"/>
  <c r="W177" i="1"/>
  <c r="X177" i="1"/>
  <c r="Y177" i="1"/>
  <c r="Z177" i="1"/>
  <c r="AA177" i="1"/>
  <c r="AB177" i="1"/>
  <c r="AC177" i="1"/>
  <c r="AD177" i="1"/>
  <c r="AE177" i="1"/>
  <c r="AF177" i="1"/>
  <c r="AG178" i="1"/>
  <c r="AG179" i="1"/>
  <c r="AG180" i="1"/>
  <c r="AG181" i="1"/>
  <c r="B182" i="1"/>
  <c r="C182" i="1"/>
  <c r="D182" i="1"/>
  <c r="E182" i="1"/>
  <c r="F182" i="1"/>
  <c r="G182" i="1"/>
  <c r="H182" i="1"/>
  <c r="I182" i="1"/>
  <c r="J182" i="1"/>
  <c r="K182" i="1"/>
  <c r="L182" i="1"/>
  <c r="M182" i="1"/>
  <c r="N182" i="1"/>
  <c r="O182" i="1"/>
  <c r="P182" i="1"/>
  <c r="Q182" i="1"/>
  <c r="R182" i="1"/>
  <c r="S182" i="1"/>
  <c r="T182" i="1"/>
  <c r="U182" i="1"/>
  <c r="V182" i="1"/>
  <c r="W182" i="1"/>
  <c r="X182" i="1"/>
  <c r="Y182" i="1"/>
  <c r="Z182" i="1"/>
  <c r="AA182" i="1"/>
  <c r="AB182" i="1"/>
  <c r="AC182" i="1"/>
  <c r="AD182" i="1"/>
  <c r="AE182" i="1"/>
  <c r="AF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B209" i="1"/>
  <c r="C209" i="1"/>
  <c r="D209" i="1"/>
  <c r="E209" i="1"/>
  <c r="F209" i="1"/>
  <c r="G209" i="1"/>
  <c r="H209" i="1"/>
  <c r="I209" i="1"/>
  <c r="J209" i="1"/>
  <c r="K209" i="1"/>
  <c r="L209" i="1"/>
  <c r="M209" i="1"/>
  <c r="N209" i="1"/>
  <c r="O209" i="1"/>
  <c r="P209" i="1"/>
  <c r="Q209" i="1"/>
  <c r="R209" i="1"/>
  <c r="S209" i="1"/>
  <c r="T209" i="1"/>
  <c r="U209" i="1"/>
  <c r="V209" i="1"/>
  <c r="W209" i="1"/>
  <c r="X209" i="1"/>
  <c r="Y209" i="1"/>
  <c r="Z209" i="1"/>
  <c r="AA209" i="1"/>
  <c r="AB209" i="1"/>
  <c r="AC209" i="1"/>
  <c r="AD209" i="1"/>
  <c r="AE209" i="1"/>
  <c r="AF209" i="1"/>
  <c r="AG210" i="1"/>
  <c r="AG211" i="1"/>
  <c r="AG212" i="1"/>
  <c r="AG213" i="1"/>
  <c r="AG214" i="1"/>
  <c r="B224" i="1"/>
  <c r="C224" i="1"/>
  <c r="D224" i="1"/>
  <c r="E224" i="1"/>
  <c r="F224" i="1"/>
  <c r="G224" i="1"/>
  <c r="H224" i="1"/>
  <c r="I224" i="1"/>
  <c r="J224" i="1"/>
  <c r="K224" i="1"/>
  <c r="L224" i="1"/>
  <c r="M224" i="1"/>
  <c r="N224" i="1"/>
  <c r="O224" i="1"/>
  <c r="P224" i="1"/>
  <c r="Q224" i="1"/>
  <c r="R224" i="1"/>
  <c r="S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5" i="1"/>
  <c r="AG226" i="1"/>
  <c r="AG227" i="1"/>
  <c r="AB93" i="1" l="1"/>
  <c r="AH84" i="2"/>
  <c r="B83" i="5"/>
  <c r="N83" i="5" s="1"/>
  <c r="O84" i="5" s="1"/>
  <c r="AH81" i="2"/>
  <c r="B81" i="5"/>
  <c r="N81" i="5" s="1"/>
  <c r="O81" i="5" s="1"/>
  <c r="AH93" i="2"/>
  <c r="B93" i="5"/>
  <c r="N93" i="5" s="1"/>
  <c r="Y93" i="1"/>
  <c r="Q93" i="1"/>
  <c r="I93" i="1"/>
  <c r="G93" i="1"/>
  <c r="C93" i="1"/>
  <c r="W93" i="1"/>
  <c r="E144" i="1"/>
  <c r="Q144" i="1"/>
  <c r="AF144" i="1"/>
  <c r="P144" i="1"/>
  <c r="AF93" i="1"/>
  <c r="X93" i="1"/>
  <c r="P93" i="1"/>
  <c r="H93" i="1"/>
  <c r="AA93" i="1"/>
  <c r="S93" i="1"/>
  <c r="S81" i="1"/>
  <c r="AG209" i="1"/>
  <c r="AA81" i="1"/>
  <c r="C81" i="1"/>
  <c r="L93" i="1"/>
  <c r="Y83" i="1"/>
  <c r="Y81" i="1" s="1"/>
  <c r="U144" i="1"/>
  <c r="K93" i="1"/>
  <c r="AB144" i="1"/>
  <c r="L144" i="1"/>
  <c r="AA144" i="1"/>
  <c r="K144" i="1"/>
  <c r="AH130" i="2"/>
  <c r="AH144" i="2"/>
  <c r="AH208" i="2"/>
  <c r="AE144" i="1"/>
  <c r="W144" i="1"/>
  <c r="O144" i="1"/>
  <c r="G144" i="1"/>
  <c r="AG130" i="1"/>
  <c r="AC93" i="1"/>
  <c r="U93" i="1"/>
  <c r="M93" i="1"/>
  <c r="E93" i="1"/>
  <c r="AD81" i="1"/>
  <c r="V81" i="1"/>
  <c r="N81" i="1"/>
  <c r="F81" i="1"/>
  <c r="AG173" i="1"/>
  <c r="AC144" i="1"/>
  <c r="M144" i="1"/>
  <c r="T144" i="1"/>
  <c r="D144" i="1"/>
  <c r="U81" i="1"/>
  <c r="AG224" i="1"/>
  <c r="AG147" i="1"/>
  <c r="AE93" i="1"/>
  <c r="O93" i="1"/>
  <c r="AC83" i="1"/>
  <c r="AC81" i="1" s="1"/>
  <c r="AG182" i="1"/>
  <c r="S144" i="1"/>
  <c r="C144" i="1"/>
  <c r="Y144" i="1"/>
  <c r="I144" i="1"/>
  <c r="T93" i="1"/>
  <c r="D93" i="1"/>
  <c r="AG87" i="1"/>
  <c r="Z83" i="1"/>
  <c r="Z81" i="1" s="1"/>
  <c r="R83" i="1"/>
  <c r="R81" i="1" s="1"/>
  <c r="J83" i="1"/>
  <c r="J81" i="1" s="1"/>
  <c r="B83" i="1"/>
  <c r="AG100" i="1"/>
  <c r="AG177" i="1"/>
  <c r="X144" i="1"/>
  <c r="H144" i="1"/>
  <c r="AG84" i="1"/>
  <c r="AG53" i="1"/>
  <c r="AG167" i="1"/>
  <c r="V144" i="1"/>
  <c r="F144" i="1"/>
  <c r="AG116" i="1"/>
  <c r="AG80" i="1"/>
  <c r="G79" i="1"/>
  <c r="G78" i="1" s="1"/>
  <c r="AG148" i="1"/>
  <c r="AG146" i="1" s="1"/>
  <c r="Z144" i="1"/>
  <c r="J144" i="1"/>
  <c r="AG82" i="1"/>
  <c r="Q81" i="1"/>
  <c r="M81" i="1"/>
  <c r="I81" i="1"/>
  <c r="E81" i="1"/>
  <c r="AG3" i="1"/>
  <c r="AD144" i="1"/>
  <c r="N144" i="1"/>
  <c r="AG145" i="1"/>
  <c r="AF81" i="1"/>
  <c r="AB81" i="1"/>
  <c r="X81" i="1"/>
  <c r="T81" i="1"/>
  <c r="P81" i="1"/>
  <c r="L81" i="1"/>
  <c r="H81" i="1"/>
  <c r="D81" i="1"/>
  <c r="AG28" i="1"/>
  <c r="AG158" i="1"/>
  <c r="R144" i="1"/>
  <c r="B144" i="1"/>
  <c r="AD93" i="1"/>
  <c r="Z93" i="1"/>
  <c r="V93" i="1"/>
  <c r="R93" i="1"/>
  <c r="N93" i="1"/>
  <c r="J93" i="1"/>
  <c r="F93" i="1"/>
  <c r="B93" i="1"/>
  <c r="AG94" i="1"/>
  <c r="B78" i="1"/>
  <c r="O130" i="5" l="1"/>
  <c r="O93" i="5"/>
  <c r="O209" i="5"/>
  <c r="O144" i="5"/>
  <c r="AH87" i="1"/>
  <c r="AG83" i="1"/>
  <c r="AH84" i="1" s="1"/>
  <c r="AG79" i="1"/>
  <c r="B81" i="1"/>
  <c r="AG81" i="1" s="1"/>
  <c r="AH81" i="1" s="1"/>
  <c r="AG78" i="1"/>
  <c r="AG93" i="1"/>
  <c r="AG144" i="1"/>
  <c r="AH93" i="1" l="1"/>
  <c r="AH130" i="1"/>
  <c r="AH209" i="1"/>
  <c r="AH14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Rodrigo Villalobos R. (CVP)</author>
  </authors>
  <commentList>
    <comment ref="Y223" authorId="0" shapeId="0" xr:uid="{E25692CD-25E8-487E-A618-36F517680559}">
      <text>
        <r>
          <rPr>
            <b/>
            <sz val="9"/>
            <color indexed="81"/>
            <rFont val="Tahoma"/>
            <family val="2"/>
          </rPr>
          <t>CELDAS EN BLANCO = 4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Rodrigo Villalobos R. (CVP)</author>
  </authors>
  <commentList>
    <comment ref="G2" authorId="0" shapeId="0" xr:uid="{D20E1C6F-274A-44F3-AD72-86C3CDAD63E7}">
      <text>
        <r>
          <rPr>
            <b/>
            <sz val="9"/>
            <color indexed="81"/>
            <rFont val="Tahoma"/>
            <family val="2"/>
          </rPr>
          <t>SISTEMA CAIDO TODO EL DÍA</t>
        </r>
      </text>
    </comment>
  </commentList>
</comments>
</file>

<file path=xl/sharedStrings.xml><?xml version="1.0" encoding="utf-8"?>
<sst xmlns="http://schemas.openxmlformats.org/spreadsheetml/2006/main" count="3281" uniqueCount="170">
  <si>
    <t xml:space="preserve">OTRAS SALIDAS </t>
  </si>
  <si>
    <t>HORARIO SAR (17:00 - 07:59)</t>
  </si>
  <si>
    <t>HORARIO DIURNO (08:00 - 17:00)</t>
  </si>
  <si>
    <t>SERVICIOS GENERALES</t>
  </si>
  <si>
    <t>SALIDA DE AMBULANCIA</t>
  </si>
  <si>
    <t>PCR MICRORED</t>
  </si>
  <si>
    <t>PCR EN CVP</t>
  </si>
  <si>
    <t>PCR POSITIVO</t>
  </si>
  <si>
    <t>EN PROCESO</t>
  </si>
  <si>
    <t>SE FUGA</t>
  </si>
  <si>
    <t>PCR INDETERMINADO</t>
  </si>
  <si>
    <t>PCR NEGATIVO</t>
  </si>
  <si>
    <t>PCR</t>
  </si>
  <si>
    <t>C5</t>
  </si>
  <si>
    <t>C4</t>
  </si>
  <si>
    <t>C3</t>
  </si>
  <si>
    <t>C2</t>
  </si>
  <si>
    <t>C1</t>
  </si>
  <si>
    <t>TOTAL TRIAGE</t>
  </si>
  <si>
    <t>Mordedura de  Raton</t>
  </si>
  <si>
    <t>Mordedura de Araña</t>
  </si>
  <si>
    <t>Mordedura de Perro</t>
  </si>
  <si>
    <t>Mordedura de Gato</t>
  </si>
  <si>
    <t>Intoxicación por Quimicos</t>
  </si>
  <si>
    <t>Intoxicación por Alimentos</t>
  </si>
  <si>
    <t>Intoxicación por Medicamentos</t>
  </si>
  <si>
    <t>INTOXICACION POR ALCOHOL</t>
  </si>
  <si>
    <t>VIF</t>
  </si>
  <si>
    <t>Derivado al Servicio Medico Legal</t>
  </si>
  <si>
    <t>Autoagresion</t>
  </si>
  <si>
    <t>Agresor Sexual</t>
  </si>
  <si>
    <t>Alcoholemias</t>
  </si>
  <si>
    <t>Accidente por caida de Animal</t>
  </si>
  <si>
    <t>Accidente por Asalto</t>
  </si>
  <si>
    <t>Accidente por Agresion</t>
  </si>
  <si>
    <t>Accidentes Escolares</t>
  </si>
  <si>
    <t>Accidentes en el Hogar</t>
  </si>
  <si>
    <t>Accidente Trabajo Funcionario</t>
  </si>
  <si>
    <t>Accidente trabajo Obrero</t>
  </si>
  <si>
    <t>Accidente Bicicleta</t>
  </si>
  <si>
    <t>RESPIRATORIO</t>
  </si>
  <si>
    <t>ACC. DE TRANSITO Y LABORAL</t>
  </si>
  <si>
    <t>Accidente Otro Tipo</t>
  </si>
  <si>
    <t>Accidente de Transito</t>
  </si>
  <si>
    <t>Constatacion de lesiones</t>
  </si>
  <si>
    <t>TOTAL MOTIVO CONSULTA</t>
  </si>
  <si>
    <t>ACTIVID. KINE. SAR</t>
  </si>
  <si>
    <t>ACTIVID. KINE. RAYEN (DIURNO)</t>
  </si>
  <si>
    <t>DESTINO</t>
  </si>
  <si>
    <t>ADULTOS</t>
  </si>
  <si>
    <t>PEDIATRICOS</t>
  </si>
  <si>
    <t>Derivado de SAR  a UEH</t>
  </si>
  <si>
    <t>SAMU 2</t>
  </si>
  <si>
    <t>SAMU 1</t>
  </si>
  <si>
    <t>MEDIO DE LLEGADA</t>
  </si>
  <si>
    <t>Traidos por SAMU a SAR</t>
  </si>
  <si>
    <t>OTROS NSP</t>
  </si>
  <si>
    <t>Otros Derivados</t>
  </si>
  <si>
    <t>Portezuelo</t>
  </si>
  <si>
    <t>Pinto</t>
  </si>
  <si>
    <t>Coihueco</t>
  </si>
  <si>
    <t>Derivados de SUR a SAR</t>
  </si>
  <si>
    <t>Michelle Bachelet</t>
  </si>
  <si>
    <t>Federico Puga</t>
  </si>
  <si>
    <t>San Ramón Nonato</t>
  </si>
  <si>
    <t>Sol de Oriente</t>
  </si>
  <si>
    <t>Isabel Riquelme</t>
  </si>
  <si>
    <t>Violeta Parra</t>
  </si>
  <si>
    <t>Los Volcanes</t>
  </si>
  <si>
    <t>Ultraestación</t>
  </si>
  <si>
    <t>Derivados de SAPU  a SAR</t>
  </si>
  <si>
    <t>NSP</t>
  </si>
  <si>
    <t>PROC. EXTERNA</t>
  </si>
  <si>
    <t>CONSULTA ESPONTANEA</t>
  </si>
  <si>
    <t>NSP Adultos</t>
  </si>
  <si>
    <t>UE Adulto a SAR</t>
  </si>
  <si>
    <t>10 - 14 años</t>
  </si>
  <si>
    <t>5 - 9 años</t>
  </si>
  <si>
    <t>1 - 4 años</t>
  </si>
  <si>
    <t>&lt; 1 año</t>
  </si>
  <si>
    <t>NSP Infantil</t>
  </si>
  <si>
    <t>UE Pediatrica a SAR</t>
  </si>
  <si>
    <t>NSP Infantil + Adultos</t>
  </si>
  <si>
    <t>Redirec. de UEH a SAR</t>
  </si>
  <si>
    <t>TOTAL NSP</t>
  </si>
  <si>
    <t>EST. ORIGEN</t>
  </si>
  <si>
    <t>TOTAL ATENDIDOS</t>
  </si>
  <si>
    <t>Sin Centro de Salud</t>
  </si>
  <si>
    <t>Otros</t>
  </si>
  <si>
    <t>CENTRO DE SALUD ATENDIDO</t>
  </si>
  <si>
    <t>CENTRO DE SALUD INSCRITO</t>
  </si>
  <si>
    <t>80 y mas</t>
  </si>
  <si>
    <t>75 - 79</t>
  </si>
  <si>
    <t>70 - 74</t>
  </si>
  <si>
    <t>65 - 69</t>
  </si>
  <si>
    <t>60 - 64</t>
  </si>
  <si>
    <t>55 - 59</t>
  </si>
  <si>
    <t>50 - 54</t>
  </si>
  <si>
    <t>45 - 49</t>
  </si>
  <si>
    <t>40 - 44</t>
  </si>
  <si>
    <t>35 - 39</t>
  </si>
  <si>
    <t>30 - 34</t>
  </si>
  <si>
    <t>25 - 29</t>
  </si>
  <si>
    <t>20 - 24</t>
  </si>
  <si>
    <t>15 - 19</t>
  </si>
  <si>
    <t>Mayor de 15 años</t>
  </si>
  <si>
    <t>10 - 14</t>
  </si>
  <si>
    <t>5 - 9</t>
  </si>
  <si>
    <t xml:space="preserve"> 2 - 4</t>
  </si>
  <si>
    <t>1 Año</t>
  </si>
  <si>
    <t>Menor 1 Año</t>
  </si>
  <si>
    <t>Menor 15 años</t>
  </si>
  <si>
    <t>TOTAL PACIENTES ATENDIDOS</t>
  </si>
  <si>
    <t>SIN CATEGORIZACIÓN nsp</t>
  </si>
  <si>
    <t>NSP CATEGORIZACION</t>
  </si>
  <si>
    <t>NSP ADULTOS</t>
  </si>
  <si>
    <t>NSP PEDIATRICOS (&lt;15 AÑOS)</t>
  </si>
  <si>
    <t>NSP PEDIATR. / ADULTOS</t>
  </si>
  <si>
    <t>SAR</t>
  </si>
  <si>
    <t>PAR</t>
  </si>
  <si>
    <t>TOTAL PACIENTES INSCRITOS</t>
  </si>
  <si>
    <t>07:00</t>
  </si>
  <si>
    <t>06:00</t>
  </si>
  <si>
    <t>05:00</t>
  </si>
  <si>
    <t>04:00</t>
  </si>
  <si>
    <t>03:00</t>
  </si>
  <si>
    <t>02:00</t>
  </si>
  <si>
    <t>01:00</t>
  </si>
  <si>
    <t>00:00</t>
  </si>
  <si>
    <t>23:00</t>
  </si>
  <si>
    <t>22:00</t>
  </si>
  <si>
    <t>21:00</t>
  </si>
  <si>
    <t>20:00</t>
  </si>
  <si>
    <t>19:00</t>
  </si>
  <si>
    <t>18:00</t>
  </si>
  <si>
    <t>17:00</t>
  </si>
  <si>
    <t>16:00</t>
  </si>
  <si>
    <t>15:00</t>
  </si>
  <si>
    <t>14:00</t>
  </si>
  <si>
    <t>13:00</t>
  </si>
  <si>
    <t>12:00</t>
  </si>
  <si>
    <t>11:00</t>
  </si>
  <si>
    <t>10:00</t>
  </si>
  <si>
    <t>09:00</t>
  </si>
  <si>
    <t>08:00</t>
  </si>
  <si>
    <t>Total de NSP</t>
  </si>
  <si>
    <t>Total de atendidos</t>
  </si>
  <si>
    <t>Total de Inscritos</t>
  </si>
  <si>
    <t>TOTAL</t>
  </si>
  <si>
    <t>X X X X X</t>
  </si>
  <si>
    <t>NO ASISTE</t>
  </si>
  <si>
    <t>ENERO</t>
  </si>
  <si>
    <t>FEBRERO</t>
  </si>
  <si>
    <t>MARZO</t>
  </si>
  <si>
    <t>REPETIR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</si>
  <si>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</si>
  <si>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</si>
  <si>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</si>
  <si>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</si>
  <si>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</si>
  <si>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</si>
  <si>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</si>
  <si>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</si>
  <si>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</si>
  <si>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TEST RAPIDO</t>
  </si>
  <si>
    <t>POSITIVO</t>
  </si>
  <si>
    <t>NEGATIVO</t>
  </si>
  <si>
    <t>INVALIDO</t>
  </si>
  <si>
    <t>SAMU 3</t>
  </si>
  <si>
    <t>RECHAZADO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</si>
</sst>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indexed="81"/>
      <name val="Tahoma"/>
      <family val="2"/>
    </font>
  </fonts>
  <fills count="20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249977111117893"/>
        <bgColor indexed="64"/>
      </patternFill>
    </fill>
  </fills>
  <borders count="7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409">
    <xf numFmtId="0" fontId="0" fillId="0" borderId="0" xfId="0"/>
    <xf numFmtId="0" fontId="1" fillId="4" borderId="30" xfId="0" applyFont="1" applyFill="1" applyBorder="1" applyAlignment="1">
      <alignment horizontal="center" vertical="center" wrapText="1"/>
    </xf>
    <xf numFmtId="0" fontId="3" fillId="6" borderId="31" xfId="0" applyFont="1" applyFill="1" applyBorder="1" applyAlignment="1">
      <alignment horizontal="center" vertical="center" wrapText="1"/>
    </xf>
    <xf numFmtId="0" fontId="3" fillId="6" borderId="32" xfId="0" applyFont="1" applyFill="1" applyBorder="1" applyAlignment="1">
      <alignment horizontal="center" vertical="center" wrapText="1"/>
    </xf>
    <xf numFmtId="0" fontId="3" fillId="6" borderId="33" xfId="0" applyFont="1" applyFill="1" applyBorder="1" applyAlignment="1">
      <alignment horizontal="center" vertical="center" wrapText="1"/>
    </xf>
    <xf numFmtId="0" fontId="3" fillId="6" borderId="34" xfId="0" applyFont="1" applyFill="1" applyBorder="1" applyAlignment="1">
      <alignment horizontal="center" vertical="center" wrapText="1"/>
    </xf>
    <xf numFmtId="0" fontId="2" fillId="5" borderId="35" xfId="0" applyFont="1" applyFill="1" applyBorder="1" applyAlignment="1">
      <alignment horizontal="left" vertical="center"/>
    </xf>
    <xf numFmtId="0" fontId="1" fillId="7" borderId="5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2" fillId="8" borderId="16" xfId="0" applyFont="1" applyFill="1" applyBorder="1" applyAlignment="1">
      <alignment vertical="center"/>
    </xf>
    <xf numFmtId="0" fontId="1" fillId="7" borderId="1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vertical="center"/>
    </xf>
    <xf numFmtId="0" fontId="1" fillId="7" borderId="13" xfId="0" applyFont="1" applyFill="1" applyBorder="1" applyAlignment="1">
      <alignment horizontal="center" vertical="center" wrapText="1"/>
    </xf>
    <xf numFmtId="0" fontId="1" fillId="7" borderId="38" xfId="0" applyFont="1" applyFill="1" applyBorder="1" applyAlignment="1">
      <alignment horizontal="center" vertical="center" wrapText="1"/>
    </xf>
    <xf numFmtId="0" fontId="1" fillId="7" borderId="39" xfId="0" applyFont="1" applyFill="1" applyBorder="1" applyAlignment="1">
      <alignment horizontal="center" vertical="center" wrapText="1"/>
    </xf>
    <xf numFmtId="0" fontId="1" fillId="7" borderId="11" xfId="0" applyFont="1" applyFill="1" applyBorder="1" applyAlignment="1">
      <alignment horizontal="center" vertical="center" wrapText="1"/>
    </xf>
    <xf numFmtId="0" fontId="4" fillId="7" borderId="11" xfId="0" applyFont="1" applyFill="1" applyBorder="1" applyAlignment="1">
      <alignment horizontal="center" vertical="center" wrapText="1"/>
    </xf>
    <xf numFmtId="0" fontId="2" fillId="7" borderId="12" xfId="0" applyFont="1" applyFill="1" applyBorder="1" applyAlignment="1">
      <alignment vertical="center"/>
    </xf>
    <xf numFmtId="0" fontId="2" fillId="7" borderId="16" xfId="0" applyFont="1" applyFill="1" applyBorder="1" applyAlignment="1">
      <alignment vertical="center"/>
    </xf>
    <xf numFmtId="0" fontId="1" fillId="7" borderId="17" xfId="0" applyFont="1" applyFill="1" applyBorder="1" applyAlignment="1">
      <alignment horizontal="center" vertical="center" wrapText="1"/>
    </xf>
    <xf numFmtId="0" fontId="1" fillId="7" borderId="40" xfId="0" applyFont="1" applyFill="1" applyBorder="1" applyAlignment="1">
      <alignment horizontal="center" vertical="center" wrapText="1"/>
    </xf>
    <xf numFmtId="0" fontId="1" fillId="7" borderId="19" xfId="0" applyFont="1" applyFill="1" applyBorder="1" applyAlignment="1">
      <alignment horizontal="center" vertical="center" wrapText="1"/>
    </xf>
    <xf numFmtId="0" fontId="4" fillId="7" borderId="19" xfId="0" applyFont="1" applyFill="1" applyBorder="1" applyAlignment="1">
      <alignment horizontal="center" vertical="center" wrapText="1"/>
    </xf>
    <xf numFmtId="0" fontId="2" fillId="7" borderId="20" xfId="0" applyFont="1" applyFill="1" applyBorder="1" applyAlignment="1">
      <alignment vertical="center"/>
    </xf>
    <xf numFmtId="0" fontId="1" fillId="7" borderId="21" xfId="0" applyFont="1" applyFill="1" applyBorder="1" applyAlignment="1">
      <alignment horizontal="center" vertical="center" wrapText="1"/>
    </xf>
    <xf numFmtId="0" fontId="1" fillId="7" borderId="22" xfId="0" applyFont="1" applyFill="1" applyBorder="1" applyAlignment="1">
      <alignment horizontal="center" vertical="center" wrapText="1"/>
    </xf>
    <xf numFmtId="0" fontId="1" fillId="7" borderId="23" xfId="0" applyFont="1" applyFill="1" applyBorder="1" applyAlignment="1">
      <alignment horizontal="center" vertical="center" wrapText="1"/>
    </xf>
    <xf numFmtId="0" fontId="4" fillId="7" borderId="23" xfId="0" applyFont="1" applyFill="1" applyBorder="1" applyAlignment="1">
      <alignment horizontal="center" vertical="center" wrapText="1"/>
    </xf>
    <xf numFmtId="0" fontId="2" fillId="7" borderId="24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vertical="center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vertical="center"/>
    </xf>
    <xf numFmtId="0" fontId="1" fillId="2" borderId="17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vertical="center"/>
    </xf>
    <xf numFmtId="0" fontId="1" fillId="9" borderId="0" xfId="0" applyFont="1" applyFill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vertical="center"/>
    </xf>
    <xf numFmtId="0" fontId="1" fillId="4" borderId="10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/>
    </xf>
    <xf numFmtId="0" fontId="1" fillId="4" borderId="13" xfId="0" applyFont="1" applyFill="1" applyBorder="1" applyAlignment="1">
      <alignment horizontal="center" vertical="center" wrapText="1"/>
    </xf>
    <xf numFmtId="0" fontId="2" fillId="4" borderId="41" xfId="0" applyFont="1" applyFill="1" applyBorder="1" applyAlignment="1">
      <alignment vertical="center"/>
    </xf>
    <xf numFmtId="0" fontId="2" fillId="4" borderId="13" xfId="0" applyFont="1" applyFill="1" applyBorder="1" applyAlignment="1">
      <alignment vertical="center"/>
    </xf>
    <xf numFmtId="0" fontId="1" fillId="4" borderId="14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vertical="center"/>
    </xf>
    <xf numFmtId="0" fontId="1" fillId="10" borderId="13" xfId="0" applyFont="1" applyFill="1" applyBorder="1" applyAlignment="1">
      <alignment horizontal="center" vertical="center" wrapText="1"/>
    </xf>
    <xf numFmtId="0" fontId="1" fillId="10" borderId="14" xfId="0" applyFont="1" applyFill="1" applyBorder="1" applyAlignment="1">
      <alignment horizontal="center" vertical="center" wrapText="1"/>
    </xf>
    <xf numFmtId="0" fontId="1" fillId="10" borderId="15" xfId="0" applyFont="1" applyFill="1" applyBorder="1" applyAlignment="1">
      <alignment horizontal="center" vertical="center" wrapText="1"/>
    </xf>
    <xf numFmtId="0" fontId="4" fillId="10" borderId="15" xfId="0" applyFont="1" applyFill="1" applyBorder="1" applyAlignment="1">
      <alignment horizontal="center" vertical="center" wrapText="1"/>
    </xf>
    <xf numFmtId="0" fontId="2" fillId="10" borderId="13" xfId="0" applyFont="1" applyFill="1" applyBorder="1" applyAlignment="1">
      <alignment vertical="center"/>
    </xf>
    <xf numFmtId="0" fontId="2" fillId="4" borderId="17" xfId="0" applyFont="1" applyFill="1" applyBorder="1" applyAlignment="1">
      <alignment vertical="center"/>
    </xf>
    <xf numFmtId="0" fontId="0" fillId="7" borderId="0" xfId="0" applyFill="1"/>
    <xf numFmtId="0" fontId="1" fillId="7" borderId="14" xfId="0" applyFont="1" applyFill="1" applyBorder="1" applyAlignment="1">
      <alignment horizontal="center" vertical="center" wrapText="1"/>
    </xf>
    <xf numFmtId="0" fontId="1" fillId="7" borderId="15" xfId="0" applyFont="1" applyFill="1" applyBorder="1" applyAlignment="1">
      <alignment horizontal="center" vertical="center" wrapText="1"/>
    </xf>
    <xf numFmtId="0" fontId="4" fillId="7" borderId="15" xfId="0" applyFont="1" applyFill="1" applyBorder="1" applyAlignment="1">
      <alignment horizontal="center" vertical="center" wrapText="1"/>
    </xf>
    <xf numFmtId="0" fontId="2" fillId="7" borderId="17" xfId="0" applyFont="1" applyFill="1" applyBorder="1" applyAlignment="1">
      <alignment vertical="center"/>
    </xf>
    <xf numFmtId="0" fontId="1" fillId="4" borderId="18" xfId="0" applyFont="1" applyFill="1" applyBorder="1" applyAlignment="1">
      <alignment horizontal="center" vertical="center" wrapText="1"/>
    </xf>
    <xf numFmtId="0" fontId="1" fillId="4" borderId="19" xfId="0" applyFont="1" applyFill="1" applyBorder="1" applyAlignment="1">
      <alignment horizontal="center" vertical="center" wrapText="1"/>
    </xf>
    <xf numFmtId="0" fontId="4" fillId="4" borderId="19" xfId="0" applyFont="1" applyFill="1" applyBorder="1" applyAlignment="1">
      <alignment horizontal="center" vertical="center" wrapText="1"/>
    </xf>
    <xf numFmtId="0" fontId="5" fillId="9" borderId="42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0" fontId="1" fillId="8" borderId="22" xfId="0" applyFont="1" applyFill="1" applyBorder="1" applyAlignment="1">
      <alignment horizontal="center" vertical="center" wrapText="1"/>
    </xf>
    <xf numFmtId="0" fontId="1" fillId="8" borderId="23" xfId="0" applyFont="1" applyFill="1" applyBorder="1" applyAlignment="1">
      <alignment horizontal="center" vertical="center" wrapText="1"/>
    </xf>
    <xf numFmtId="0" fontId="2" fillId="8" borderId="24" xfId="0" applyFont="1" applyFill="1" applyBorder="1" applyAlignment="1">
      <alignment vertical="center"/>
    </xf>
    <xf numFmtId="0" fontId="1" fillId="10" borderId="1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vertical="center"/>
    </xf>
    <xf numFmtId="0" fontId="1" fillId="10" borderId="5" xfId="0" applyFont="1" applyFill="1" applyBorder="1" applyAlignment="1">
      <alignment horizontal="center" vertical="center" wrapText="1"/>
    </xf>
    <xf numFmtId="0" fontId="1" fillId="10" borderId="6" xfId="0" applyFont="1" applyFill="1" applyBorder="1" applyAlignment="1">
      <alignment horizontal="center" vertical="center" wrapText="1"/>
    </xf>
    <xf numFmtId="0" fontId="1" fillId="10" borderId="7" xfId="0" applyFont="1" applyFill="1" applyBorder="1" applyAlignment="1">
      <alignment horizontal="center" vertical="center" wrapText="1"/>
    </xf>
    <xf numFmtId="0" fontId="2" fillId="10" borderId="8" xfId="0" applyFont="1" applyFill="1" applyBorder="1" applyAlignment="1">
      <alignment vertical="center"/>
    </xf>
    <xf numFmtId="0" fontId="2" fillId="0" borderId="0" xfId="0" applyFont="1"/>
    <xf numFmtId="0" fontId="1" fillId="9" borderId="41" xfId="0" applyFont="1" applyFill="1" applyBorder="1" applyAlignment="1">
      <alignment horizontal="center" vertical="center" wrapText="1"/>
    </xf>
    <xf numFmtId="0" fontId="1" fillId="9" borderId="26" xfId="0" applyFont="1" applyFill="1" applyBorder="1" applyAlignment="1">
      <alignment horizontal="center" vertical="center" wrapText="1"/>
    </xf>
    <xf numFmtId="0" fontId="1" fillId="9" borderId="27" xfId="0" applyFont="1" applyFill="1" applyBorder="1" applyAlignment="1">
      <alignment horizontal="center" vertical="center" wrapText="1"/>
    </xf>
    <xf numFmtId="0" fontId="2" fillId="11" borderId="43" xfId="0" applyFont="1" applyFill="1" applyBorder="1" applyAlignment="1">
      <alignment vertical="center"/>
    </xf>
    <xf numFmtId="0" fontId="1" fillId="9" borderId="5" xfId="0" applyFont="1" applyFill="1" applyBorder="1" applyAlignment="1">
      <alignment horizontal="center" vertical="center" wrapText="1"/>
    </xf>
    <xf numFmtId="0" fontId="1" fillId="9" borderId="6" xfId="0" applyFont="1" applyFill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2" fillId="11" borderId="8" xfId="0" applyFont="1" applyFill="1" applyBorder="1" applyAlignment="1">
      <alignment vertical="center"/>
    </xf>
    <xf numFmtId="0" fontId="1" fillId="9" borderId="1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9" borderId="13" xfId="0" applyFont="1" applyFill="1" applyBorder="1" applyAlignment="1">
      <alignment horizontal="center" vertical="center" wrapText="1"/>
    </xf>
    <xf numFmtId="0" fontId="1" fillId="9" borderId="14" xfId="0" applyFont="1" applyFill="1" applyBorder="1" applyAlignment="1">
      <alignment horizontal="center" vertical="center" wrapText="1"/>
    </xf>
    <xf numFmtId="0" fontId="1" fillId="9" borderId="15" xfId="0" applyFont="1" applyFill="1" applyBorder="1" applyAlignment="1">
      <alignment horizontal="center" vertical="center" wrapText="1"/>
    </xf>
    <xf numFmtId="0" fontId="2" fillId="9" borderId="16" xfId="0" applyFont="1" applyFill="1" applyBorder="1" applyAlignment="1">
      <alignment vertical="center"/>
    </xf>
    <xf numFmtId="0" fontId="1" fillId="9" borderId="17" xfId="0" applyFont="1" applyFill="1" applyBorder="1" applyAlignment="1">
      <alignment horizontal="center" vertical="center" wrapText="1"/>
    </xf>
    <xf numFmtId="0" fontId="1" fillId="9" borderId="18" xfId="0" applyFont="1" applyFill="1" applyBorder="1" applyAlignment="1">
      <alignment horizontal="center" vertical="center" wrapText="1"/>
    </xf>
    <xf numFmtId="0" fontId="1" fillId="9" borderId="19" xfId="0" applyFont="1" applyFill="1" applyBorder="1" applyAlignment="1">
      <alignment horizontal="center" vertical="center" wrapText="1"/>
    </xf>
    <xf numFmtId="0" fontId="2" fillId="9" borderId="20" xfId="0" applyFont="1" applyFill="1" applyBorder="1" applyAlignment="1">
      <alignment vertical="center"/>
    </xf>
    <xf numFmtId="0" fontId="1" fillId="12" borderId="21" xfId="0" applyFont="1" applyFill="1" applyBorder="1" applyAlignment="1">
      <alignment horizontal="center" vertical="center" wrapText="1"/>
    </xf>
    <xf numFmtId="0" fontId="1" fillId="12" borderId="22" xfId="0" applyFont="1" applyFill="1" applyBorder="1" applyAlignment="1">
      <alignment horizontal="center" vertical="center" wrapText="1"/>
    </xf>
    <xf numFmtId="0" fontId="1" fillId="12" borderId="23" xfId="0" applyFont="1" applyFill="1" applyBorder="1" applyAlignment="1">
      <alignment horizontal="center" vertical="center" wrapText="1"/>
    </xf>
    <xf numFmtId="0" fontId="2" fillId="12" borderId="24" xfId="0" applyFont="1" applyFill="1" applyBorder="1" applyAlignment="1">
      <alignment vertical="center"/>
    </xf>
    <xf numFmtId="0" fontId="1" fillId="3" borderId="41" xfId="0" applyFont="1" applyFill="1" applyBorder="1" applyAlignment="1">
      <alignment horizontal="center" vertical="center" wrapText="1"/>
    </xf>
    <xf numFmtId="0" fontId="1" fillId="3" borderId="26" xfId="0" applyFont="1" applyFill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 vertical="center" wrapText="1"/>
    </xf>
    <xf numFmtId="0" fontId="2" fillId="3" borderId="43" xfId="0" applyFont="1" applyFill="1" applyBorder="1" applyAlignment="1">
      <alignment horizontal="left" vertical="center"/>
    </xf>
    <xf numFmtId="0" fontId="1" fillId="13" borderId="2" xfId="0" applyFont="1" applyFill="1" applyBorder="1" applyAlignment="1">
      <alignment horizontal="center" vertical="center" wrapText="1"/>
    </xf>
    <xf numFmtId="0" fontId="1" fillId="13" borderId="3" xfId="0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left" vertical="center"/>
    </xf>
    <xf numFmtId="0" fontId="1" fillId="13" borderId="14" xfId="0" applyFont="1" applyFill="1" applyBorder="1" applyAlignment="1">
      <alignment horizontal="center" vertical="center" wrapText="1"/>
    </xf>
    <xf numFmtId="0" fontId="1" fillId="13" borderId="15" xfId="0" applyFont="1" applyFill="1" applyBorder="1" applyAlignment="1">
      <alignment horizontal="center" vertical="center" wrapText="1"/>
    </xf>
    <xf numFmtId="0" fontId="2" fillId="13" borderId="16" xfId="0" applyFont="1" applyFill="1" applyBorder="1" applyAlignment="1">
      <alignment horizontal="left" vertical="center"/>
    </xf>
    <xf numFmtId="0" fontId="2" fillId="13" borderId="4" xfId="0" applyFont="1" applyFill="1" applyBorder="1" applyAlignment="1">
      <alignment vertical="center"/>
    </xf>
    <xf numFmtId="0" fontId="2" fillId="13" borderId="16" xfId="0" applyFont="1" applyFill="1" applyBorder="1" applyAlignment="1">
      <alignment vertical="center"/>
    </xf>
    <xf numFmtId="0" fontId="1" fillId="4" borderId="17" xfId="0" applyFont="1" applyFill="1" applyBorder="1" applyAlignment="1">
      <alignment horizontal="center" vertical="center" wrapText="1"/>
    </xf>
    <xf numFmtId="0" fontId="1" fillId="13" borderId="18" xfId="0" applyFont="1" applyFill="1" applyBorder="1" applyAlignment="1">
      <alignment horizontal="center" vertical="center" wrapText="1"/>
    </xf>
    <xf numFmtId="0" fontId="1" fillId="13" borderId="19" xfId="0" applyFont="1" applyFill="1" applyBorder="1" applyAlignment="1">
      <alignment horizontal="center" vertical="center" wrapText="1"/>
    </xf>
    <xf numFmtId="0" fontId="2" fillId="13" borderId="20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vertical="center"/>
    </xf>
    <xf numFmtId="0" fontId="1" fillId="3" borderId="22" xfId="0" applyFont="1" applyFill="1" applyBorder="1" applyAlignment="1">
      <alignment horizontal="center" vertical="center" wrapText="1"/>
    </xf>
    <xf numFmtId="0" fontId="1" fillId="3" borderId="23" xfId="0" applyFont="1" applyFill="1" applyBorder="1" applyAlignment="1">
      <alignment horizontal="center" vertical="center" wrapText="1"/>
    </xf>
    <xf numFmtId="0" fontId="2" fillId="3" borderId="24" xfId="0" applyFont="1" applyFill="1" applyBorder="1" applyAlignment="1">
      <alignment vertical="center"/>
    </xf>
    <xf numFmtId="0" fontId="1" fillId="4" borderId="44" xfId="0" applyFont="1" applyFill="1" applyBorder="1" applyAlignment="1">
      <alignment horizontal="center" vertical="center" wrapText="1"/>
    </xf>
    <xf numFmtId="0" fontId="1" fillId="13" borderId="45" xfId="0" applyFont="1" applyFill="1" applyBorder="1" applyAlignment="1">
      <alignment horizontal="center" vertical="center" wrapText="1"/>
    </xf>
    <xf numFmtId="0" fontId="1" fillId="13" borderId="37" xfId="0" applyFont="1" applyFill="1" applyBorder="1" applyAlignment="1">
      <alignment horizontal="center" vertical="center" wrapText="1"/>
    </xf>
    <xf numFmtId="0" fontId="2" fillId="13" borderId="46" xfId="0" applyFont="1" applyFill="1" applyBorder="1" applyAlignment="1">
      <alignment vertical="center"/>
    </xf>
    <xf numFmtId="0" fontId="1" fillId="7" borderId="44" xfId="0" applyFont="1" applyFill="1" applyBorder="1" applyAlignment="1">
      <alignment horizontal="center" vertical="center" wrapText="1"/>
    </xf>
    <xf numFmtId="0" fontId="1" fillId="7" borderId="45" xfId="0" applyFont="1" applyFill="1" applyBorder="1" applyAlignment="1">
      <alignment horizontal="center" vertical="center" wrapText="1"/>
    </xf>
    <xf numFmtId="0" fontId="2" fillId="7" borderId="46" xfId="0" applyFont="1" applyFill="1" applyBorder="1" applyAlignment="1">
      <alignment vertical="center"/>
    </xf>
    <xf numFmtId="0" fontId="5" fillId="9" borderId="0" xfId="0" applyFont="1" applyFill="1" applyAlignment="1">
      <alignment horizontal="center" vertical="center" wrapText="1"/>
    </xf>
    <xf numFmtId="0" fontId="1" fillId="3" borderId="47" xfId="0" applyFont="1" applyFill="1" applyBorder="1" applyAlignment="1">
      <alignment horizontal="center" vertical="center" wrapText="1"/>
    </xf>
    <xf numFmtId="0" fontId="1" fillId="3" borderId="48" xfId="0" applyFont="1" applyFill="1" applyBorder="1" applyAlignment="1">
      <alignment horizontal="center" vertical="center" wrapText="1"/>
    </xf>
    <xf numFmtId="0" fontId="1" fillId="3" borderId="49" xfId="0" applyFont="1" applyFill="1" applyBorder="1" applyAlignment="1">
      <alignment horizontal="center" vertical="center" wrapText="1"/>
    </xf>
    <xf numFmtId="0" fontId="2" fillId="3" borderId="50" xfId="0" applyFont="1" applyFill="1" applyBorder="1" applyAlignment="1">
      <alignment vertical="center"/>
    </xf>
    <xf numFmtId="0" fontId="1" fillId="4" borderId="21" xfId="0" applyFont="1" applyFill="1" applyBorder="1" applyAlignment="1">
      <alignment horizontal="center" vertical="center" wrapText="1"/>
    </xf>
    <xf numFmtId="0" fontId="1" fillId="14" borderId="23" xfId="0" applyFont="1" applyFill="1" applyBorder="1" applyAlignment="1">
      <alignment horizontal="center" vertical="center" wrapText="1"/>
    </xf>
    <xf numFmtId="0" fontId="2" fillId="14" borderId="24" xfId="0" applyFont="1" applyFill="1" applyBorder="1" applyAlignment="1">
      <alignment vertical="center"/>
    </xf>
    <xf numFmtId="0" fontId="1" fillId="4" borderId="9" xfId="0" applyFont="1" applyFill="1" applyBorder="1" applyAlignment="1">
      <alignment horizontal="center" vertical="center" wrapText="1"/>
    </xf>
    <xf numFmtId="0" fontId="1" fillId="8" borderId="14" xfId="0" applyFont="1" applyFill="1" applyBorder="1" applyAlignment="1">
      <alignment horizontal="center" vertical="center" wrapText="1"/>
    </xf>
    <xf numFmtId="0" fontId="1" fillId="8" borderId="15" xfId="0" applyFont="1" applyFill="1" applyBorder="1" applyAlignment="1">
      <alignment horizontal="center" vertical="center" wrapText="1"/>
    </xf>
    <xf numFmtId="0" fontId="2" fillId="8" borderId="16" xfId="0" applyFont="1" applyFill="1" applyBorder="1" applyAlignment="1">
      <alignment horizontal="left" vertical="center"/>
    </xf>
    <xf numFmtId="0" fontId="1" fillId="3" borderId="13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vertical="center"/>
    </xf>
    <xf numFmtId="0" fontId="1" fillId="3" borderId="10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vertical="center"/>
    </xf>
    <xf numFmtId="49" fontId="6" fillId="8" borderId="16" xfId="0" applyNumberFormat="1" applyFont="1" applyFill="1" applyBorder="1" applyAlignment="1">
      <alignment horizontal="center" vertical="center" wrapText="1"/>
    </xf>
    <xf numFmtId="16" fontId="2" fillId="8" borderId="16" xfId="0" applyNumberFormat="1" applyFont="1" applyFill="1" applyBorder="1" applyAlignment="1">
      <alignment horizontal="center" vertical="center"/>
    </xf>
    <xf numFmtId="0" fontId="7" fillId="8" borderId="15" xfId="0" applyFont="1" applyFill="1" applyBorder="1" applyAlignment="1">
      <alignment horizontal="center" vertical="center" wrapText="1"/>
    </xf>
    <xf numFmtId="2" fontId="2" fillId="8" borderId="16" xfId="0" applyNumberFormat="1" applyFont="1" applyFill="1" applyBorder="1" applyAlignment="1">
      <alignment horizontal="center" vertical="center"/>
    </xf>
    <xf numFmtId="0" fontId="2" fillId="8" borderId="16" xfId="0" applyFont="1" applyFill="1" applyBorder="1" applyAlignment="1">
      <alignment horizontal="center" vertical="center"/>
    </xf>
    <xf numFmtId="0" fontId="5" fillId="9" borderId="29" xfId="0" applyFont="1" applyFill="1" applyBorder="1" applyAlignment="1">
      <alignment horizontal="center" vertical="center" wrapText="1"/>
    </xf>
    <xf numFmtId="0" fontId="1" fillId="8" borderId="10" xfId="0" applyFont="1" applyFill="1" applyBorder="1" applyAlignment="1">
      <alignment horizontal="center" vertical="center" wrapText="1"/>
    </xf>
    <xf numFmtId="0" fontId="1" fillId="8" borderId="11" xfId="0" applyFont="1" applyFill="1" applyBorder="1" applyAlignment="1">
      <alignment horizontal="center" vertical="center" wrapText="1"/>
    </xf>
    <xf numFmtId="0" fontId="2" fillId="11" borderId="12" xfId="0" applyFont="1" applyFill="1" applyBorder="1" applyAlignment="1">
      <alignment vertical="center"/>
    </xf>
    <xf numFmtId="0" fontId="1" fillId="8" borderId="26" xfId="0" applyFont="1" applyFill="1" applyBorder="1" applyAlignment="1">
      <alignment horizontal="center" vertical="center" wrapText="1"/>
    </xf>
    <xf numFmtId="0" fontId="1" fillId="8" borderId="27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11" borderId="21" xfId="0" applyFont="1" applyFill="1" applyBorder="1" applyAlignment="1">
      <alignment horizontal="center" vertical="center" wrapText="1"/>
    </xf>
    <xf numFmtId="0" fontId="1" fillId="11" borderId="23" xfId="0" applyFont="1" applyFill="1" applyBorder="1" applyAlignment="1">
      <alignment horizontal="center" vertical="center" wrapText="1"/>
    </xf>
    <xf numFmtId="0" fontId="2" fillId="11" borderId="24" xfId="0" applyFont="1" applyFill="1" applyBorder="1" applyAlignment="1">
      <alignment vertical="center"/>
    </xf>
    <xf numFmtId="0" fontId="1" fillId="14" borderId="9" xfId="0" applyFont="1" applyFill="1" applyBorder="1" applyAlignment="1">
      <alignment horizontal="center" vertical="center" wrapText="1"/>
    </xf>
    <xf numFmtId="0" fontId="1" fillId="14" borderId="10" xfId="0" applyFont="1" applyFill="1" applyBorder="1" applyAlignment="1">
      <alignment horizontal="center" vertical="center" wrapText="1"/>
    </xf>
    <xf numFmtId="0" fontId="1" fillId="14" borderId="11" xfId="0" applyFont="1" applyFill="1" applyBorder="1" applyAlignment="1">
      <alignment horizontal="center" vertical="center" wrapText="1"/>
    </xf>
    <xf numFmtId="0" fontId="2" fillId="14" borderId="12" xfId="0" applyFont="1" applyFill="1" applyBorder="1" applyAlignment="1">
      <alignment vertical="center"/>
    </xf>
    <xf numFmtId="0" fontId="1" fillId="14" borderId="17" xfId="0" applyFont="1" applyFill="1" applyBorder="1" applyAlignment="1">
      <alignment horizontal="center" vertical="center" wrapText="1"/>
    </xf>
    <xf numFmtId="0" fontId="1" fillId="14" borderId="40" xfId="0" applyFont="1" applyFill="1" applyBorder="1" applyAlignment="1">
      <alignment horizontal="center" vertical="center" wrapText="1"/>
    </xf>
    <xf numFmtId="0" fontId="1" fillId="14" borderId="19" xfId="0" applyFont="1" applyFill="1" applyBorder="1" applyAlignment="1">
      <alignment horizontal="center" vertical="center" wrapText="1"/>
    </xf>
    <xf numFmtId="0" fontId="2" fillId="14" borderId="43" xfId="0" applyFont="1" applyFill="1" applyBorder="1" applyAlignment="1">
      <alignment vertical="center"/>
    </xf>
    <xf numFmtId="0" fontId="1" fillId="14" borderId="21" xfId="0" applyFont="1" applyFill="1" applyBorder="1" applyAlignment="1">
      <alignment horizontal="center" vertical="center" wrapText="1"/>
    </xf>
    <xf numFmtId="0" fontId="2" fillId="8" borderId="12" xfId="0" applyFont="1" applyFill="1" applyBorder="1" applyAlignment="1">
      <alignment vertical="center"/>
    </xf>
    <xf numFmtId="0" fontId="1" fillId="8" borderId="19" xfId="0" applyFont="1" applyFill="1" applyBorder="1" applyAlignment="1">
      <alignment horizontal="center" vertical="center" wrapText="1"/>
    </xf>
    <xf numFmtId="0" fontId="2" fillId="8" borderId="20" xfId="0" applyFont="1" applyFill="1" applyBorder="1" applyAlignment="1">
      <alignment vertical="center"/>
    </xf>
    <xf numFmtId="0" fontId="1" fillId="4" borderId="23" xfId="0" applyFont="1" applyFill="1" applyBorder="1" applyAlignment="1">
      <alignment horizontal="center" vertical="center" wrapText="1"/>
    </xf>
    <xf numFmtId="0" fontId="2" fillId="4" borderId="24" xfId="0" applyFont="1" applyFill="1" applyBorder="1" applyAlignment="1">
      <alignment vertical="center"/>
    </xf>
    <xf numFmtId="0" fontId="1" fillId="4" borderId="22" xfId="0" applyFont="1" applyFill="1" applyBorder="1" applyAlignment="1">
      <alignment horizontal="center" vertical="center" wrapText="1"/>
    </xf>
    <xf numFmtId="0" fontId="4" fillId="15" borderId="23" xfId="0" applyFont="1" applyFill="1" applyBorder="1" applyAlignment="1">
      <alignment horizontal="center" vertical="center" wrapText="1"/>
    </xf>
    <xf numFmtId="0" fontId="2" fillId="8" borderId="43" xfId="0" applyFont="1" applyFill="1" applyBorder="1" applyAlignment="1">
      <alignment horizontal="left" vertical="center"/>
    </xf>
    <xf numFmtId="0" fontId="1" fillId="8" borderId="18" xfId="0" applyFont="1" applyFill="1" applyBorder="1" applyAlignment="1">
      <alignment horizontal="center" vertical="center" wrapText="1"/>
    </xf>
    <xf numFmtId="0" fontId="2" fillId="8" borderId="20" xfId="0" applyFont="1" applyFill="1" applyBorder="1" applyAlignment="1">
      <alignment horizontal="left" vertical="center"/>
    </xf>
    <xf numFmtId="0" fontId="2" fillId="8" borderId="12" xfId="0" applyFont="1" applyFill="1" applyBorder="1" applyAlignment="1">
      <alignment horizontal="left" vertical="center"/>
    </xf>
    <xf numFmtId="0" fontId="1" fillId="12" borderId="7" xfId="0" applyFont="1" applyFill="1" applyBorder="1" applyAlignment="1">
      <alignment horizontal="center" vertical="center" wrapText="1"/>
    </xf>
    <xf numFmtId="0" fontId="2" fillId="12" borderId="8" xfId="0" applyFont="1" applyFill="1" applyBorder="1" applyAlignment="1">
      <alignment vertical="center"/>
    </xf>
    <xf numFmtId="0" fontId="1" fillId="8" borderId="2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left" vertical="center"/>
    </xf>
    <xf numFmtId="0" fontId="5" fillId="16" borderId="44" xfId="0" applyFont="1" applyFill="1" applyBorder="1" applyAlignment="1">
      <alignment horizontal="center" vertical="center" wrapText="1"/>
    </xf>
    <xf numFmtId="0" fontId="5" fillId="9" borderId="37" xfId="0" applyFont="1" applyFill="1" applyBorder="1" applyAlignment="1">
      <alignment horizontal="center" vertical="center" wrapText="1"/>
    </xf>
    <xf numFmtId="0" fontId="8" fillId="16" borderId="46" xfId="0" applyFont="1" applyFill="1" applyBorder="1" applyAlignment="1">
      <alignment vertical="center"/>
    </xf>
    <xf numFmtId="0" fontId="5" fillId="3" borderId="37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vertical="center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4" fillId="17" borderId="23" xfId="0" applyFont="1" applyFill="1" applyBorder="1" applyAlignment="1">
      <alignment horizontal="center" vertical="center" wrapText="1"/>
    </xf>
    <xf numFmtId="0" fontId="4" fillId="17" borderId="19" xfId="0" applyFont="1" applyFill="1" applyBorder="1" applyAlignment="1">
      <alignment horizontal="center" vertical="center" wrapText="1"/>
    </xf>
    <xf numFmtId="0" fontId="1" fillId="17" borderId="19" xfId="0" applyFont="1" applyFill="1" applyBorder="1" applyAlignment="1">
      <alignment horizontal="center" vertical="center" wrapText="1"/>
    </xf>
    <xf numFmtId="0" fontId="1" fillId="17" borderId="3" xfId="0" applyFont="1" applyFill="1" applyBorder="1" applyAlignment="1">
      <alignment horizontal="center" vertical="center" wrapText="1"/>
    </xf>
    <xf numFmtId="0" fontId="2" fillId="3" borderId="43" xfId="0" applyFont="1" applyFill="1" applyBorder="1" applyAlignment="1">
      <alignment vertical="center"/>
    </xf>
    <xf numFmtId="0" fontId="4" fillId="17" borderId="15" xfId="0" applyFont="1" applyFill="1" applyBorder="1" applyAlignment="1">
      <alignment horizontal="center" vertical="center" wrapText="1"/>
    </xf>
    <xf numFmtId="0" fontId="1" fillId="3" borderId="53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 wrapText="1"/>
    </xf>
    <xf numFmtId="0" fontId="3" fillId="6" borderId="54" xfId="0" applyFont="1" applyFill="1" applyBorder="1" applyAlignment="1">
      <alignment horizontal="center" vertical="center" wrapText="1"/>
    </xf>
    <xf numFmtId="0" fontId="3" fillId="6" borderId="55" xfId="0" applyFont="1" applyFill="1" applyBorder="1" applyAlignment="1">
      <alignment horizontal="center" vertical="center" wrapText="1"/>
    </xf>
    <xf numFmtId="0" fontId="3" fillId="6" borderId="56" xfId="0" applyFont="1" applyFill="1" applyBorder="1" applyAlignment="1">
      <alignment horizontal="center" vertical="center" wrapText="1"/>
    </xf>
    <xf numFmtId="0" fontId="3" fillId="6" borderId="57" xfId="0" applyFont="1" applyFill="1" applyBorder="1" applyAlignment="1">
      <alignment horizontal="center" vertical="center" wrapText="1"/>
    </xf>
    <xf numFmtId="0" fontId="1" fillId="4" borderId="58" xfId="0" applyFont="1" applyFill="1" applyBorder="1" applyAlignment="1">
      <alignment horizontal="center" vertical="center" wrapText="1"/>
    </xf>
    <xf numFmtId="0" fontId="2" fillId="5" borderId="59" xfId="0" applyFont="1" applyFill="1" applyBorder="1" applyAlignment="1">
      <alignment horizontal="left" vertical="center"/>
    </xf>
    <xf numFmtId="0" fontId="3" fillId="6" borderId="60" xfId="0" applyFont="1" applyFill="1" applyBorder="1" applyAlignment="1">
      <alignment horizontal="center" vertical="center" wrapText="1"/>
    </xf>
    <xf numFmtId="0" fontId="1" fillId="5" borderId="60" xfId="0" applyFont="1" applyFill="1" applyBorder="1" applyAlignment="1">
      <alignment horizontal="center" vertical="center" wrapText="1"/>
    </xf>
    <xf numFmtId="0" fontId="1" fillId="5" borderId="61" xfId="0" applyFont="1" applyFill="1" applyBorder="1" applyAlignment="1">
      <alignment horizontal="center" vertical="center" wrapText="1"/>
    </xf>
    <xf numFmtId="0" fontId="1" fillId="5" borderId="49" xfId="0" applyFont="1" applyFill="1" applyBorder="1" applyAlignment="1">
      <alignment horizontal="center" vertical="center" wrapText="1"/>
    </xf>
    <xf numFmtId="0" fontId="1" fillId="5" borderId="48" xfId="0" applyFont="1" applyFill="1" applyBorder="1" applyAlignment="1">
      <alignment horizontal="center" vertical="center" wrapText="1"/>
    </xf>
    <xf numFmtId="0" fontId="1" fillId="17" borderId="27" xfId="0" applyFont="1" applyFill="1" applyBorder="1" applyAlignment="1">
      <alignment horizontal="center" vertical="center" wrapText="1"/>
    </xf>
    <xf numFmtId="0" fontId="5" fillId="9" borderId="62" xfId="0" applyFont="1" applyFill="1" applyBorder="1" applyAlignment="1">
      <alignment horizontal="center" vertical="center" wrapText="1"/>
    </xf>
    <xf numFmtId="0" fontId="1" fillId="12" borderId="63" xfId="0" applyFont="1" applyFill="1" applyBorder="1" applyAlignment="1">
      <alignment horizontal="center" vertical="center" wrapText="1"/>
    </xf>
    <xf numFmtId="0" fontId="1" fillId="8" borderId="64" xfId="0" applyFont="1" applyFill="1" applyBorder="1" applyAlignment="1">
      <alignment horizontal="center" vertical="center" wrapText="1"/>
    </xf>
    <xf numFmtId="0" fontId="1" fillId="8" borderId="65" xfId="0" applyFont="1" applyFill="1" applyBorder="1" applyAlignment="1">
      <alignment horizontal="center" vertical="center" wrapText="1"/>
    </xf>
    <xf numFmtId="0" fontId="1" fillId="8" borderId="66" xfId="0" applyFont="1" applyFill="1" applyBorder="1" applyAlignment="1">
      <alignment horizontal="center" vertical="center" wrapText="1"/>
    </xf>
    <xf numFmtId="0" fontId="1" fillId="12" borderId="67" xfId="0" applyFont="1" applyFill="1" applyBorder="1" applyAlignment="1">
      <alignment horizontal="center" vertical="center" wrapText="1"/>
    </xf>
    <xf numFmtId="0" fontId="1" fillId="8" borderId="68" xfId="0" applyFont="1" applyFill="1" applyBorder="1" applyAlignment="1">
      <alignment horizontal="center" vertical="center" wrapText="1"/>
    </xf>
    <xf numFmtId="0" fontId="1" fillId="8" borderId="28" xfId="0" applyFont="1" applyFill="1" applyBorder="1" applyAlignment="1">
      <alignment horizontal="center" vertical="center" wrapText="1"/>
    </xf>
    <xf numFmtId="0" fontId="4" fillId="15" borderId="63" xfId="0" applyFont="1" applyFill="1" applyBorder="1" applyAlignment="1">
      <alignment horizontal="center" vertical="center" wrapText="1"/>
    </xf>
    <xf numFmtId="0" fontId="1" fillId="3" borderId="68" xfId="0" applyFont="1" applyFill="1" applyBorder="1" applyAlignment="1">
      <alignment horizontal="center" vertical="center" wrapText="1"/>
    </xf>
    <xf numFmtId="0" fontId="1" fillId="4" borderId="63" xfId="0" applyFont="1" applyFill="1" applyBorder="1" applyAlignment="1">
      <alignment horizontal="center" vertical="center" wrapText="1"/>
    </xf>
    <xf numFmtId="0" fontId="1" fillId="14" borderId="63" xfId="0" applyFont="1" applyFill="1" applyBorder="1" applyAlignment="1">
      <alignment horizontal="center" vertical="center" wrapText="1"/>
    </xf>
    <xf numFmtId="0" fontId="1" fillId="14" borderId="64" xfId="0" applyFont="1" applyFill="1" applyBorder="1" applyAlignment="1">
      <alignment horizontal="center" vertical="center" wrapText="1"/>
    </xf>
    <xf numFmtId="0" fontId="1" fillId="14" borderId="68" xfId="0" applyFont="1" applyFill="1" applyBorder="1" applyAlignment="1">
      <alignment horizontal="center" vertical="center" wrapText="1"/>
    </xf>
    <xf numFmtId="0" fontId="1" fillId="11" borderId="63" xfId="0" applyFont="1" applyFill="1" applyBorder="1" applyAlignment="1">
      <alignment horizontal="center" vertical="center" wrapText="1"/>
    </xf>
    <xf numFmtId="0" fontId="1" fillId="4" borderId="67" xfId="0" applyFont="1" applyFill="1" applyBorder="1" applyAlignment="1">
      <alignment horizontal="center" vertical="center" wrapText="1"/>
    </xf>
    <xf numFmtId="0" fontId="1" fillId="4" borderId="65" xfId="0" applyFont="1" applyFill="1" applyBorder="1" applyAlignment="1">
      <alignment horizontal="center" vertical="center" wrapText="1"/>
    </xf>
    <xf numFmtId="0" fontId="1" fillId="3" borderId="66" xfId="0" applyFont="1" applyFill="1" applyBorder="1" applyAlignment="1">
      <alignment horizontal="center" vertical="center" wrapText="1"/>
    </xf>
    <xf numFmtId="0" fontId="1" fillId="3" borderId="61" xfId="0" applyFont="1" applyFill="1" applyBorder="1" applyAlignment="1">
      <alignment horizontal="center" vertical="center" wrapText="1"/>
    </xf>
    <xf numFmtId="0" fontId="1" fillId="7" borderId="62" xfId="0" applyFont="1" applyFill="1" applyBorder="1" applyAlignment="1">
      <alignment horizontal="center" vertical="center" wrapText="1"/>
    </xf>
    <xf numFmtId="0" fontId="1" fillId="3" borderId="63" xfId="0" applyFont="1" applyFill="1" applyBorder="1" applyAlignment="1">
      <alignment horizontal="center" vertical="center" wrapText="1"/>
    </xf>
    <xf numFmtId="0" fontId="1" fillId="13" borderId="62" xfId="0" applyFont="1" applyFill="1" applyBorder="1" applyAlignment="1">
      <alignment horizontal="center" vertical="center" wrapText="1"/>
    </xf>
    <xf numFmtId="0" fontId="1" fillId="13" borderId="64" xfId="0" applyFont="1" applyFill="1" applyBorder="1" applyAlignment="1">
      <alignment horizontal="center" vertical="center" wrapText="1"/>
    </xf>
    <xf numFmtId="0" fontId="1" fillId="13" borderId="65" xfId="0" applyFont="1" applyFill="1" applyBorder="1" applyAlignment="1">
      <alignment horizontal="center" vertical="center" wrapText="1"/>
    </xf>
    <xf numFmtId="0" fontId="1" fillId="13" borderId="66" xfId="0" applyFont="1" applyFill="1" applyBorder="1" applyAlignment="1">
      <alignment horizontal="center" vertical="center" wrapText="1"/>
    </xf>
    <xf numFmtId="0" fontId="1" fillId="7" borderId="67" xfId="0" applyFont="1" applyFill="1" applyBorder="1" applyAlignment="1">
      <alignment horizontal="center" vertical="center" wrapText="1"/>
    </xf>
    <xf numFmtId="0" fontId="1" fillId="7" borderId="63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1" fillId="9" borderId="64" xfId="0" applyFont="1" applyFill="1" applyBorder="1" applyAlignment="1">
      <alignment horizontal="center" vertical="center" wrapText="1"/>
    </xf>
    <xf numFmtId="0" fontId="1" fillId="9" borderId="65" xfId="0" applyFont="1" applyFill="1" applyBorder="1" applyAlignment="1">
      <alignment horizontal="center" vertical="center" wrapText="1"/>
    </xf>
    <xf numFmtId="0" fontId="1" fillId="9" borderId="66" xfId="0" applyFont="1" applyFill="1" applyBorder="1" applyAlignment="1">
      <alignment horizontal="center" vertical="center" wrapText="1"/>
    </xf>
    <xf numFmtId="0" fontId="1" fillId="9" borderId="67" xfId="0" applyFont="1" applyFill="1" applyBorder="1" applyAlignment="1">
      <alignment horizontal="center" vertical="center" wrapText="1"/>
    </xf>
    <xf numFmtId="0" fontId="1" fillId="9" borderId="28" xfId="0" applyFont="1" applyFill="1" applyBorder="1" applyAlignment="1">
      <alignment horizontal="center" vertical="center" wrapText="1"/>
    </xf>
    <xf numFmtId="0" fontId="1" fillId="10" borderId="67" xfId="0" applyFont="1" applyFill="1" applyBorder="1" applyAlignment="1">
      <alignment horizontal="center" vertical="center" wrapText="1"/>
    </xf>
    <xf numFmtId="0" fontId="1" fillId="10" borderId="66" xfId="0" applyFont="1" applyFill="1" applyBorder="1" applyAlignment="1">
      <alignment horizontal="center" vertical="center" wrapText="1"/>
    </xf>
    <xf numFmtId="0" fontId="1" fillId="8" borderId="63" xfId="0" applyFont="1" applyFill="1" applyBorder="1" applyAlignment="1">
      <alignment horizontal="center" vertical="center" wrapText="1"/>
    </xf>
    <xf numFmtId="0" fontId="4" fillId="4" borderId="64" xfId="0" applyFont="1" applyFill="1" applyBorder="1" applyAlignment="1">
      <alignment horizontal="center" vertical="center" wrapText="1"/>
    </xf>
    <xf numFmtId="0" fontId="4" fillId="4" borderId="65" xfId="0" applyFont="1" applyFill="1" applyBorder="1" applyAlignment="1">
      <alignment horizontal="center" vertical="center" wrapText="1"/>
    </xf>
    <xf numFmtId="0" fontId="4" fillId="7" borderId="65" xfId="0" applyFont="1" applyFill="1" applyBorder="1" applyAlignment="1">
      <alignment horizontal="center" vertical="center" wrapText="1"/>
    </xf>
    <xf numFmtId="0" fontId="4" fillId="10" borderId="65" xfId="0" applyFont="1" applyFill="1" applyBorder="1" applyAlignment="1">
      <alignment horizontal="center" vertical="center" wrapText="1"/>
    </xf>
    <xf numFmtId="0" fontId="4" fillId="4" borderId="68" xfId="0" applyFont="1" applyFill="1" applyBorder="1" applyAlignment="1">
      <alignment horizontal="center" vertical="center" wrapText="1"/>
    </xf>
    <xf numFmtId="0" fontId="4" fillId="2" borderId="63" xfId="0" applyFont="1" applyFill="1" applyBorder="1" applyAlignment="1">
      <alignment horizontal="center" vertical="center" wrapText="1"/>
    </xf>
    <xf numFmtId="0" fontId="4" fillId="2" borderId="64" xfId="0" applyFont="1" applyFill="1" applyBorder="1" applyAlignment="1">
      <alignment horizontal="center" vertical="center" wrapText="1"/>
    </xf>
    <xf numFmtId="0" fontId="4" fillId="2" borderId="65" xfId="0" applyFont="1" applyFill="1" applyBorder="1" applyAlignment="1">
      <alignment horizontal="center" vertical="center" wrapText="1"/>
    </xf>
    <xf numFmtId="0" fontId="4" fillId="2" borderId="66" xfId="0" applyFont="1" applyFill="1" applyBorder="1" applyAlignment="1">
      <alignment horizontal="center" vertical="center" wrapText="1"/>
    </xf>
    <xf numFmtId="0" fontId="4" fillId="7" borderId="63" xfId="0" applyFont="1" applyFill="1" applyBorder="1" applyAlignment="1">
      <alignment horizontal="center" vertical="center" wrapText="1"/>
    </xf>
    <xf numFmtId="0" fontId="4" fillId="7" borderId="64" xfId="0" applyFont="1" applyFill="1" applyBorder="1" applyAlignment="1">
      <alignment horizontal="center" vertical="center" wrapText="1"/>
    </xf>
    <xf numFmtId="0" fontId="4" fillId="7" borderId="68" xfId="0" applyFont="1" applyFill="1" applyBorder="1" applyAlignment="1">
      <alignment horizontal="center" vertical="center" wrapText="1"/>
    </xf>
    <xf numFmtId="0" fontId="4" fillId="17" borderId="63" xfId="0" applyFont="1" applyFill="1" applyBorder="1" applyAlignment="1">
      <alignment horizontal="center" vertical="center" wrapText="1"/>
    </xf>
    <xf numFmtId="0" fontId="4" fillId="17" borderId="64" xfId="0" applyFont="1" applyFill="1" applyBorder="1" applyAlignment="1">
      <alignment horizontal="center" vertical="center" wrapText="1"/>
    </xf>
    <xf numFmtId="0" fontId="4" fillId="17" borderId="65" xfId="0" applyFont="1" applyFill="1" applyBorder="1" applyAlignment="1">
      <alignment horizontal="center" vertical="center" wrapText="1"/>
    </xf>
    <xf numFmtId="0" fontId="3" fillId="6" borderId="69" xfId="0" applyFont="1" applyFill="1" applyBorder="1" applyAlignment="1">
      <alignment horizontal="center" vertical="center" wrapText="1"/>
    </xf>
    <xf numFmtId="0" fontId="8" fillId="16" borderId="44" xfId="0" applyFont="1" applyFill="1" applyBorder="1" applyAlignment="1">
      <alignment vertical="center"/>
    </xf>
    <xf numFmtId="0" fontId="2" fillId="12" borderId="21" xfId="0" applyFont="1" applyFill="1" applyBorder="1" applyAlignment="1">
      <alignment vertical="center"/>
    </xf>
    <xf numFmtId="0" fontId="2" fillId="8" borderId="17" xfId="0" applyFont="1" applyFill="1" applyBorder="1" applyAlignment="1">
      <alignment horizontal="left" vertical="center"/>
    </xf>
    <xf numFmtId="0" fontId="2" fillId="8" borderId="13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2" fillId="12" borderId="5" xfId="0" applyFont="1" applyFill="1" applyBorder="1" applyAlignment="1">
      <alignment vertical="center"/>
    </xf>
    <xf numFmtId="0" fontId="2" fillId="8" borderId="9" xfId="0" applyFont="1" applyFill="1" applyBorder="1" applyAlignment="1">
      <alignment horizontal="left" vertical="center"/>
    </xf>
    <xf numFmtId="0" fontId="2" fillId="8" borderId="41" xfId="0" applyFont="1" applyFill="1" applyBorder="1" applyAlignment="1">
      <alignment horizontal="left" vertical="center"/>
    </xf>
    <xf numFmtId="0" fontId="2" fillId="4" borderId="21" xfId="0" applyFont="1" applyFill="1" applyBorder="1" applyAlignment="1">
      <alignment vertical="center"/>
    </xf>
    <xf numFmtId="0" fontId="2" fillId="8" borderId="17" xfId="0" applyFont="1" applyFill="1" applyBorder="1" applyAlignment="1">
      <alignment vertical="center"/>
    </xf>
    <xf numFmtId="0" fontId="2" fillId="8" borderId="9" xfId="0" applyFont="1" applyFill="1" applyBorder="1" applyAlignment="1">
      <alignment vertical="center"/>
    </xf>
    <xf numFmtId="0" fontId="2" fillId="14" borderId="21" xfId="0" applyFont="1" applyFill="1" applyBorder="1" applyAlignment="1">
      <alignment vertical="center"/>
    </xf>
    <xf numFmtId="0" fontId="2" fillId="14" borderId="41" xfId="0" applyFont="1" applyFill="1" applyBorder="1" applyAlignment="1">
      <alignment vertical="center"/>
    </xf>
    <xf numFmtId="0" fontId="2" fillId="14" borderId="9" xfId="0" applyFont="1" applyFill="1" applyBorder="1" applyAlignment="1">
      <alignment vertical="center"/>
    </xf>
    <xf numFmtId="0" fontId="2" fillId="11" borderId="21" xfId="0" applyFont="1" applyFill="1" applyBorder="1" applyAlignment="1">
      <alignment vertical="center"/>
    </xf>
    <xf numFmtId="0" fontId="2" fillId="11" borderId="41" xfId="0" applyFont="1" applyFill="1" applyBorder="1" applyAlignment="1">
      <alignment vertical="center"/>
    </xf>
    <xf numFmtId="0" fontId="2" fillId="11" borderId="9" xfId="0" applyFont="1" applyFill="1" applyBorder="1" applyAlignment="1">
      <alignment vertical="center"/>
    </xf>
    <xf numFmtId="0" fontId="2" fillId="4" borderId="5" xfId="0" applyFont="1" applyFill="1" applyBorder="1" applyAlignment="1">
      <alignment vertical="center"/>
    </xf>
    <xf numFmtId="0" fontId="2" fillId="8" borderId="13" xfId="0" applyFont="1" applyFill="1" applyBorder="1" applyAlignment="1">
      <alignment horizontal="center" vertical="center"/>
    </xf>
    <xf numFmtId="2" fontId="2" fillId="8" borderId="13" xfId="0" applyNumberFormat="1" applyFont="1" applyFill="1" applyBorder="1" applyAlignment="1">
      <alignment horizontal="center" vertical="center"/>
    </xf>
    <xf numFmtId="16" fontId="2" fillId="8" borderId="13" xfId="0" applyNumberFormat="1" applyFont="1" applyFill="1" applyBorder="1" applyAlignment="1">
      <alignment horizontal="center" vertical="center"/>
    </xf>
    <xf numFmtId="49" fontId="6" fillId="8" borderId="13" xfId="0" applyNumberFormat="1" applyFont="1" applyFill="1" applyBorder="1" applyAlignment="1">
      <alignment horizontal="center" vertical="center" wrapText="1"/>
    </xf>
    <xf numFmtId="0" fontId="6" fillId="8" borderId="13" xfId="0" applyFont="1" applyFill="1" applyBorder="1" applyAlignment="1">
      <alignment horizontal="center" vertical="center" wrapText="1"/>
    </xf>
    <xf numFmtId="0" fontId="6" fillId="8" borderId="13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47" xfId="0" applyFont="1" applyFill="1" applyBorder="1" applyAlignment="1">
      <alignment vertical="center"/>
    </xf>
    <xf numFmtId="0" fontId="2" fillId="7" borderId="44" xfId="0" applyFont="1" applyFill="1" applyBorder="1" applyAlignment="1">
      <alignment vertical="center"/>
    </xf>
    <xf numFmtId="0" fontId="2" fillId="3" borderId="21" xfId="0" applyFont="1" applyFill="1" applyBorder="1" applyAlignment="1">
      <alignment vertical="center"/>
    </xf>
    <xf numFmtId="0" fontId="2" fillId="13" borderId="44" xfId="0" applyFont="1" applyFill="1" applyBorder="1" applyAlignment="1">
      <alignment vertical="center"/>
    </xf>
    <xf numFmtId="0" fontId="2" fillId="13" borderId="17" xfId="0" applyFont="1" applyFill="1" applyBorder="1" applyAlignment="1">
      <alignment vertical="center"/>
    </xf>
    <xf numFmtId="0" fontId="2" fillId="13" borderId="13" xfId="0" applyFont="1" applyFill="1" applyBorder="1" applyAlignment="1">
      <alignment vertical="center"/>
    </xf>
    <xf numFmtId="0" fontId="2" fillId="13" borderId="1" xfId="0" applyFont="1" applyFill="1" applyBorder="1" applyAlignment="1">
      <alignment vertical="center"/>
    </xf>
    <xf numFmtId="0" fontId="2" fillId="7" borderId="5" xfId="0" applyFont="1" applyFill="1" applyBorder="1" applyAlignment="1">
      <alignment vertical="center"/>
    </xf>
    <xf numFmtId="0" fontId="2" fillId="7" borderId="21" xfId="0" applyFont="1" applyFill="1" applyBorder="1" applyAlignment="1">
      <alignment vertical="center"/>
    </xf>
    <xf numFmtId="0" fontId="2" fillId="13" borderId="13" xfId="0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left" vertical="center"/>
    </xf>
    <xf numFmtId="0" fontId="2" fillId="3" borderId="41" xfId="0" applyFont="1" applyFill="1" applyBorder="1" applyAlignment="1">
      <alignment horizontal="left" vertical="center"/>
    </xf>
    <xf numFmtId="0" fontId="2" fillId="9" borderId="17" xfId="0" applyFont="1" applyFill="1" applyBorder="1" applyAlignment="1">
      <alignment vertical="center"/>
    </xf>
    <xf numFmtId="0" fontId="2" fillId="9" borderId="13" xfId="0" applyFont="1" applyFill="1" applyBorder="1" applyAlignment="1">
      <alignment vertical="center"/>
    </xf>
    <xf numFmtId="0" fontId="2" fillId="11" borderId="1" xfId="0" applyFont="1" applyFill="1" applyBorder="1" applyAlignment="1">
      <alignment vertical="center"/>
    </xf>
    <xf numFmtId="0" fontId="2" fillId="11" borderId="5" xfId="0" applyFont="1" applyFill="1" applyBorder="1" applyAlignment="1">
      <alignment vertical="center"/>
    </xf>
    <xf numFmtId="0" fontId="2" fillId="10" borderId="5" xfId="0" applyFont="1" applyFill="1" applyBorder="1" applyAlignment="1">
      <alignment vertical="center"/>
    </xf>
    <xf numFmtId="0" fontId="2" fillId="10" borderId="1" xfId="0" applyFont="1" applyFill="1" applyBorder="1" applyAlignment="1">
      <alignment vertical="center"/>
    </xf>
    <xf numFmtId="0" fontId="2" fillId="8" borderId="21" xfId="0" applyFont="1" applyFill="1" applyBorder="1" applyAlignment="1">
      <alignment vertical="center"/>
    </xf>
    <xf numFmtId="0" fontId="2" fillId="2" borderId="17" xfId="0" applyFont="1" applyFill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7" borderId="13" xfId="0" applyFont="1" applyFill="1" applyBorder="1" applyAlignment="1">
      <alignment vertical="center"/>
    </xf>
    <xf numFmtId="0" fontId="2" fillId="7" borderId="9" xfId="0" applyFont="1" applyFill="1" applyBorder="1" applyAlignment="1">
      <alignment vertical="center"/>
    </xf>
    <xf numFmtId="0" fontId="2" fillId="3" borderId="17" xfId="0" applyFont="1" applyFill="1" applyBorder="1" applyAlignment="1">
      <alignment vertical="center"/>
    </xf>
    <xf numFmtId="0" fontId="2" fillId="3" borderId="41" xfId="0" applyFont="1" applyFill="1" applyBorder="1" applyAlignment="1">
      <alignment vertical="center"/>
    </xf>
    <xf numFmtId="0" fontId="2" fillId="7" borderId="5" xfId="0" applyFont="1" applyFill="1" applyBorder="1" applyAlignment="1">
      <alignment horizontal="left" vertical="center"/>
    </xf>
    <xf numFmtId="0" fontId="2" fillId="5" borderId="13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5" fillId="3" borderId="62" xfId="0" applyFont="1" applyFill="1" applyBorder="1" applyAlignment="1">
      <alignment horizontal="center" vertical="center" wrapText="1"/>
    </xf>
    <xf numFmtId="0" fontId="1" fillId="3" borderId="64" xfId="0" applyFont="1" applyFill="1" applyBorder="1" applyAlignment="1">
      <alignment horizontal="center" vertical="center" wrapText="1"/>
    </xf>
    <xf numFmtId="0" fontId="4" fillId="7" borderId="66" xfId="0" applyFont="1" applyFill="1" applyBorder="1" applyAlignment="1">
      <alignment horizontal="center" vertical="center" wrapText="1"/>
    </xf>
    <xf numFmtId="0" fontId="4" fillId="7" borderId="67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vertical="center"/>
    </xf>
    <xf numFmtId="0" fontId="1" fillId="11" borderId="66" xfId="0" applyFont="1" applyFill="1" applyBorder="1" applyAlignment="1">
      <alignment horizontal="center" vertical="center" wrapText="1"/>
    </xf>
    <xf numFmtId="0" fontId="1" fillId="18" borderId="23" xfId="0" applyFont="1" applyFill="1" applyBorder="1" applyAlignment="1">
      <alignment horizontal="center" vertical="center" wrapText="1"/>
    </xf>
    <xf numFmtId="0" fontId="4" fillId="18" borderId="63" xfId="0" applyFont="1" applyFill="1" applyBorder="1" applyAlignment="1">
      <alignment horizontal="center" vertical="center" wrapText="1"/>
    </xf>
    <xf numFmtId="0" fontId="4" fillId="18" borderId="23" xfId="0" applyFont="1" applyFill="1" applyBorder="1" applyAlignment="1">
      <alignment horizontal="center" vertical="center" wrapText="1"/>
    </xf>
    <xf numFmtId="0" fontId="4" fillId="18" borderId="64" xfId="0" applyFont="1" applyFill="1" applyBorder="1" applyAlignment="1">
      <alignment horizontal="center" vertical="center" wrapText="1"/>
    </xf>
    <xf numFmtId="0" fontId="4" fillId="18" borderId="19" xfId="0" applyFont="1" applyFill="1" applyBorder="1" applyAlignment="1">
      <alignment horizontal="center" vertical="center" wrapText="1"/>
    </xf>
    <xf numFmtId="0" fontId="1" fillId="18" borderId="19" xfId="0" applyFont="1" applyFill="1" applyBorder="1" applyAlignment="1">
      <alignment horizontal="center" vertical="center" wrapText="1"/>
    </xf>
    <xf numFmtId="0" fontId="4" fillId="18" borderId="68" xfId="0" applyFont="1" applyFill="1" applyBorder="1" applyAlignment="1">
      <alignment horizontal="center" vertical="center" wrapText="1"/>
    </xf>
    <xf numFmtId="0" fontId="4" fillId="18" borderId="11" xfId="0" applyFont="1" applyFill="1" applyBorder="1" applyAlignment="1">
      <alignment horizontal="center" vertical="center" wrapText="1"/>
    </xf>
    <xf numFmtId="0" fontId="1" fillId="18" borderId="11" xfId="0" applyFont="1" applyFill="1" applyBorder="1" applyAlignment="1">
      <alignment horizontal="center" vertical="center" wrapText="1"/>
    </xf>
    <xf numFmtId="0" fontId="2" fillId="7" borderId="44" xfId="0" applyFont="1" applyFill="1" applyBorder="1" applyAlignment="1">
      <alignment horizontal="left" vertical="center"/>
    </xf>
    <xf numFmtId="0" fontId="2" fillId="5" borderId="5" xfId="0" applyFont="1" applyFill="1" applyBorder="1" applyAlignment="1">
      <alignment horizontal="left" vertical="center"/>
    </xf>
    <xf numFmtId="0" fontId="2" fillId="9" borderId="9" xfId="0" applyFont="1" applyFill="1" applyBorder="1" applyAlignment="1">
      <alignment vertical="center"/>
    </xf>
    <xf numFmtId="0" fontId="1" fillId="9" borderId="68" xfId="0" applyFont="1" applyFill="1" applyBorder="1" applyAlignment="1">
      <alignment horizontal="center" vertical="center" wrapText="1"/>
    </xf>
    <xf numFmtId="0" fontId="1" fillId="9" borderId="11" xfId="0" applyFont="1" applyFill="1" applyBorder="1" applyAlignment="1">
      <alignment horizontal="center" vertical="center" wrapText="1"/>
    </xf>
    <xf numFmtId="0" fontId="1" fillId="9" borderId="10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1" fillId="9" borderId="63" xfId="0" applyFont="1" applyFill="1" applyBorder="1" applyAlignment="1">
      <alignment horizontal="center" vertical="center" wrapText="1"/>
    </xf>
    <xf numFmtId="0" fontId="1" fillId="9" borderId="23" xfId="0" applyFont="1" applyFill="1" applyBorder="1" applyAlignment="1">
      <alignment horizontal="center" vertical="center" wrapText="1"/>
    </xf>
    <xf numFmtId="0" fontId="1" fillId="9" borderId="22" xfId="0" applyFont="1" applyFill="1" applyBorder="1" applyAlignment="1">
      <alignment horizontal="center" vertical="center" wrapText="1"/>
    </xf>
    <xf numFmtId="0" fontId="1" fillId="9" borderId="21" xfId="0" applyFont="1" applyFill="1" applyBorder="1" applyAlignment="1">
      <alignment horizontal="center" vertical="center" wrapText="1"/>
    </xf>
    <xf numFmtId="0" fontId="2" fillId="9" borderId="12" xfId="0" applyFont="1" applyFill="1" applyBorder="1" applyAlignment="1">
      <alignment vertical="center"/>
    </xf>
    <xf numFmtId="0" fontId="5" fillId="19" borderId="37" xfId="0" applyFont="1" applyFill="1" applyBorder="1" applyAlignment="1">
      <alignment horizontal="center" vertical="center" wrapText="1"/>
    </xf>
    <xf numFmtId="0" fontId="1" fillId="19" borderId="23" xfId="0" applyFont="1" applyFill="1" applyBorder="1" applyAlignment="1">
      <alignment horizontal="center" vertical="center" wrapText="1"/>
    </xf>
    <xf numFmtId="0" fontId="1" fillId="19" borderId="19" xfId="0" applyFont="1" applyFill="1" applyBorder="1" applyAlignment="1">
      <alignment horizontal="center" vertical="center" wrapText="1"/>
    </xf>
    <xf numFmtId="0" fontId="1" fillId="19" borderId="15" xfId="0" applyFont="1" applyFill="1" applyBorder="1" applyAlignment="1">
      <alignment horizontal="center" vertical="center" wrapText="1"/>
    </xf>
    <xf numFmtId="0" fontId="1" fillId="19" borderId="3" xfId="0" applyFont="1" applyFill="1" applyBorder="1" applyAlignment="1">
      <alignment horizontal="center" vertical="center" wrapText="1"/>
    </xf>
    <xf numFmtId="0" fontId="1" fillId="19" borderId="7" xfId="0" applyFont="1" applyFill="1" applyBorder="1" applyAlignment="1">
      <alignment horizontal="center" vertical="center" wrapText="1"/>
    </xf>
    <xf numFmtId="0" fontId="1" fillId="19" borderId="11" xfId="0" applyFont="1" applyFill="1" applyBorder="1" applyAlignment="1">
      <alignment horizontal="center" vertical="center" wrapText="1"/>
    </xf>
    <xf numFmtId="0" fontId="5" fillId="19" borderId="62" xfId="0" applyFont="1" applyFill="1" applyBorder="1" applyAlignment="1">
      <alignment horizontal="center" vertical="center" wrapText="1"/>
    </xf>
    <xf numFmtId="0" fontId="1" fillId="19" borderId="27" xfId="0" applyFont="1" applyFill="1" applyBorder="1" applyAlignment="1">
      <alignment horizontal="center" vertical="center" wrapText="1"/>
    </xf>
    <xf numFmtId="0" fontId="1" fillId="19" borderId="49" xfId="0" applyFont="1" applyFill="1" applyBorder="1" applyAlignment="1">
      <alignment horizontal="center" vertical="center" wrapText="1"/>
    </xf>
    <xf numFmtId="0" fontId="1" fillId="19" borderId="37" xfId="0" applyFont="1" applyFill="1" applyBorder="1" applyAlignment="1">
      <alignment horizontal="center" vertical="center" wrapText="1"/>
    </xf>
    <xf numFmtId="0" fontId="4" fillId="19" borderId="19" xfId="0" applyFont="1" applyFill="1" applyBorder="1" applyAlignment="1">
      <alignment horizontal="center" vertical="center" wrapText="1"/>
    </xf>
    <xf numFmtId="0" fontId="4" fillId="19" borderId="15" xfId="0" applyFont="1" applyFill="1" applyBorder="1" applyAlignment="1">
      <alignment horizontal="center" vertical="center" wrapText="1"/>
    </xf>
    <xf numFmtId="0" fontId="4" fillId="19" borderId="11" xfId="0" applyFont="1" applyFill="1" applyBorder="1" applyAlignment="1">
      <alignment horizontal="center" vertical="center" wrapText="1"/>
    </xf>
    <xf numFmtId="0" fontId="4" fillId="19" borderId="23" xfId="0" applyFont="1" applyFill="1" applyBorder="1" applyAlignment="1">
      <alignment horizontal="center" vertical="center" wrapText="1"/>
    </xf>
    <xf numFmtId="0" fontId="4" fillId="19" borderId="3" xfId="0" applyFont="1" applyFill="1" applyBorder="1" applyAlignment="1">
      <alignment horizontal="center" vertical="center" wrapText="1"/>
    </xf>
    <xf numFmtId="0" fontId="3" fillId="19" borderId="32" xfId="0" applyFont="1" applyFill="1" applyBorder="1" applyAlignment="1">
      <alignment horizontal="center" vertical="center" wrapText="1"/>
    </xf>
    <xf numFmtId="0" fontId="3" fillId="19" borderId="60" xfId="0" applyFont="1" applyFill="1" applyBorder="1" applyAlignment="1">
      <alignment horizontal="center" vertical="center" wrapText="1"/>
    </xf>
    <xf numFmtId="0" fontId="0" fillId="19" borderId="0" xfId="0" applyFill="1"/>
    <xf numFmtId="0" fontId="9" fillId="3" borderId="52" xfId="0" applyFont="1" applyFill="1" applyBorder="1" applyAlignment="1">
      <alignment horizontal="center" vertical="center"/>
    </xf>
    <xf numFmtId="0" fontId="9" fillId="3" borderId="51" xfId="0" applyFont="1" applyFill="1" applyBorder="1" applyAlignment="1">
      <alignment horizontal="center" vertical="center"/>
    </xf>
    <xf numFmtId="0" fontId="9" fillId="3" borderId="36" xfId="0" applyFont="1" applyFill="1" applyBorder="1" applyAlignment="1">
      <alignment horizontal="center" vertical="center"/>
    </xf>
    <xf numFmtId="0" fontId="0" fillId="0" borderId="44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2" fillId="3" borderId="36" xfId="0" applyFont="1" applyFill="1" applyBorder="1" applyAlignment="1">
      <alignment horizontal="center" vertical="center" wrapText="1"/>
    </xf>
    <xf numFmtId="0" fontId="2" fillId="3" borderId="29" xfId="0" applyFont="1" applyFill="1" applyBorder="1" applyAlignment="1">
      <alignment horizontal="center" vertical="center" wrapText="1"/>
    </xf>
    <xf numFmtId="0" fontId="2" fillId="3" borderId="25" xfId="0" applyFont="1" applyFill="1" applyBorder="1" applyAlignment="1">
      <alignment horizontal="center" vertical="center" wrapText="1"/>
    </xf>
  </cellXfs>
  <cellStyles count="1">
    <cellStyle name="Normal" xfId="0" builtinId="0"/>
  </cellStyles>
  <dxfs count="139"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I263"/>
  <sheetViews>
    <sheetView zoomScale="80" zoomScaleNormal="80" workbookViewId="0">
      <pane xSplit="1" ySplit="3" topLeftCell="B4" activePane="bottomRight" state="frozen"/>
      <selection activeCell="AG3" sqref="AG3"/>
      <selection pane="topRight" activeCell="AG3" sqref="AG3"/>
      <selection pane="bottomLeft" activeCell="AG3" sqref="AG3"/>
      <selection pane="bottomRight" activeCell="A39" sqref="A39"/>
    </sheetView>
  </sheetViews>
  <sheetFormatPr baseColWidth="10" defaultRowHeight="15" x14ac:dyDescent="0.25"/>
  <cols>
    <col min="1" max="1" width="34.7109375" customWidth="1"/>
    <col min="2" max="13" width="8.28515625" customWidth="1"/>
    <col min="14" max="14" width="10.140625" customWidth="1"/>
    <col min="15" max="27" width="8.28515625" customWidth="1"/>
    <col min="28" max="28" width="9.7109375" customWidth="1"/>
    <col min="29" max="32" width="8.28515625" customWidth="1"/>
    <col min="33" max="33" width="11.140625" customWidth="1"/>
    <col min="34" max="34" width="12.42578125" customWidth="1"/>
  </cols>
  <sheetData>
    <row r="1" spans="1:33" ht="21.75" thickBot="1" x14ac:dyDescent="0.3">
      <c r="A1" s="400"/>
      <c r="B1" s="401"/>
      <c r="C1" s="401"/>
      <c r="D1" s="401"/>
      <c r="E1" s="401"/>
      <c r="F1" s="401"/>
      <c r="G1" s="401"/>
      <c r="H1" s="401"/>
      <c r="I1" s="401"/>
      <c r="J1" s="401"/>
      <c r="K1" s="401"/>
      <c r="L1" s="401"/>
      <c r="M1" s="401"/>
      <c r="N1" s="401"/>
      <c r="O1" s="401"/>
      <c r="P1" s="401"/>
      <c r="Q1" s="401"/>
      <c r="R1" s="401"/>
      <c r="S1" s="401"/>
      <c r="T1" s="401"/>
      <c r="U1" s="401"/>
      <c r="V1" s="401"/>
      <c r="W1" s="401"/>
      <c r="X1" s="401"/>
      <c r="Y1" s="401"/>
      <c r="Z1" s="401"/>
      <c r="AA1" s="401"/>
      <c r="AB1" s="401"/>
      <c r="AC1" s="401"/>
      <c r="AD1" s="401"/>
      <c r="AE1" s="401"/>
      <c r="AF1" s="401"/>
      <c r="AG1" s="402"/>
    </row>
    <row r="2" spans="1:33" ht="21.75" thickBot="1" x14ac:dyDescent="0.3">
      <c r="A2" s="298" t="s">
        <v>149</v>
      </c>
      <c r="B2" s="246">
        <v>1</v>
      </c>
      <c r="C2" s="215">
        <f t="shared" ref="C2:AA2" si="0">+B2+1</f>
        <v>2</v>
      </c>
      <c r="D2" s="215">
        <f t="shared" si="0"/>
        <v>3</v>
      </c>
      <c r="E2" s="215">
        <f t="shared" si="0"/>
        <v>4</v>
      </c>
      <c r="F2" s="215">
        <f t="shared" si="0"/>
        <v>5</v>
      </c>
      <c r="G2" s="215">
        <f t="shared" si="0"/>
        <v>6</v>
      </c>
      <c r="H2" s="215">
        <f t="shared" si="0"/>
        <v>7</v>
      </c>
      <c r="I2" s="215">
        <f t="shared" si="0"/>
        <v>8</v>
      </c>
      <c r="J2" s="215">
        <f t="shared" si="0"/>
        <v>9</v>
      </c>
      <c r="K2" s="215">
        <f t="shared" si="0"/>
        <v>10</v>
      </c>
      <c r="L2" s="215">
        <f t="shared" si="0"/>
        <v>11</v>
      </c>
      <c r="M2" s="215">
        <f t="shared" si="0"/>
        <v>12</v>
      </c>
      <c r="N2" s="215">
        <f t="shared" si="0"/>
        <v>13</v>
      </c>
      <c r="O2" s="215">
        <f t="shared" si="0"/>
        <v>14</v>
      </c>
      <c r="P2" s="215">
        <f t="shared" si="0"/>
        <v>15</v>
      </c>
      <c r="Q2" s="215">
        <f t="shared" si="0"/>
        <v>16</v>
      </c>
      <c r="R2" s="215">
        <f t="shared" si="0"/>
        <v>17</v>
      </c>
      <c r="S2" s="215">
        <f t="shared" si="0"/>
        <v>18</v>
      </c>
      <c r="T2" s="215">
        <f t="shared" si="0"/>
        <v>19</v>
      </c>
      <c r="U2" s="215">
        <f t="shared" si="0"/>
        <v>20</v>
      </c>
      <c r="V2" s="215">
        <f t="shared" si="0"/>
        <v>21</v>
      </c>
      <c r="W2" s="215">
        <f t="shared" si="0"/>
        <v>22</v>
      </c>
      <c r="X2" s="215">
        <f t="shared" si="0"/>
        <v>23</v>
      </c>
      <c r="Y2" s="215">
        <f t="shared" si="0"/>
        <v>24</v>
      </c>
      <c r="Z2" s="215">
        <f t="shared" si="0"/>
        <v>25</v>
      </c>
      <c r="AA2" s="215">
        <f t="shared" si="0"/>
        <v>26</v>
      </c>
      <c r="AB2" s="215">
        <v>27</v>
      </c>
      <c r="AC2" s="215">
        <f>+AB2+1</f>
        <v>28</v>
      </c>
      <c r="AD2" s="215">
        <v>29</v>
      </c>
      <c r="AE2" s="215">
        <v>30</v>
      </c>
      <c r="AF2" s="215">
        <v>31</v>
      </c>
      <c r="AG2" s="214" t="s">
        <v>148</v>
      </c>
    </row>
    <row r="3" spans="1:33" ht="19.5" thickBot="1" x14ac:dyDescent="0.3">
      <c r="A3" s="299" t="s">
        <v>147</v>
      </c>
      <c r="B3" s="247">
        <f t="shared" ref="B3:AF3" si="1">SUM(B4:B27)</f>
        <v>0</v>
      </c>
      <c r="C3" s="120">
        <f t="shared" si="1"/>
        <v>0</v>
      </c>
      <c r="D3" s="120">
        <f t="shared" si="1"/>
        <v>0</v>
      </c>
      <c r="E3" s="120">
        <f t="shared" si="1"/>
        <v>0</v>
      </c>
      <c r="F3" s="120">
        <f t="shared" si="1"/>
        <v>0</v>
      </c>
      <c r="G3" s="120">
        <f t="shared" si="1"/>
        <v>0</v>
      </c>
      <c r="H3" s="120">
        <f t="shared" si="1"/>
        <v>0</v>
      </c>
      <c r="I3" s="120">
        <f t="shared" si="1"/>
        <v>0</v>
      </c>
      <c r="J3" s="120">
        <f t="shared" si="1"/>
        <v>0</v>
      </c>
      <c r="K3" s="120">
        <f t="shared" si="1"/>
        <v>0</v>
      </c>
      <c r="L3" s="120">
        <f t="shared" si="1"/>
        <v>0</v>
      </c>
      <c r="M3" s="120">
        <f t="shared" si="1"/>
        <v>0</v>
      </c>
      <c r="N3" s="120">
        <f t="shared" si="1"/>
        <v>0</v>
      </c>
      <c r="O3" s="120">
        <f t="shared" si="1"/>
        <v>0</v>
      </c>
      <c r="P3" s="120">
        <f t="shared" si="1"/>
        <v>0</v>
      </c>
      <c r="Q3" s="120">
        <f t="shared" si="1"/>
        <v>0</v>
      </c>
      <c r="R3" s="120">
        <f t="shared" si="1"/>
        <v>0</v>
      </c>
      <c r="S3" s="120">
        <f t="shared" si="1"/>
        <v>0</v>
      </c>
      <c r="T3" s="120">
        <f t="shared" si="1"/>
        <v>0</v>
      </c>
      <c r="U3" s="120">
        <f t="shared" si="1"/>
        <v>0</v>
      </c>
      <c r="V3" s="120">
        <f t="shared" si="1"/>
        <v>0</v>
      </c>
      <c r="W3" s="120">
        <f t="shared" si="1"/>
        <v>0</v>
      </c>
      <c r="X3" s="120">
        <f t="shared" si="1"/>
        <v>0</v>
      </c>
      <c r="Y3" s="120">
        <f t="shared" si="1"/>
        <v>0</v>
      </c>
      <c r="Z3" s="120">
        <f t="shared" si="1"/>
        <v>0</v>
      </c>
      <c r="AA3" s="120">
        <f t="shared" si="1"/>
        <v>0</v>
      </c>
      <c r="AB3" s="120">
        <f t="shared" si="1"/>
        <v>0</v>
      </c>
      <c r="AC3" s="120">
        <f t="shared" si="1"/>
        <v>0</v>
      </c>
      <c r="AD3" s="120">
        <f t="shared" si="1"/>
        <v>0</v>
      </c>
      <c r="AE3" s="120">
        <f t="shared" si="1"/>
        <v>0</v>
      </c>
      <c r="AF3" s="120">
        <f t="shared" si="1"/>
        <v>0</v>
      </c>
      <c r="AG3" s="118">
        <f t="shared" ref="AG3:AG34" si="2">SUM(B3:AF3)</f>
        <v>0</v>
      </c>
    </row>
    <row r="4" spans="1:33" ht="18.75" x14ac:dyDescent="0.25">
      <c r="A4" s="300" t="s">
        <v>144</v>
      </c>
      <c r="B4" s="248"/>
      <c r="C4" s="199"/>
      <c r="D4" s="199"/>
      <c r="E4" s="199"/>
      <c r="F4" s="199"/>
      <c r="G4" s="199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199"/>
      <c r="AF4" s="206"/>
      <c r="AG4" s="134">
        <f t="shared" si="2"/>
        <v>0</v>
      </c>
    </row>
    <row r="5" spans="1:33" ht="18.75" x14ac:dyDescent="0.25">
      <c r="A5" s="301" t="s">
        <v>143</v>
      </c>
      <c r="B5" s="249"/>
      <c r="C5" s="162"/>
      <c r="D5" s="162"/>
      <c r="E5" s="162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162"/>
      <c r="X5" s="162"/>
      <c r="Y5" s="162"/>
      <c r="Z5" s="162"/>
      <c r="AA5" s="162"/>
      <c r="AB5" s="162"/>
      <c r="AC5" s="162"/>
      <c r="AD5" s="162"/>
      <c r="AE5" s="162"/>
      <c r="AF5" s="161"/>
      <c r="AG5" s="64">
        <f t="shared" si="2"/>
        <v>0</v>
      </c>
    </row>
    <row r="6" spans="1:33" ht="18.75" x14ac:dyDescent="0.25">
      <c r="A6" s="301" t="s">
        <v>142</v>
      </c>
      <c r="B6" s="249"/>
      <c r="C6" s="162"/>
      <c r="D6" s="162"/>
      <c r="E6" s="162"/>
      <c r="F6" s="162"/>
      <c r="G6" s="162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  <c r="AA6" s="162"/>
      <c r="AB6" s="162"/>
      <c r="AC6" s="162"/>
      <c r="AD6" s="162"/>
      <c r="AE6" s="162"/>
      <c r="AF6" s="161"/>
      <c r="AG6" s="64">
        <f t="shared" si="2"/>
        <v>0</v>
      </c>
    </row>
    <row r="7" spans="1:33" ht="18.75" x14ac:dyDescent="0.25">
      <c r="A7" s="301" t="s">
        <v>141</v>
      </c>
      <c r="B7" s="249"/>
      <c r="C7" s="162"/>
      <c r="D7" s="162"/>
      <c r="E7" s="162"/>
      <c r="F7" s="162"/>
      <c r="G7" s="162"/>
      <c r="H7" s="162"/>
      <c r="I7" s="162"/>
      <c r="J7" s="162"/>
      <c r="K7" s="162"/>
      <c r="L7" s="162"/>
      <c r="M7" s="162"/>
      <c r="N7" s="162"/>
      <c r="O7" s="162"/>
      <c r="P7" s="162"/>
      <c r="Q7" s="162"/>
      <c r="R7" s="162"/>
      <c r="S7" s="162"/>
      <c r="T7" s="162"/>
      <c r="U7" s="162"/>
      <c r="V7" s="162"/>
      <c r="W7" s="162"/>
      <c r="X7" s="162"/>
      <c r="Y7" s="162"/>
      <c r="Z7" s="162"/>
      <c r="AA7" s="162"/>
      <c r="AB7" s="162"/>
      <c r="AC7" s="162"/>
      <c r="AD7" s="162"/>
      <c r="AE7" s="162"/>
      <c r="AF7" s="161"/>
      <c r="AG7" s="64">
        <f t="shared" si="2"/>
        <v>0</v>
      </c>
    </row>
    <row r="8" spans="1:33" ht="18.75" x14ac:dyDescent="0.25">
      <c r="A8" s="301" t="s">
        <v>140</v>
      </c>
      <c r="B8" s="249"/>
      <c r="C8" s="162"/>
      <c r="D8" s="162"/>
      <c r="E8" s="162"/>
      <c r="F8" s="162"/>
      <c r="G8" s="162"/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  <c r="X8" s="162"/>
      <c r="Y8" s="162"/>
      <c r="Z8" s="162"/>
      <c r="AA8" s="162"/>
      <c r="AB8" s="162"/>
      <c r="AC8" s="162"/>
      <c r="AD8" s="162"/>
      <c r="AE8" s="162"/>
      <c r="AF8" s="161"/>
      <c r="AG8" s="64">
        <f t="shared" si="2"/>
        <v>0</v>
      </c>
    </row>
    <row r="9" spans="1:33" ht="18.75" x14ac:dyDescent="0.25">
      <c r="A9" s="301" t="s">
        <v>139</v>
      </c>
      <c r="B9" s="249"/>
      <c r="C9" s="162"/>
      <c r="D9" s="162"/>
      <c r="E9" s="162"/>
      <c r="F9" s="162"/>
      <c r="G9" s="162"/>
      <c r="H9" s="162"/>
      <c r="I9" s="162"/>
      <c r="J9" s="162"/>
      <c r="K9" s="162"/>
      <c r="L9" s="162"/>
      <c r="M9" s="162"/>
      <c r="N9" s="162"/>
      <c r="O9" s="162"/>
      <c r="P9" s="162"/>
      <c r="Q9" s="162"/>
      <c r="R9" s="162"/>
      <c r="S9" s="162"/>
      <c r="T9" s="162"/>
      <c r="U9" s="162"/>
      <c r="V9" s="162"/>
      <c r="W9" s="162"/>
      <c r="X9" s="162"/>
      <c r="Y9" s="162"/>
      <c r="Z9" s="162"/>
      <c r="AA9" s="162"/>
      <c r="AB9" s="162"/>
      <c r="AC9" s="162"/>
      <c r="AD9" s="162"/>
      <c r="AE9" s="162"/>
      <c r="AF9" s="161"/>
      <c r="AG9" s="64">
        <f t="shared" si="2"/>
        <v>0</v>
      </c>
    </row>
    <row r="10" spans="1:33" ht="18.75" x14ac:dyDescent="0.25">
      <c r="A10" s="301" t="s">
        <v>138</v>
      </c>
      <c r="B10" s="249"/>
      <c r="C10" s="162"/>
      <c r="D10" s="162"/>
      <c r="E10" s="162"/>
      <c r="F10" s="162"/>
      <c r="G10" s="162"/>
      <c r="H10" s="162"/>
      <c r="I10" s="162"/>
      <c r="J10" s="162"/>
      <c r="K10" s="162"/>
      <c r="L10" s="162"/>
      <c r="M10" s="162"/>
      <c r="N10" s="162"/>
      <c r="O10" s="162"/>
      <c r="P10" s="162"/>
      <c r="Q10" s="162"/>
      <c r="R10" s="162"/>
      <c r="S10" s="162"/>
      <c r="T10" s="162"/>
      <c r="U10" s="162"/>
      <c r="V10" s="162"/>
      <c r="W10" s="162"/>
      <c r="X10" s="162"/>
      <c r="Y10" s="162"/>
      <c r="Z10" s="162"/>
      <c r="AA10" s="162"/>
      <c r="AB10" s="162"/>
      <c r="AC10" s="162"/>
      <c r="AD10" s="162"/>
      <c r="AE10" s="162"/>
      <c r="AF10" s="161"/>
      <c r="AG10" s="64">
        <f t="shared" si="2"/>
        <v>0</v>
      </c>
    </row>
    <row r="11" spans="1:33" ht="18.75" x14ac:dyDescent="0.25">
      <c r="A11" s="301" t="s">
        <v>137</v>
      </c>
      <c r="B11" s="249"/>
      <c r="C11" s="162"/>
      <c r="D11" s="162"/>
      <c r="E11" s="162"/>
      <c r="F11" s="162"/>
      <c r="G11" s="162"/>
      <c r="H11" s="162"/>
      <c r="I11" s="162"/>
      <c r="J11" s="162"/>
      <c r="K11" s="162"/>
      <c r="L11" s="162"/>
      <c r="M11" s="162"/>
      <c r="N11" s="162"/>
      <c r="O11" s="162"/>
      <c r="P11" s="162"/>
      <c r="Q11" s="162"/>
      <c r="R11" s="162"/>
      <c r="S11" s="162"/>
      <c r="T11" s="162"/>
      <c r="U11" s="162"/>
      <c r="V11" s="162"/>
      <c r="W11" s="162"/>
      <c r="X11" s="162"/>
      <c r="Y11" s="162"/>
      <c r="Z11" s="162"/>
      <c r="AA11" s="162"/>
      <c r="AB11" s="162"/>
      <c r="AC11" s="162"/>
      <c r="AD11" s="162"/>
      <c r="AE11" s="162"/>
      <c r="AF11" s="161"/>
      <c r="AG11" s="64">
        <f t="shared" si="2"/>
        <v>0</v>
      </c>
    </row>
    <row r="12" spans="1:33" ht="18.75" x14ac:dyDescent="0.25">
      <c r="A12" s="301" t="s">
        <v>136</v>
      </c>
      <c r="B12" s="249"/>
      <c r="C12" s="162"/>
      <c r="D12" s="162"/>
      <c r="E12" s="162"/>
      <c r="F12" s="162"/>
      <c r="G12" s="162"/>
      <c r="H12" s="162"/>
      <c r="I12" s="162"/>
      <c r="J12" s="162"/>
      <c r="K12" s="162"/>
      <c r="L12" s="162"/>
      <c r="M12" s="162"/>
      <c r="N12" s="162"/>
      <c r="O12" s="162"/>
      <c r="P12" s="162"/>
      <c r="Q12" s="162"/>
      <c r="R12" s="162"/>
      <c r="S12" s="162"/>
      <c r="T12" s="162"/>
      <c r="U12" s="162"/>
      <c r="V12" s="162"/>
      <c r="W12" s="162"/>
      <c r="X12" s="162"/>
      <c r="Y12" s="162"/>
      <c r="Z12" s="162"/>
      <c r="AA12" s="162"/>
      <c r="AB12" s="162"/>
      <c r="AC12" s="162"/>
      <c r="AD12" s="162"/>
      <c r="AE12" s="162"/>
      <c r="AF12" s="161"/>
      <c r="AG12" s="64">
        <f t="shared" si="2"/>
        <v>0</v>
      </c>
    </row>
    <row r="13" spans="1:33" ht="18.75" x14ac:dyDescent="0.25">
      <c r="A13" s="301" t="s">
        <v>135</v>
      </c>
      <c r="B13" s="249"/>
      <c r="C13" s="162"/>
      <c r="D13" s="162"/>
      <c r="E13" s="162"/>
      <c r="F13" s="162"/>
      <c r="G13" s="162"/>
      <c r="H13" s="162"/>
      <c r="I13" s="162"/>
      <c r="J13" s="162"/>
      <c r="K13" s="162"/>
      <c r="L13" s="162"/>
      <c r="M13" s="162"/>
      <c r="N13" s="162"/>
      <c r="O13" s="162"/>
      <c r="P13" s="162"/>
      <c r="Q13" s="162"/>
      <c r="R13" s="162"/>
      <c r="S13" s="162"/>
      <c r="T13" s="162"/>
      <c r="U13" s="162"/>
      <c r="V13" s="162"/>
      <c r="W13" s="162"/>
      <c r="X13" s="162"/>
      <c r="Y13" s="162"/>
      <c r="Z13" s="162"/>
      <c r="AA13" s="162"/>
      <c r="AB13" s="162"/>
      <c r="AC13" s="162"/>
      <c r="AD13" s="162"/>
      <c r="AE13" s="162"/>
      <c r="AF13" s="161"/>
      <c r="AG13" s="64">
        <f t="shared" si="2"/>
        <v>0</v>
      </c>
    </row>
    <row r="14" spans="1:33" ht="18.75" x14ac:dyDescent="0.25">
      <c r="A14" s="301" t="s">
        <v>134</v>
      </c>
      <c r="B14" s="249"/>
      <c r="C14" s="162"/>
      <c r="D14" s="162"/>
      <c r="E14" s="162"/>
      <c r="F14" s="162"/>
      <c r="G14" s="162"/>
      <c r="H14" s="162"/>
      <c r="I14" s="162"/>
      <c r="J14" s="162"/>
      <c r="K14" s="162"/>
      <c r="L14" s="162"/>
      <c r="M14" s="162"/>
      <c r="N14" s="162"/>
      <c r="O14" s="162"/>
      <c r="P14" s="162"/>
      <c r="Q14" s="162"/>
      <c r="R14" s="162"/>
      <c r="S14" s="162"/>
      <c r="T14" s="162"/>
      <c r="U14" s="162"/>
      <c r="V14" s="162"/>
      <c r="W14" s="162"/>
      <c r="X14" s="162"/>
      <c r="Y14" s="162"/>
      <c r="Z14" s="162"/>
      <c r="AA14" s="162"/>
      <c r="AB14" s="162"/>
      <c r="AC14" s="162"/>
      <c r="AD14" s="162"/>
      <c r="AE14" s="162"/>
      <c r="AF14" s="161"/>
      <c r="AG14" s="64">
        <f t="shared" si="2"/>
        <v>0</v>
      </c>
    </row>
    <row r="15" spans="1:33" ht="18.75" x14ac:dyDescent="0.25">
      <c r="A15" s="301" t="s">
        <v>133</v>
      </c>
      <c r="B15" s="249"/>
      <c r="C15" s="162"/>
      <c r="D15" s="162"/>
      <c r="E15" s="162"/>
      <c r="F15" s="162"/>
      <c r="G15" s="162"/>
      <c r="H15" s="162"/>
      <c r="I15" s="162"/>
      <c r="J15" s="162"/>
      <c r="K15" s="162"/>
      <c r="L15" s="162"/>
      <c r="M15" s="162"/>
      <c r="N15" s="162"/>
      <c r="O15" s="162"/>
      <c r="P15" s="162"/>
      <c r="Q15" s="162"/>
      <c r="R15" s="162"/>
      <c r="S15" s="162"/>
      <c r="T15" s="162"/>
      <c r="U15" s="162"/>
      <c r="V15" s="162"/>
      <c r="W15" s="162"/>
      <c r="X15" s="162"/>
      <c r="Y15" s="162"/>
      <c r="Z15" s="162"/>
      <c r="AA15" s="162"/>
      <c r="AB15" s="162"/>
      <c r="AC15" s="162"/>
      <c r="AD15" s="162"/>
      <c r="AE15" s="162"/>
      <c r="AF15" s="161"/>
      <c r="AG15" s="64">
        <f t="shared" si="2"/>
        <v>0</v>
      </c>
    </row>
    <row r="16" spans="1:33" ht="18.75" x14ac:dyDescent="0.25">
      <c r="A16" s="301" t="s">
        <v>132</v>
      </c>
      <c r="B16" s="249"/>
      <c r="C16" s="162"/>
      <c r="D16" s="162"/>
      <c r="E16" s="162"/>
      <c r="F16" s="162"/>
      <c r="G16" s="162"/>
      <c r="H16" s="162"/>
      <c r="I16" s="162"/>
      <c r="J16" s="162"/>
      <c r="K16" s="162"/>
      <c r="L16" s="162"/>
      <c r="M16" s="162"/>
      <c r="N16" s="162"/>
      <c r="O16" s="162"/>
      <c r="P16" s="162"/>
      <c r="Q16" s="162"/>
      <c r="R16" s="162"/>
      <c r="S16" s="162"/>
      <c r="T16" s="162"/>
      <c r="U16" s="162"/>
      <c r="V16" s="162"/>
      <c r="W16" s="162"/>
      <c r="X16" s="162"/>
      <c r="Y16" s="162"/>
      <c r="Z16" s="162"/>
      <c r="AA16" s="162"/>
      <c r="AB16" s="162"/>
      <c r="AC16" s="162"/>
      <c r="AD16" s="162"/>
      <c r="AE16" s="162"/>
      <c r="AF16" s="161"/>
      <c r="AG16" s="64">
        <f t="shared" si="2"/>
        <v>0</v>
      </c>
    </row>
    <row r="17" spans="1:33" ht="18.75" x14ac:dyDescent="0.25">
      <c r="A17" s="301" t="s">
        <v>131</v>
      </c>
      <c r="B17" s="249"/>
      <c r="C17" s="162"/>
      <c r="D17" s="162"/>
      <c r="E17" s="162"/>
      <c r="F17" s="162"/>
      <c r="G17" s="162"/>
      <c r="H17" s="162"/>
      <c r="I17" s="162"/>
      <c r="J17" s="162"/>
      <c r="K17" s="162"/>
      <c r="L17" s="162"/>
      <c r="M17" s="162"/>
      <c r="N17" s="162"/>
      <c r="O17" s="162"/>
      <c r="P17" s="162"/>
      <c r="Q17" s="162"/>
      <c r="R17" s="162"/>
      <c r="S17" s="162"/>
      <c r="T17" s="162"/>
      <c r="U17" s="162"/>
      <c r="V17" s="162"/>
      <c r="W17" s="162"/>
      <c r="X17" s="162"/>
      <c r="Y17" s="162"/>
      <c r="Z17" s="162"/>
      <c r="AA17" s="162"/>
      <c r="AB17" s="162"/>
      <c r="AC17" s="162"/>
      <c r="AD17" s="162"/>
      <c r="AE17" s="162"/>
      <c r="AF17" s="161"/>
      <c r="AG17" s="64">
        <f t="shared" si="2"/>
        <v>0</v>
      </c>
    </row>
    <row r="18" spans="1:33" ht="18.75" x14ac:dyDescent="0.25">
      <c r="A18" s="301" t="s">
        <v>130</v>
      </c>
      <c r="B18" s="249"/>
      <c r="C18" s="162"/>
      <c r="D18" s="162"/>
      <c r="E18" s="162"/>
      <c r="F18" s="162"/>
      <c r="G18" s="162"/>
      <c r="H18" s="162"/>
      <c r="I18" s="162"/>
      <c r="J18" s="162"/>
      <c r="K18" s="162"/>
      <c r="L18" s="162"/>
      <c r="M18" s="162"/>
      <c r="N18" s="162"/>
      <c r="O18" s="162"/>
      <c r="P18" s="162"/>
      <c r="Q18" s="162"/>
      <c r="R18" s="162"/>
      <c r="S18" s="162"/>
      <c r="T18" s="162"/>
      <c r="U18" s="162"/>
      <c r="V18" s="162"/>
      <c r="W18" s="162"/>
      <c r="X18" s="162"/>
      <c r="Y18" s="162"/>
      <c r="Z18" s="162"/>
      <c r="AA18" s="162"/>
      <c r="AB18" s="162"/>
      <c r="AC18" s="162"/>
      <c r="AD18" s="162"/>
      <c r="AE18" s="162"/>
      <c r="AF18" s="161"/>
      <c r="AG18" s="64">
        <f t="shared" si="2"/>
        <v>0</v>
      </c>
    </row>
    <row r="19" spans="1:33" ht="18.75" x14ac:dyDescent="0.25">
      <c r="A19" s="301" t="s">
        <v>129</v>
      </c>
      <c r="B19" s="249"/>
      <c r="C19" s="162"/>
      <c r="D19" s="162"/>
      <c r="E19" s="162"/>
      <c r="F19" s="162"/>
      <c r="G19" s="162"/>
      <c r="H19" s="162"/>
      <c r="I19" s="162"/>
      <c r="J19" s="162"/>
      <c r="K19" s="162"/>
      <c r="L19" s="162"/>
      <c r="M19" s="162"/>
      <c r="N19" s="162"/>
      <c r="O19" s="162"/>
      <c r="P19" s="162"/>
      <c r="Q19" s="162"/>
      <c r="R19" s="162"/>
      <c r="S19" s="162"/>
      <c r="T19" s="162"/>
      <c r="U19" s="162"/>
      <c r="V19" s="162"/>
      <c r="W19" s="162"/>
      <c r="X19" s="162"/>
      <c r="Y19" s="162"/>
      <c r="Z19" s="162"/>
      <c r="AA19" s="162"/>
      <c r="AB19" s="162"/>
      <c r="AC19" s="162"/>
      <c r="AD19" s="162"/>
      <c r="AE19" s="162"/>
      <c r="AF19" s="161"/>
      <c r="AG19" s="64">
        <f t="shared" si="2"/>
        <v>0</v>
      </c>
    </row>
    <row r="20" spans="1:33" ht="18.75" x14ac:dyDescent="0.25">
      <c r="A20" s="301" t="s">
        <v>128</v>
      </c>
      <c r="B20" s="249"/>
      <c r="C20" s="162"/>
      <c r="D20" s="162"/>
      <c r="E20" s="162"/>
      <c r="F20" s="162"/>
      <c r="G20" s="162"/>
      <c r="H20" s="162"/>
      <c r="I20" s="162"/>
      <c r="J20" s="162"/>
      <c r="K20" s="162"/>
      <c r="L20" s="162"/>
      <c r="M20" s="162"/>
      <c r="N20" s="162"/>
      <c r="O20" s="162"/>
      <c r="P20" s="162"/>
      <c r="Q20" s="162"/>
      <c r="R20" s="162"/>
      <c r="S20" s="162"/>
      <c r="T20" s="162"/>
      <c r="U20" s="162"/>
      <c r="V20" s="162"/>
      <c r="W20" s="162"/>
      <c r="X20" s="162"/>
      <c r="Y20" s="162"/>
      <c r="Z20" s="162"/>
      <c r="AA20" s="162"/>
      <c r="AB20" s="162"/>
      <c r="AC20" s="162"/>
      <c r="AD20" s="162"/>
      <c r="AE20" s="162"/>
      <c r="AF20" s="161"/>
      <c r="AG20" s="64">
        <f t="shared" si="2"/>
        <v>0</v>
      </c>
    </row>
    <row r="21" spans="1:33" ht="18.75" x14ac:dyDescent="0.25">
      <c r="A21" s="301" t="s">
        <v>127</v>
      </c>
      <c r="B21" s="249"/>
      <c r="C21" s="162"/>
      <c r="D21" s="162"/>
      <c r="E21" s="162"/>
      <c r="F21" s="162"/>
      <c r="G21" s="162"/>
      <c r="H21" s="162"/>
      <c r="I21" s="162"/>
      <c r="J21" s="162"/>
      <c r="K21" s="162"/>
      <c r="L21" s="162"/>
      <c r="M21" s="162"/>
      <c r="N21" s="162"/>
      <c r="O21" s="162"/>
      <c r="P21" s="162"/>
      <c r="Q21" s="162"/>
      <c r="R21" s="162"/>
      <c r="S21" s="162"/>
      <c r="T21" s="162"/>
      <c r="U21" s="162"/>
      <c r="V21" s="162"/>
      <c r="W21" s="162"/>
      <c r="X21" s="162"/>
      <c r="Y21" s="162"/>
      <c r="Z21" s="162"/>
      <c r="AA21" s="162"/>
      <c r="AB21" s="162"/>
      <c r="AC21" s="162"/>
      <c r="AD21" s="162"/>
      <c r="AE21" s="162"/>
      <c r="AF21" s="161"/>
      <c r="AG21" s="64">
        <f t="shared" si="2"/>
        <v>0</v>
      </c>
    </row>
    <row r="22" spans="1:33" ht="18.75" x14ac:dyDescent="0.25">
      <c r="A22" s="301" t="s">
        <v>126</v>
      </c>
      <c r="B22" s="249"/>
      <c r="C22" s="162"/>
      <c r="D22" s="162"/>
      <c r="E22" s="162"/>
      <c r="F22" s="162"/>
      <c r="G22" s="162"/>
      <c r="H22" s="162"/>
      <c r="I22" s="162"/>
      <c r="J22" s="162"/>
      <c r="K22" s="162"/>
      <c r="L22" s="162"/>
      <c r="M22" s="162"/>
      <c r="N22" s="162"/>
      <c r="O22" s="162"/>
      <c r="P22" s="162"/>
      <c r="Q22" s="162"/>
      <c r="R22" s="162"/>
      <c r="S22" s="162"/>
      <c r="T22" s="162"/>
      <c r="U22" s="162"/>
      <c r="V22" s="162"/>
      <c r="W22" s="162"/>
      <c r="X22" s="162"/>
      <c r="Y22" s="162"/>
      <c r="Z22" s="162"/>
      <c r="AA22" s="162"/>
      <c r="AB22" s="162"/>
      <c r="AC22" s="162"/>
      <c r="AD22" s="162"/>
      <c r="AE22" s="162"/>
      <c r="AF22" s="161"/>
      <c r="AG22" s="64">
        <f t="shared" si="2"/>
        <v>0</v>
      </c>
    </row>
    <row r="23" spans="1:33" ht="18.75" x14ac:dyDescent="0.25">
      <c r="A23" s="301" t="s">
        <v>125</v>
      </c>
      <c r="B23" s="249"/>
      <c r="C23" s="162"/>
      <c r="D23" s="162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62"/>
      <c r="U23" s="162"/>
      <c r="V23" s="162"/>
      <c r="W23" s="162"/>
      <c r="X23" s="162"/>
      <c r="Y23" s="162"/>
      <c r="Z23" s="162"/>
      <c r="AA23" s="162"/>
      <c r="AB23" s="162"/>
      <c r="AC23" s="162"/>
      <c r="AD23" s="162"/>
      <c r="AE23" s="162"/>
      <c r="AF23" s="161"/>
      <c r="AG23" s="64">
        <f t="shared" si="2"/>
        <v>0</v>
      </c>
    </row>
    <row r="24" spans="1:33" ht="18.75" x14ac:dyDescent="0.25">
      <c r="A24" s="301" t="s">
        <v>124</v>
      </c>
      <c r="B24" s="249"/>
      <c r="C24" s="162"/>
      <c r="D24" s="162"/>
      <c r="E24" s="162"/>
      <c r="F24" s="162"/>
      <c r="G24" s="162"/>
      <c r="H24" s="162"/>
      <c r="I24" s="162"/>
      <c r="J24" s="162"/>
      <c r="K24" s="162"/>
      <c r="L24" s="162"/>
      <c r="M24" s="162"/>
      <c r="N24" s="162"/>
      <c r="O24" s="162"/>
      <c r="P24" s="162"/>
      <c r="Q24" s="162"/>
      <c r="R24" s="162"/>
      <c r="S24" s="162"/>
      <c r="T24" s="162"/>
      <c r="U24" s="162"/>
      <c r="V24" s="162"/>
      <c r="W24" s="162"/>
      <c r="X24" s="162"/>
      <c r="Y24" s="162"/>
      <c r="Z24" s="162"/>
      <c r="AA24" s="162"/>
      <c r="AB24" s="162"/>
      <c r="AC24" s="162"/>
      <c r="AD24" s="162"/>
      <c r="AE24" s="162"/>
      <c r="AF24" s="161"/>
      <c r="AG24" s="64">
        <f t="shared" si="2"/>
        <v>0</v>
      </c>
    </row>
    <row r="25" spans="1:33" ht="18.75" x14ac:dyDescent="0.25">
      <c r="A25" s="301" t="s">
        <v>123</v>
      </c>
      <c r="B25" s="249"/>
      <c r="C25" s="162"/>
      <c r="D25" s="162"/>
      <c r="E25" s="162"/>
      <c r="F25" s="162"/>
      <c r="G25" s="162"/>
      <c r="H25" s="162"/>
      <c r="I25" s="162"/>
      <c r="J25" s="162"/>
      <c r="K25" s="162"/>
      <c r="L25" s="162"/>
      <c r="M25" s="162"/>
      <c r="N25" s="162"/>
      <c r="O25" s="162"/>
      <c r="P25" s="162"/>
      <c r="Q25" s="162"/>
      <c r="R25" s="162"/>
      <c r="S25" s="162"/>
      <c r="T25" s="162"/>
      <c r="U25" s="162"/>
      <c r="V25" s="162"/>
      <c r="W25" s="162"/>
      <c r="X25" s="162"/>
      <c r="Y25" s="162"/>
      <c r="Z25" s="162"/>
      <c r="AA25" s="162"/>
      <c r="AB25" s="162"/>
      <c r="AC25" s="162"/>
      <c r="AD25" s="162"/>
      <c r="AE25" s="162"/>
      <c r="AF25" s="161"/>
      <c r="AG25" s="64">
        <f t="shared" si="2"/>
        <v>0</v>
      </c>
    </row>
    <row r="26" spans="1:33" ht="18.75" x14ac:dyDescent="0.25">
      <c r="A26" s="301" t="s">
        <v>122</v>
      </c>
      <c r="B26" s="249"/>
      <c r="C26" s="162"/>
      <c r="D26" s="162"/>
      <c r="E26" s="162"/>
      <c r="F26" s="162"/>
      <c r="G26" s="162"/>
      <c r="H26" s="162"/>
      <c r="I26" s="162"/>
      <c r="J26" s="162"/>
      <c r="K26" s="162"/>
      <c r="L26" s="162"/>
      <c r="M26" s="162"/>
      <c r="N26" s="162"/>
      <c r="O26" s="162"/>
      <c r="P26" s="162"/>
      <c r="Q26" s="162"/>
      <c r="R26" s="162"/>
      <c r="S26" s="162"/>
      <c r="T26" s="162"/>
      <c r="U26" s="162"/>
      <c r="V26" s="162"/>
      <c r="W26" s="162"/>
      <c r="X26" s="162"/>
      <c r="Y26" s="162"/>
      <c r="Z26" s="162"/>
      <c r="AA26" s="162"/>
      <c r="AB26" s="162"/>
      <c r="AC26" s="162"/>
      <c r="AD26" s="162"/>
      <c r="AE26" s="162"/>
      <c r="AF26" s="161"/>
      <c r="AG26" s="64">
        <f t="shared" si="2"/>
        <v>0</v>
      </c>
    </row>
    <row r="27" spans="1:33" ht="19.5" thickBot="1" x14ac:dyDescent="0.3">
      <c r="A27" s="302" t="s">
        <v>121</v>
      </c>
      <c r="B27" s="250"/>
      <c r="C27" s="212"/>
      <c r="D27" s="212"/>
      <c r="E27" s="212"/>
      <c r="F27" s="212"/>
      <c r="G27" s="212"/>
      <c r="H27" s="212"/>
      <c r="I27" s="212"/>
      <c r="J27" s="212"/>
      <c r="K27" s="212"/>
      <c r="L27" s="212"/>
      <c r="M27" s="212"/>
      <c r="N27" s="212"/>
      <c r="O27" s="212"/>
      <c r="P27" s="212"/>
      <c r="Q27" s="212"/>
      <c r="R27" s="212"/>
      <c r="S27" s="212"/>
      <c r="T27" s="212"/>
      <c r="U27" s="212"/>
      <c r="V27" s="212"/>
      <c r="W27" s="212"/>
      <c r="X27" s="212"/>
      <c r="Y27" s="212"/>
      <c r="Z27" s="212"/>
      <c r="AA27" s="212"/>
      <c r="AB27" s="212"/>
      <c r="AC27" s="212"/>
      <c r="AD27" s="212"/>
      <c r="AE27" s="212"/>
      <c r="AF27" s="211"/>
      <c r="AG27" s="64">
        <f t="shared" si="2"/>
        <v>0</v>
      </c>
    </row>
    <row r="28" spans="1:33" ht="18.75" x14ac:dyDescent="0.25">
      <c r="A28" s="303" t="s">
        <v>146</v>
      </c>
      <c r="B28" s="251">
        <f t="shared" ref="B28:AF28" si="3">SUM(B29:B52)</f>
        <v>0</v>
      </c>
      <c r="C28" s="209">
        <f t="shared" si="3"/>
        <v>0</v>
      </c>
      <c r="D28" s="209">
        <f t="shared" si="3"/>
        <v>0</v>
      </c>
      <c r="E28" s="209">
        <f t="shared" si="3"/>
        <v>0</v>
      </c>
      <c r="F28" s="209">
        <f t="shared" si="3"/>
        <v>0</v>
      </c>
      <c r="G28" s="209">
        <f t="shared" si="3"/>
        <v>0</v>
      </c>
      <c r="H28" s="209">
        <f t="shared" si="3"/>
        <v>0</v>
      </c>
      <c r="I28" s="209">
        <f t="shared" si="3"/>
        <v>0</v>
      </c>
      <c r="J28" s="209">
        <f t="shared" si="3"/>
        <v>0</v>
      </c>
      <c r="K28" s="209">
        <f t="shared" si="3"/>
        <v>0</v>
      </c>
      <c r="L28" s="209">
        <f t="shared" si="3"/>
        <v>0</v>
      </c>
      <c r="M28" s="209">
        <f t="shared" si="3"/>
        <v>0</v>
      </c>
      <c r="N28" s="209">
        <f t="shared" si="3"/>
        <v>0</v>
      </c>
      <c r="O28" s="209">
        <f t="shared" si="3"/>
        <v>0</v>
      </c>
      <c r="P28" s="209">
        <f t="shared" si="3"/>
        <v>0</v>
      </c>
      <c r="Q28" s="209">
        <f t="shared" si="3"/>
        <v>0</v>
      </c>
      <c r="R28" s="209">
        <f t="shared" si="3"/>
        <v>0</v>
      </c>
      <c r="S28" s="209">
        <f t="shared" si="3"/>
        <v>0</v>
      </c>
      <c r="T28" s="209">
        <f t="shared" si="3"/>
        <v>0</v>
      </c>
      <c r="U28" s="209">
        <f t="shared" si="3"/>
        <v>0</v>
      </c>
      <c r="V28" s="209">
        <f t="shared" si="3"/>
        <v>0</v>
      </c>
      <c r="W28" s="209">
        <f t="shared" si="3"/>
        <v>0</v>
      </c>
      <c r="X28" s="209">
        <f t="shared" si="3"/>
        <v>0</v>
      </c>
      <c r="Y28" s="209">
        <f t="shared" si="3"/>
        <v>0</v>
      </c>
      <c r="Z28" s="209">
        <f t="shared" si="3"/>
        <v>0</v>
      </c>
      <c r="AA28" s="209">
        <f t="shared" si="3"/>
        <v>0</v>
      </c>
      <c r="AB28" s="209">
        <f t="shared" si="3"/>
        <v>0</v>
      </c>
      <c r="AC28" s="209">
        <f t="shared" si="3"/>
        <v>0</v>
      </c>
      <c r="AD28" s="209">
        <f t="shared" si="3"/>
        <v>0</v>
      </c>
      <c r="AE28" s="209">
        <f t="shared" si="3"/>
        <v>0</v>
      </c>
      <c r="AF28" s="209">
        <f t="shared" si="3"/>
        <v>0</v>
      </c>
      <c r="AG28" s="164">
        <f t="shared" si="2"/>
        <v>0</v>
      </c>
    </row>
    <row r="29" spans="1:33" ht="18.75" x14ac:dyDescent="0.25">
      <c r="A29" s="301" t="s">
        <v>144</v>
      </c>
      <c r="B29" s="249"/>
      <c r="C29" s="162"/>
      <c r="D29" s="162"/>
      <c r="E29" s="162"/>
      <c r="F29" s="162"/>
      <c r="G29" s="162"/>
      <c r="H29" s="162"/>
      <c r="I29" s="162"/>
      <c r="J29" s="162"/>
      <c r="K29" s="162"/>
      <c r="L29" s="162"/>
      <c r="M29" s="162"/>
      <c r="N29" s="162"/>
      <c r="O29" s="162"/>
      <c r="P29" s="162"/>
      <c r="Q29" s="162"/>
      <c r="R29" s="162"/>
      <c r="S29" s="162"/>
      <c r="T29" s="162"/>
      <c r="U29" s="162"/>
      <c r="V29" s="162"/>
      <c r="W29" s="162"/>
      <c r="X29" s="162"/>
      <c r="Y29" s="162"/>
      <c r="Z29" s="162"/>
      <c r="AA29" s="162"/>
      <c r="AB29" s="162"/>
      <c r="AC29" s="162"/>
      <c r="AD29" s="162"/>
      <c r="AE29" s="162"/>
      <c r="AF29" s="161"/>
      <c r="AG29" s="64">
        <f t="shared" si="2"/>
        <v>0</v>
      </c>
    </row>
    <row r="30" spans="1:33" ht="18.75" x14ac:dyDescent="0.25">
      <c r="A30" s="301" t="s">
        <v>143</v>
      </c>
      <c r="B30" s="249"/>
      <c r="C30" s="162"/>
      <c r="D30" s="162"/>
      <c r="E30" s="162"/>
      <c r="F30" s="162"/>
      <c r="G30" s="162"/>
      <c r="H30" s="162"/>
      <c r="I30" s="162"/>
      <c r="J30" s="162"/>
      <c r="K30" s="162"/>
      <c r="L30" s="162"/>
      <c r="M30" s="162"/>
      <c r="N30" s="162"/>
      <c r="O30" s="162"/>
      <c r="P30" s="162"/>
      <c r="Q30" s="162"/>
      <c r="R30" s="162"/>
      <c r="S30" s="162"/>
      <c r="T30" s="162"/>
      <c r="U30" s="162"/>
      <c r="V30" s="162"/>
      <c r="W30" s="162"/>
      <c r="X30" s="162"/>
      <c r="Y30" s="162"/>
      <c r="Z30" s="162"/>
      <c r="AA30" s="162"/>
      <c r="AB30" s="162"/>
      <c r="AC30" s="162"/>
      <c r="AD30" s="162"/>
      <c r="AE30" s="162"/>
      <c r="AF30" s="161"/>
      <c r="AG30" s="64">
        <f t="shared" si="2"/>
        <v>0</v>
      </c>
    </row>
    <row r="31" spans="1:33" ht="18.75" x14ac:dyDescent="0.25">
      <c r="A31" s="301" t="s">
        <v>142</v>
      </c>
      <c r="B31" s="249"/>
      <c r="C31" s="162"/>
      <c r="D31" s="162"/>
      <c r="E31" s="162"/>
      <c r="F31" s="162"/>
      <c r="G31" s="162"/>
      <c r="H31" s="162"/>
      <c r="I31" s="162"/>
      <c r="J31" s="162"/>
      <c r="K31" s="162"/>
      <c r="L31" s="162"/>
      <c r="M31" s="162"/>
      <c r="N31" s="162"/>
      <c r="O31" s="162"/>
      <c r="P31" s="162"/>
      <c r="Q31" s="162"/>
      <c r="R31" s="162"/>
      <c r="S31" s="162"/>
      <c r="T31" s="162"/>
      <c r="U31" s="162"/>
      <c r="V31" s="162"/>
      <c r="W31" s="162"/>
      <c r="X31" s="162"/>
      <c r="Y31" s="162"/>
      <c r="Z31" s="162"/>
      <c r="AA31" s="162"/>
      <c r="AB31" s="162"/>
      <c r="AC31" s="162"/>
      <c r="AD31" s="162"/>
      <c r="AE31" s="162"/>
      <c r="AF31" s="161"/>
      <c r="AG31" s="64">
        <f t="shared" si="2"/>
        <v>0</v>
      </c>
    </row>
    <row r="32" spans="1:33" ht="18.75" x14ac:dyDescent="0.25">
      <c r="A32" s="301" t="s">
        <v>141</v>
      </c>
      <c r="B32" s="249"/>
      <c r="C32" s="162"/>
      <c r="D32" s="162"/>
      <c r="E32" s="162"/>
      <c r="F32" s="162"/>
      <c r="G32" s="162"/>
      <c r="H32" s="162"/>
      <c r="I32" s="162"/>
      <c r="J32" s="162"/>
      <c r="K32" s="162"/>
      <c r="L32" s="162"/>
      <c r="M32" s="162"/>
      <c r="N32" s="162"/>
      <c r="O32" s="162"/>
      <c r="P32" s="162"/>
      <c r="Q32" s="162"/>
      <c r="R32" s="162"/>
      <c r="S32" s="162"/>
      <c r="T32" s="162"/>
      <c r="U32" s="162"/>
      <c r="V32" s="162"/>
      <c r="W32" s="162"/>
      <c r="X32" s="162"/>
      <c r="Y32" s="162"/>
      <c r="Z32" s="162"/>
      <c r="AA32" s="162"/>
      <c r="AB32" s="162"/>
      <c r="AC32" s="162"/>
      <c r="AD32" s="162"/>
      <c r="AE32" s="162"/>
      <c r="AF32" s="161"/>
      <c r="AG32" s="64">
        <f t="shared" si="2"/>
        <v>0</v>
      </c>
    </row>
    <row r="33" spans="1:33" ht="18.75" x14ac:dyDescent="0.25">
      <c r="A33" s="301" t="s">
        <v>140</v>
      </c>
      <c r="B33" s="249"/>
      <c r="C33" s="162"/>
      <c r="D33" s="162"/>
      <c r="E33" s="162"/>
      <c r="F33" s="162"/>
      <c r="G33" s="162"/>
      <c r="H33" s="162"/>
      <c r="I33" s="162"/>
      <c r="J33" s="162"/>
      <c r="K33" s="162"/>
      <c r="L33" s="162"/>
      <c r="M33" s="162"/>
      <c r="N33" s="162"/>
      <c r="O33" s="162"/>
      <c r="P33" s="162"/>
      <c r="Q33" s="162"/>
      <c r="R33" s="162"/>
      <c r="S33" s="162"/>
      <c r="T33" s="162"/>
      <c r="U33" s="162"/>
      <c r="V33" s="162"/>
      <c r="W33" s="162"/>
      <c r="X33" s="162"/>
      <c r="Y33" s="162"/>
      <c r="Z33" s="162"/>
      <c r="AA33" s="162"/>
      <c r="AB33" s="162"/>
      <c r="AC33" s="162"/>
      <c r="AD33" s="162"/>
      <c r="AE33" s="162"/>
      <c r="AF33" s="161"/>
      <c r="AG33" s="64">
        <f t="shared" si="2"/>
        <v>0</v>
      </c>
    </row>
    <row r="34" spans="1:33" ht="18.75" x14ac:dyDescent="0.25">
      <c r="A34" s="301" t="s">
        <v>139</v>
      </c>
      <c r="B34" s="249"/>
      <c r="C34" s="162"/>
      <c r="D34" s="162"/>
      <c r="E34" s="162"/>
      <c r="F34" s="162"/>
      <c r="G34" s="162"/>
      <c r="H34" s="162"/>
      <c r="I34" s="162"/>
      <c r="J34" s="162"/>
      <c r="K34" s="162"/>
      <c r="L34" s="162"/>
      <c r="M34" s="162"/>
      <c r="N34" s="162"/>
      <c r="O34" s="162"/>
      <c r="P34" s="162"/>
      <c r="Q34" s="162"/>
      <c r="R34" s="162"/>
      <c r="S34" s="162"/>
      <c r="T34" s="162"/>
      <c r="U34" s="162"/>
      <c r="V34" s="162"/>
      <c r="W34" s="162"/>
      <c r="X34" s="162"/>
      <c r="Y34" s="162"/>
      <c r="Z34" s="162"/>
      <c r="AA34" s="162"/>
      <c r="AB34" s="162"/>
      <c r="AC34" s="162"/>
      <c r="AD34" s="162"/>
      <c r="AE34" s="162"/>
      <c r="AF34" s="161"/>
      <c r="AG34" s="64">
        <f t="shared" si="2"/>
        <v>0</v>
      </c>
    </row>
    <row r="35" spans="1:33" ht="18.75" x14ac:dyDescent="0.25">
      <c r="A35" s="301" t="s">
        <v>138</v>
      </c>
      <c r="B35" s="249"/>
      <c r="C35" s="162"/>
      <c r="D35" s="162"/>
      <c r="E35" s="162"/>
      <c r="F35" s="162"/>
      <c r="G35" s="162"/>
      <c r="H35" s="162"/>
      <c r="I35" s="162"/>
      <c r="J35" s="162"/>
      <c r="K35" s="162"/>
      <c r="L35" s="162"/>
      <c r="M35" s="162"/>
      <c r="N35" s="162"/>
      <c r="O35" s="162"/>
      <c r="P35" s="162"/>
      <c r="Q35" s="162"/>
      <c r="R35" s="162"/>
      <c r="S35" s="162"/>
      <c r="T35" s="162"/>
      <c r="U35" s="162"/>
      <c r="V35" s="162"/>
      <c r="W35" s="162"/>
      <c r="X35" s="162"/>
      <c r="Y35" s="162"/>
      <c r="Z35" s="162"/>
      <c r="AA35" s="162"/>
      <c r="AB35" s="162"/>
      <c r="AC35" s="162"/>
      <c r="AD35" s="162"/>
      <c r="AE35" s="162"/>
      <c r="AF35" s="161"/>
      <c r="AG35" s="64">
        <f t="shared" ref="AG35:AG66" si="4">SUM(B35:AF35)</f>
        <v>0</v>
      </c>
    </row>
    <row r="36" spans="1:33" ht="18.75" x14ac:dyDescent="0.25">
      <c r="A36" s="301" t="s">
        <v>137</v>
      </c>
      <c r="B36" s="249"/>
      <c r="C36" s="162"/>
      <c r="D36" s="162"/>
      <c r="E36" s="162"/>
      <c r="F36" s="162"/>
      <c r="G36" s="162"/>
      <c r="H36" s="162"/>
      <c r="I36" s="162"/>
      <c r="J36" s="162"/>
      <c r="K36" s="162"/>
      <c r="L36" s="162"/>
      <c r="M36" s="162"/>
      <c r="N36" s="162"/>
      <c r="O36" s="162"/>
      <c r="P36" s="162"/>
      <c r="Q36" s="162"/>
      <c r="R36" s="162"/>
      <c r="S36" s="162"/>
      <c r="T36" s="162"/>
      <c r="U36" s="162"/>
      <c r="V36" s="162"/>
      <c r="W36" s="162"/>
      <c r="X36" s="162"/>
      <c r="Y36" s="162"/>
      <c r="Z36" s="162"/>
      <c r="AA36" s="162"/>
      <c r="AB36" s="162"/>
      <c r="AC36" s="162"/>
      <c r="AD36" s="162"/>
      <c r="AE36" s="162"/>
      <c r="AF36" s="161"/>
      <c r="AG36" s="64">
        <f t="shared" si="4"/>
        <v>0</v>
      </c>
    </row>
    <row r="37" spans="1:33" ht="18.75" x14ac:dyDescent="0.25">
      <c r="A37" s="301" t="s">
        <v>136</v>
      </c>
      <c r="B37" s="249"/>
      <c r="C37" s="162"/>
      <c r="D37" s="162"/>
      <c r="E37" s="162"/>
      <c r="F37" s="162"/>
      <c r="G37" s="162"/>
      <c r="H37" s="162"/>
      <c r="I37" s="162"/>
      <c r="J37" s="162"/>
      <c r="K37" s="162"/>
      <c r="L37" s="162"/>
      <c r="M37" s="162"/>
      <c r="N37" s="162"/>
      <c r="O37" s="162"/>
      <c r="P37" s="162"/>
      <c r="Q37" s="162"/>
      <c r="R37" s="162"/>
      <c r="S37" s="162"/>
      <c r="T37" s="162"/>
      <c r="U37" s="162"/>
      <c r="V37" s="162"/>
      <c r="W37" s="162"/>
      <c r="X37" s="162"/>
      <c r="Y37" s="162"/>
      <c r="Z37" s="162"/>
      <c r="AA37" s="162"/>
      <c r="AB37" s="162"/>
      <c r="AC37" s="162"/>
      <c r="AD37" s="162"/>
      <c r="AE37" s="162"/>
      <c r="AF37" s="161"/>
      <c r="AG37" s="64">
        <f t="shared" si="4"/>
        <v>0</v>
      </c>
    </row>
    <row r="38" spans="1:33" ht="18.75" x14ac:dyDescent="0.25">
      <c r="A38" s="301" t="s">
        <v>135</v>
      </c>
      <c r="B38" s="249"/>
      <c r="C38" s="162"/>
      <c r="D38" s="162"/>
      <c r="E38" s="162"/>
      <c r="F38" s="162"/>
      <c r="G38" s="162"/>
      <c r="H38" s="162"/>
      <c r="I38" s="162"/>
      <c r="J38" s="162"/>
      <c r="K38" s="162"/>
      <c r="L38" s="162"/>
      <c r="M38" s="162"/>
      <c r="N38" s="162"/>
      <c r="O38" s="162"/>
      <c r="P38" s="162"/>
      <c r="Q38" s="162"/>
      <c r="R38" s="162"/>
      <c r="S38" s="162"/>
      <c r="T38" s="162"/>
      <c r="U38" s="162"/>
      <c r="V38" s="162"/>
      <c r="W38" s="162"/>
      <c r="X38" s="162"/>
      <c r="Y38" s="162"/>
      <c r="Z38" s="162"/>
      <c r="AA38" s="162"/>
      <c r="AB38" s="162"/>
      <c r="AC38" s="162"/>
      <c r="AD38" s="162"/>
      <c r="AE38" s="162"/>
      <c r="AF38" s="161"/>
      <c r="AG38" s="64">
        <f t="shared" si="4"/>
        <v>0</v>
      </c>
    </row>
    <row r="39" spans="1:33" ht="18.75" x14ac:dyDescent="0.25">
      <c r="A39" s="301" t="s">
        <v>134</v>
      </c>
      <c r="B39" s="249"/>
      <c r="C39" s="162"/>
      <c r="D39" s="162"/>
      <c r="E39" s="162"/>
      <c r="F39" s="162"/>
      <c r="G39" s="162"/>
      <c r="H39" s="162"/>
      <c r="I39" s="162"/>
      <c r="J39" s="162"/>
      <c r="K39" s="162"/>
      <c r="L39" s="162"/>
      <c r="M39" s="162"/>
      <c r="N39" s="162"/>
      <c r="O39" s="162"/>
      <c r="P39" s="162"/>
      <c r="Q39" s="162"/>
      <c r="R39" s="162"/>
      <c r="S39" s="162"/>
      <c r="T39" s="162"/>
      <c r="U39" s="162"/>
      <c r="V39" s="162"/>
      <c r="W39" s="162"/>
      <c r="X39" s="162"/>
      <c r="Y39" s="162"/>
      <c r="Z39" s="162"/>
      <c r="AA39" s="162"/>
      <c r="AB39" s="162"/>
      <c r="AC39" s="162"/>
      <c r="AD39" s="162"/>
      <c r="AE39" s="162"/>
      <c r="AF39" s="161"/>
      <c r="AG39" s="64">
        <f t="shared" si="4"/>
        <v>0</v>
      </c>
    </row>
    <row r="40" spans="1:33" ht="18.75" x14ac:dyDescent="0.25">
      <c r="A40" s="301" t="s">
        <v>133</v>
      </c>
      <c r="B40" s="249"/>
      <c r="C40" s="162"/>
      <c r="D40" s="162"/>
      <c r="E40" s="162"/>
      <c r="F40" s="162"/>
      <c r="G40" s="162"/>
      <c r="H40" s="162"/>
      <c r="I40" s="162"/>
      <c r="J40" s="162"/>
      <c r="K40" s="162"/>
      <c r="L40" s="162"/>
      <c r="M40" s="162"/>
      <c r="N40" s="162"/>
      <c r="O40" s="162"/>
      <c r="P40" s="162"/>
      <c r="Q40" s="162"/>
      <c r="R40" s="162"/>
      <c r="S40" s="162"/>
      <c r="T40" s="162"/>
      <c r="U40" s="162"/>
      <c r="V40" s="162"/>
      <c r="W40" s="162"/>
      <c r="X40" s="162"/>
      <c r="Y40" s="162"/>
      <c r="Z40" s="162"/>
      <c r="AA40" s="162"/>
      <c r="AB40" s="162"/>
      <c r="AC40" s="162"/>
      <c r="AD40" s="162"/>
      <c r="AE40" s="162"/>
      <c r="AF40" s="161"/>
      <c r="AG40" s="64">
        <f t="shared" si="4"/>
        <v>0</v>
      </c>
    </row>
    <row r="41" spans="1:33" ht="18.75" x14ac:dyDescent="0.25">
      <c r="A41" s="301" t="s">
        <v>132</v>
      </c>
      <c r="B41" s="249"/>
      <c r="C41" s="162"/>
      <c r="D41" s="162"/>
      <c r="E41" s="162"/>
      <c r="F41" s="162"/>
      <c r="G41" s="162"/>
      <c r="H41" s="162"/>
      <c r="I41" s="162"/>
      <c r="J41" s="162"/>
      <c r="K41" s="162"/>
      <c r="L41" s="162"/>
      <c r="M41" s="162"/>
      <c r="N41" s="162"/>
      <c r="O41" s="162"/>
      <c r="P41" s="162"/>
      <c r="Q41" s="162"/>
      <c r="R41" s="162"/>
      <c r="S41" s="162"/>
      <c r="T41" s="162"/>
      <c r="U41" s="162"/>
      <c r="V41" s="162"/>
      <c r="W41" s="162"/>
      <c r="X41" s="162"/>
      <c r="Y41" s="162"/>
      <c r="Z41" s="162"/>
      <c r="AA41" s="162"/>
      <c r="AB41" s="162"/>
      <c r="AC41" s="162"/>
      <c r="AD41" s="162"/>
      <c r="AE41" s="162"/>
      <c r="AF41" s="161"/>
      <c r="AG41" s="64">
        <f t="shared" si="4"/>
        <v>0</v>
      </c>
    </row>
    <row r="42" spans="1:33" ht="18.75" x14ac:dyDescent="0.25">
      <c r="A42" s="301" t="s">
        <v>131</v>
      </c>
      <c r="B42" s="249"/>
      <c r="C42" s="162"/>
      <c r="D42" s="162"/>
      <c r="E42" s="162"/>
      <c r="F42" s="162"/>
      <c r="G42" s="162"/>
      <c r="H42" s="162"/>
      <c r="I42" s="162"/>
      <c r="J42" s="162"/>
      <c r="K42" s="162"/>
      <c r="L42" s="162"/>
      <c r="M42" s="162"/>
      <c r="N42" s="162"/>
      <c r="O42" s="162"/>
      <c r="P42" s="162"/>
      <c r="Q42" s="162"/>
      <c r="R42" s="162"/>
      <c r="S42" s="162"/>
      <c r="T42" s="162"/>
      <c r="U42" s="162"/>
      <c r="V42" s="162"/>
      <c r="W42" s="162"/>
      <c r="X42" s="162"/>
      <c r="Y42" s="162"/>
      <c r="Z42" s="162"/>
      <c r="AA42" s="162"/>
      <c r="AB42" s="162"/>
      <c r="AC42" s="162"/>
      <c r="AD42" s="162"/>
      <c r="AE42" s="162"/>
      <c r="AF42" s="161"/>
      <c r="AG42" s="64">
        <f t="shared" si="4"/>
        <v>0</v>
      </c>
    </row>
    <row r="43" spans="1:33" ht="18.75" x14ac:dyDescent="0.25">
      <c r="A43" s="301" t="s">
        <v>130</v>
      </c>
      <c r="B43" s="249"/>
      <c r="C43" s="162"/>
      <c r="D43" s="162"/>
      <c r="E43" s="162"/>
      <c r="F43" s="162"/>
      <c r="G43" s="162"/>
      <c r="H43" s="16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Y43" s="162"/>
      <c r="Z43" s="162"/>
      <c r="AA43" s="162"/>
      <c r="AB43" s="162"/>
      <c r="AC43" s="162"/>
      <c r="AD43" s="162"/>
      <c r="AE43" s="162"/>
      <c r="AF43" s="161"/>
      <c r="AG43" s="64">
        <f t="shared" si="4"/>
        <v>0</v>
      </c>
    </row>
    <row r="44" spans="1:33" ht="18.75" x14ac:dyDescent="0.25">
      <c r="A44" s="301" t="s">
        <v>129</v>
      </c>
      <c r="B44" s="249"/>
      <c r="C44" s="162"/>
      <c r="D44" s="162"/>
      <c r="E44" s="162"/>
      <c r="F44" s="162"/>
      <c r="G44" s="162"/>
      <c r="H44" s="162"/>
      <c r="I44" s="162"/>
      <c r="J44" s="162"/>
      <c r="K44" s="162"/>
      <c r="L44" s="162"/>
      <c r="M44" s="162"/>
      <c r="N44" s="162"/>
      <c r="O44" s="162"/>
      <c r="P44" s="162"/>
      <c r="Q44" s="162"/>
      <c r="R44" s="162"/>
      <c r="S44" s="162"/>
      <c r="T44" s="162"/>
      <c r="U44" s="162"/>
      <c r="V44" s="162"/>
      <c r="W44" s="162"/>
      <c r="X44" s="162"/>
      <c r="Y44" s="162"/>
      <c r="Z44" s="162"/>
      <c r="AA44" s="162"/>
      <c r="AB44" s="162"/>
      <c r="AC44" s="162"/>
      <c r="AD44" s="162"/>
      <c r="AE44" s="162"/>
      <c r="AF44" s="161"/>
      <c r="AG44" s="64">
        <f t="shared" si="4"/>
        <v>0</v>
      </c>
    </row>
    <row r="45" spans="1:33" ht="18.75" x14ac:dyDescent="0.25">
      <c r="A45" s="301" t="s">
        <v>128</v>
      </c>
      <c r="B45" s="249"/>
      <c r="C45" s="162"/>
      <c r="D45" s="162"/>
      <c r="E45" s="162"/>
      <c r="F45" s="162"/>
      <c r="G45" s="162"/>
      <c r="H45" s="162"/>
      <c r="I45" s="162"/>
      <c r="J45" s="162"/>
      <c r="K45" s="162"/>
      <c r="L45" s="162"/>
      <c r="M45" s="162"/>
      <c r="N45" s="162"/>
      <c r="O45" s="162"/>
      <c r="P45" s="162"/>
      <c r="Q45" s="162"/>
      <c r="R45" s="162"/>
      <c r="S45" s="162"/>
      <c r="T45" s="162"/>
      <c r="U45" s="162"/>
      <c r="V45" s="162"/>
      <c r="W45" s="162"/>
      <c r="X45" s="162"/>
      <c r="Y45" s="162"/>
      <c r="Z45" s="162"/>
      <c r="AA45" s="162"/>
      <c r="AB45" s="162"/>
      <c r="AC45" s="162"/>
      <c r="AD45" s="162"/>
      <c r="AE45" s="162"/>
      <c r="AF45" s="161"/>
      <c r="AG45" s="64">
        <f t="shared" si="4"/>
        <v>0</v>
      </c>
    </row>
    <row r="46" spans="1:33" ht="18.75" x14ac:dyDescent="0.25">
      <c r="A46" s="301" t="s">
        <v>127</v>
      </c>
      <c r="B46" s="249"/>
      <c r="C46" s="162"/>
      <c r="D46" s="162"/>
      <c r="E46" s="162"/>
      <c r="F46" s="162"/>
      <c r="G46" s="162"/>
      <c r="H46" s="162"/>
      <c r="I46" s="162"/>
      <c r="J46" s="162"/>
      <c r="K46" s="162"/>
      <c r="L46" s="162"/>
      <c r="M46" s="162"/>
      <c r="N46" s="162"/>
      <c r="O46" s="162"/>
      <c r="P46" s="162"/>
      <c r="Q46" s="162"/>
      <c r="R46" s="162"/>
      <c r="S46" s="162"/>
      <c r="T46" s="162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1"/>
      <c r="AG46" s="64">
        <f t="shared" si="4"/>
        <v>0</v>
      </c>
    </row>
    <row r="47" spans="1:33" ht="18.75" x14ac:dyDescent="0.25">
      <c r="A47" s="301" t="s">
        <v>126</v>
      </c>
      <c r="B47" s="249"/>
      <c r="C47" s="162"/>
      <c r="D47" s="162"/>
      <c r="E47" s="162"/>
      <c r="F47" s="162"/>
      <c r="G47" s="162"/>
      <c r="H47" s="162"/>
      <c r="I47" s="162"/>
      <c r="J47" s="162"/>
      <c r="K47" s="162"/>
      <c r="L47" s="162"/>
      <c r="M47" s="162"/>
      <c r="N47" s="162"/>
      <c r="O47" s="162"/>
      <c r="P47" s="162"/>
      <c r="Q47" s="162"/>
      <c r="R47" s="162"/>
      <c r="S47" s="162"/>
      <c r="T47" s="162"/>
      <c r="U47" s="162"/>
      <c r="V47" s="162"/>
      <c r="W47" s="162"/>
      <c r="X47" s="162"/>
      <c r="Y47" s="162"/>
      <c r="Z47" s="162"/>
      <c r="AA47" s="162"/>
      <c r="AB47" s="162"/>
      <c r="AC47" s="162"/>
      <c r="AD47" s="162"/>
      <c r="AE47" s="162"/>
      <c r="AF47" s="161"/>
      <c r="AG47" s="64">
        <f t="shared" si="4"/>
        <v>0</v>
      </c>
    </row>
    <row r="48" spans="1:33" ht="18.75" x14ac:dyDescent="0.25">
      <c r="A48" s="301" t="s">
        <v>125</v>
      </c>
      <c r="B48" s="249"/>
      <c r="C48" s="162"/>
      <c r="D48" s="162"/>
      <c r="E48" s="162"/>
      <c r="F48" s="162"/>
      <c r="G48" s="162"/>
      <c r="H48" s="162"/>
      <c r="I48" s="162"/>
      <c r="J48" s="162"/>
      <c r="K48" s="162"/>
      <c r="L48" s="162"/>
      <c r="M48" s="162"/>
      <c r="N48" s="162"/>
      <c r="O48" s="162"/>
      <c r="P48" s="162"/>
      <c r="Q48" s="162"/>
      <c r="R48" s="162"/>
      <c r="S48" s="162"/>
      <c r="T48" s="162"/>
      <c r="U48" s="162"/>
      <c r="V48" s="162"/>
      <c r="W48" s="162"/>
      <c r="X48" s="162"/>
      <c r="Y48" s="162"/>
      <c r="Z48" s="162"/>
      <c r="AA48" s="162"/>
      <c r="AB48" s="162"/>
      <c r="AC48" s="162"/>
      <c r="AD48" s="162"/>
      <c r="AE48" s="162"/>
      <c r="AF48" s="161"/>
      <c r="AG48" s="64">
        <f t="shared" si="4"/>
        <v>0</v>
      </c>
    </row>
    <row r="49" spans="1:33" ht="18.75" x14ac:dyDescent="0.25">
      <c r="A49" s="301" t="s">
        <v>124</v>
      </c>
      <c r="B49" s="249"/>
      <c r="C49" s="162"/>
      <c r="D49" s="162"/>
      <c r="E49" s="162"/>
      <c r="F49" s="162"/>
      <c r="G49" s="162"/>
      <c r="H49" s="162"/>
      <c r="I49" s="162"/>
      <c r="J49" s="162"/>
      <c r="K49" s="162"/>
      <c r="L49" s="162"/>
      <c r="M49" s="162"/>
      <c r="N49" s="162"/>
      <c r="O49" s="162"/>
      <c r="P49" s="162"/>
      <c r="Q49" s="162"/>
      <c r="R49" s="162"/>
      <c r="S49" s="162"/>
      <c r="T49" s="162"/>
      <c r="U49" s="162"/>
      <c r="V49" s="162"/>
      <c r="W49" s="162"/>
      <c r="X49" s="162"/>
      <c r="Y49" s="162"/>
      <c r="Z49" s="162"/>
      <c r="AA49" s="162"/>
      <c r="AB49" s="162"/>
      <c r="AC49" s="162"/>
      <c r="AD49" s="162"/>
      <c r="AE49" s="162"/>
      <c r="AF49" s="161"/>
      <c r="AG49" s="64">
        <f t="shared" si="4"/>
        <v>0</v>
      </c>
    </row>
    <row r="50" spans="1:33" ht="18.75" x14ac:dyDescent="0.25">
      <c r="A50" s="301" t="s">
        <v>123</v>
      </c>
      <c r="B50" s="249"/>
      <c r="C50" s="162"/>
      <c r="D50" s="162"/>
      <c r="E50" s="162"/>
      <c r="F50" s="162"/>
      <c r="G50" s="162"/>
      <c r="H50" s="162"/>
      <c r="I50" s="162"/>
      <c r="J50" s="162"/>
      <c r="K50" s="162"/>
      <c r="L50" s="162"/>
      <c r="M50" s="162"/>
      <c r="N50" s="162"/>
      <c r="O50" s="162"/>
      <c r="P50" s="162"/>
      <c r="Q50" s="162"/>
      <c r="R50" s="162"/>
      <c r="S50" s="162"/>
      <c r="T50" s="162"/>
      <c r="U50" s="162"/>
      <c r="V50" s="162"/>
      <c r="W50" s="162"/>
      <c r="X50" s="162"/>
      <c r="Y50" s="162"/>
      <c r="Z50" s="162"/>
      <c r="AA50" s="162"/>
      <c r="AB50" s="162"/>
      <c r="AC50" s="162"/>
      <c r="AD50" s="162"/>
      <c r="AE50" s="162"/>
      <c r="AF50" s="161"/>
      <c r="AG50" s="64">
        <f t="shared" si="4"/>
        <v>0</v>
      </c>
    </row>
    <row r="51" spans="1:33" ht="18.75" x14ac:dyDescent="0.25">
      <c r="A51" s="301" t="s">
        <v>122</v>
      </c>
      <c r="B51" s="249"/>
      <c r="C51" s="162"/>
      <c r="D51" s="162"/>
      <c r="E51" s="162"/>
      <c r="F51" s="162"/>
      <c r="G51" s="162"/>
      <c r="H51" s="162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162"/>
      <c r="Z51" s="162"/>
      <c r="AA51" s="162"/>
      <c r="AB51" s="162"/>
      <c r="AC51" s="162"/>
      <c r="AD51" s="162"/>
      <c r="AE51" s="162"/>
      <c r="AF51" s="161"/>
      <c r="AG51" s="64">
        <f t="shared" si="4"/>
        <v>0</v>
      </c>
    </row>
    <row r="52" spans="1:33" ht="19.5" thickBot="1" x14ac:dyDescent="0.3">
      <c r="A52" s="304" t="s">
        <v>121</v>
      </c>
      <c r="B52" s="252"/>
      <c r="C52" s="181"/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0"/>
      <c r="AG52" s="160">
        <f t="shared" si="4"/>
        <v>0</v>
      </c>
    </row>
    <row r="53" spans="1:33" ht="19.5" thickBot="1" x14ac:dyDescent="0.3">
      <c r="A53" s="299" t="s">
        <v>145</v>
      </c>
      <c r="B53" s="247">
        <f t="shared" ref="B53:AF53" si="5">SUM(B54:B77)</f>
        <v>0</v>
      </c>
      <c r="C53" s="120">
        <f t="shared" si="5"/>
        <v>0</v>
      </c>
      <c r="D53" s="120">
        <f t="shared" si="5"/>
        <v>0</v>
      </c>
      <c r="E53" s="120">
        <f t="shared" si="5"/>
        <v>0</v>
      </c>
      <c r="F53" s="120">
        <f t="shared" si="5"/>
        <v>0</v>
      </c>
      <c r="G53" s="120">
        <f t="shared" si="5"/>
        <v>0</v>
      </c>
      <c r="H53" s="120">
        <f t="shared" si="5"/>
        <v>0</v>
      </c>
      <c r="I53" s="120">
        <f t="shared" si="5"/>
        <v>0</v>
      </c>
      <c r="J53" s="120">
        <f t="shared" si="5"/>
        <v>0</v>
      </c>
      <c r="K53" s="120">
        <f t="shared" si="5"/>
        <v>0</v>
      </c>
      <c r="L53" s="120">
        <f t="shared" si="5"/>
        <v>0</v>
      </c>
      <c r="M53" s="120">
        <f t="shared" si="5"/>
        <v>0</v>
      </c>
      <c r="N53" s="120">
        <f t="shared" si="5"/>
        <v>0</v>
      </c>
      <c r="O53" s="120">
        <f t="shared" si="5"/>
        <v>0</v>
      </c>
      <c r="P53" s="120">
        <f t="shared" si="5"/>
        <v>0</v>
      </c>
      <c r="Q53" s="120">
        <f t="shared" si="5"/>
        <v>0</v>
      </c>
      <c r="R53" s="120">
        <f t="shared" si="5"/>
        <v>0</v>
      </c>
      <c r="S53" s="120">
        <f t="shared" si="5"/>
        <v>0</v>
      </c>
      <c r="T53" s="120">
        <f t="shared" si="5"/>
        <v>0</v>
      </c>
      <c r="U53" s="120">
        <f t="shared" si="5"/>
        <v>0</v>
      </c>
      <c r="V53" s="120">
        <f t="shared" si="5"/>
        <v>0</v>
      </c>
      <c r="W53" s="120">
        <f t="shared" si="5"/>
        <v>0</v>
      </c>
      <c r="X53" s="120">
        <f t="shared" si="5"/>
        <v>0</v>
      </c>
      <c r="Y53" s="120">
        <f t="shared" si="5"/>
        <v>0</v>
      </c>
      <c r="Z53" s="120">
        <f t="shared" si="5"/>
        <v>0</v>
      </c>
      <c r="AA53" s="120">
        <f t="shared" si="5"/>
        <v>0</v>
      </c>
      <c r="AB53" s="120">
        <f t="shared" si="5"/>
        <v>0</v>
      </c>
      <c r="AC53" s="120">
        <f t="shared" si="5"/>
        <v>0</v>
      </c>
      <c r="AD53" s="120">
        <f t="shared" si="5"/>
        <v>0</v>
      </c>
      <c r="AE53" s="120">
        <f t="shared" si="5"/>
        <v>0</v>
      </c>
      <c r="AF53" s="120">
        <f t="shared" si="5"/>
        <v>0</v>
      </c>
      <c r="AG53" s="157">
        <f t="shared" si="4"/>
        <v>0</v>
      </c>
    </row>
    <row r="54" spans="1:33" ht="18.75" x14ac:dyDescent="0.25">
      <c r="A54" s="300" t="s">
        <v>144</v>
      </c>
      <c r="B54" s="248"/>
      <c r="C54" s="199"/>
      <c r="D54" s="162"/>
      <c r="E54" s="199"/>
      <c r="F54" s="199"/>
      <c r="G54" s="162"/>
      <c r="H54" s="199"/>
      <c r="I54" s="199"/>
      <c r="J54" s="199"/>
      <c r="K54" s="199"/>
      <c r="L54" s="199"/>
      <c r="M54" s="199"/>
      <c r="N54" s="199"/>
      <c r="O54" s="199"/>
      <c r="P54" s="199"/>
      <c r="Q54" s="199"/>
      <c r="R54" s="199"/>
      <c r="S54" s="199"/>
      <c r="T54" s="199"/>
      <c r="U54" s="199"/>
      <c r="V54" s="199"/>
      <c r="W54" s="199"/>
      <c r="X54" s="199"/>
      <c r="Y54" s="199"/>
      <c r="Z54" s="199"/>
      <c r="AA54" s="199"/>
      <c r="AB54" s="199"/>
      <c r="AC54" s="199"/>
      <c r="AD54" s="199"/>
      <c r="AE54" s="199"/>
      <c r="AF54" s="206"/>
      <c r="AG54" s="134">
        <f t="shared" si="4"/>
        <v>0</v>
      </c>
    </row>
    <row r="55" spans="1:33" ht="18.75" x14ac:dyDescent="0.25">
      <c r="A55" s="301" t="s">
        <v>143</v>
      </c>
      <c r="B55" s="249"/>
      <c r="C55" s="162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Y55" s="162"/>
      <c r="Z55" s="162"/>
      <c r="AA55" s="162"/>
      <c r="AB55" s="162"/>
      <c r="AC55" s="162"/>
      <c r="AD55" s="162"/>
      <c r="AE55" s="162"/>
      <c r="AF55" s="161"/>
      <c r="AG55" s="64">
        <f t="shared" si="4"/>
        <v>0</v>
      </c>
    </row>
    <row r="56" spans="1:33" ht="18.75" x14ac:dyDescent="0.25">
      <c r="A56" s="301" t="s">
        <v>142</v>
      </c>
      <c r="B56" s="249"/>
      <c r="C56" s="162"/>
      <c r="D56" s="162"/>
      <c r="E56" s="162"/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Y56" s="162"/>
      <c r="Z56" s="162"/>
      <c r="AA56" s="162"/>
      <c r="AB56" s="162"/>
      <c r="AC56" s="162"/>
      <c r="AD56" s="162"/>
      <c r="AE56" s="162"/>
      <c r="AF56" s="161"/>
      <c r="AG56" s="64">
        <f t="shared" si="4"/>
        <v>0</v>
      </c>
    </row>
    <row r="57" spans="1:33" ht="18.75" x14ac:dyDescent="0.25">
      <c r="A57" s="301" t="s">
        <v>141</v>
      </c>
      <c r="B57" s="249"/>
      <c r="C57" s="162"/>
      <c r="D57" s="162"/>
      <c r="E57" s="162"/>
      <c r="F57" s="162"/>
      <c r="G57" s="162"/>
      <c r="H57" s="162"/>
      <c r="I57" s="162"/>
      <c r="J57" s="162"/>
      <c r="K57" s="162"/>
      <c r="L57" s="162"/>
      <c r="M57" s="162"/>
      <c r="N57" s="162"/>
      <c r="O57" s="162"/>
      <c r="P57" s="162"/>
      <c r="Q57" s="162"/>
      <c r="R57" s="162"/>
      <c r="S57" s="162"/>
      <c r="T57" s="162"/>
      <c r="U57" s="162"/>
      <c r="V57" s="162"/>
      <c r="W57" s="162"/>
      <c r="X57" s="162"/>
      <c r="Y57" s="162"/>
      <c r="Z57" s="162"/>
      <c r="AA57" s="162"/>
      <c r="AB57" s="162"/>
      <c r="AC57" s="162"/>
      <c r="AD57" s="162"/>
      <c r="AE57" s="162"/>
      <c r="AF57" s="161"/>
      <c r="AG57" s="64">
        <f t="shared" si="4"/>
        <v>0</v>
      </c>
    </row>
    <row r="58" spans="1:33" ht="18.75" x14ac:dyDescent="0.25">
      <c r="A58" s="301" t="s">
        <v>140</v>
      </c>
      <c r="B58" s="249"/>
      <c r="C58" s="162"/>
      <c r="D58" s="162"/>
      <c r="E58" s="162"/>
      <c r="F58" s="162"/>
      <c r="G58" s="162"/>
      <c r="H58" s="162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Y58" s="162"/>
      <c r="Z58" s="162"/>
      <c r="AA58" s="162"/>
      <c r="AB58" s="162"/>
      <c r="AC58" s="162"/>
      <c r="AD58" s="162"/>
      <c r="AE58" s="162"/>
      <c r="AF58" s="161"/>
      <c r="AG58" s="64">
        <f t="shared" si="4"/>
        <v>0</v>
      </c>
    </row>
    <row r="59" spans="1:33" ht="18.75" x14ac:dyDescent="0.25">
      <c r="A59" s="301" t="s">
        <v>139</v>
      </c>
      <c r="B59" s="249"/>
      <c r="C59" s="162"/>
      <c r="D59" s="162"/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Y59" s="162"/>
      <c r="Z59" s="162"/>
      <c r="AA59" s="162"/>
      <c r="AB59" s="162"/>
      <c r="AC59" s="162"/>
      <c r="AD59" s="162"/>
      <c r="AE59" s="162"/>
      <c r="AF59" s="161"/>
      <c r="AG59" s="64">
        <f t="shared" si="4"/>
        <v>0</v>
      </c>
    </row>
    <row r="60" spans="1:33" ht="18.75" x14ac:dyDescent="0.25">
      <c r="A60" s="301" t="s">
        <v>138</v>
      </c>
      <c r="B60" s="249"/>
      <c r="C60" s="162"/>
      <c r="D60" s="162"/>
      <c r="E60" s="162"/>
      <c r="F60" s="162"/>
      <c r="G60" s="162"/>
      <c r="H60" s="162"/>
      <c r="I60" s="162"/>
      <c r="J60" s="162"/>
      <c r="K60" s="162"/>
      <c r="L60" s="162"/>
      <c r="M60" s="162"/>
      <c r="N60" s="162"/>
      <c r="O60" s="162"/>
      <c r="P60" s="162"/>
      <c r="Q60" s="162"/>
      <c r="R60" s="162"/>
      <c r="S60" s="162"/>
      <c r="T60" s="162"/>
      <c r="U60" s="162"/>
      <c r="V60" s="162"/>
      <c r="W60" s="162"/>
      <c r="X60" s="162"/>
      <c r="Y60" s="162"/>
      <c r="Z60" s="162"/>
      <c r="AA60" s="162"/>
      <c r="AB60" s="162"/>
      <c r="AC60" s="162"/>
      <c r="AD60" s="162"/>
      <c r="AE60" s="162"/>
      <c r="AF60" s="161"/>
      <c r="AG60" s="64">
        <f t="shared" si="4"/>
        <v>0</v>
      </c>
    </row>
    <row r="61" spans="1:33" ht="18.75" x14ac:dyDescent="0.25">
      <c r="A61" s="301" t="s">
        <v>137</v>
      </c>
      <c r="B61" s="249"/>
      <c r="C61" s="162"/>
      <c r="D61" s="162"/>
      <c r="E61" s="162"/>
      <c r="F61" s="162"/>
      <c r="G61" s="162"/>
      <c r="H61" s="162"/>
      <c r="I61" s="162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Y61" s="162"/>
      <c r="Z61" s="162"/>
      <c r="AA61" s="162"/>
      <c r="AB61" s="162"/>
      <c r="AC61" s="162"/>
      <c r="AD61" s="162"/>
      <c r="AE61" s="162"/>
      <c r="AF61" s="161"/>
      <c r="AG61" s="64">
        <f t="shared" si="4"/>
        <v>0</v>
      </c>
    </row>
    <row r="62" spans="1:33" ht="18.75" x14ac:dyDescent="0.25">
      <c r="A62" s="301" t="s">
        <v>136</v>
      </c>
      <c r="B62" s="249"/>
      <c r="C62" s="162"/>
      <c r="D62" s="162"/>
      <c r="E62" s="162"/>
      <c r="F62" s="162"/>
      <c r="G62" s="162"/>
      <c r="H62" s="162"/>
      <c r="I62" s="162"/>
      <c r="J62" s="162"/>
      <c r="K62" s="162"/>
      <c r="L62" s="162"/>
      <c r="M62" s="162"/>
      <c r="N62" s="162"/>
      <c r="O62" s="162"/>
      <c r="P62" s="162"/>
      <c r="Q62" s="162"/>
      <c r="R62" s="162"/>
      <c r="S62" s="162"/>
      <c r="T62" s="162"/>
      <c r="U62" s="162"/>
      <c r="V62" s="162"/>
      <c r="W62" s="162"/>
      <c r="X62" s="162"/>
      <c r="Y62" s="162"/>
      <c r="Z62" s="162"/>
      <c r="AA62" s="162"/>
      <c r="AB62" s="162"/>
      <c r="AC62" s="162"/>
      <c r="AD62" s="162"/>
      <c r="AE62" s="162"/>
      <c r="AF62" s="161"/>
      <c r="AG62" s="64">
        <f t="shared" si="4"/>
        <v>0</v>
      </c>
    </row>
    <row r="63" spans="1:33" ht="18.75" x14ac:dyDescent="0.25">
      <c r="A63" s="301" t="s">
        <v>135</v>
      </c>
      <c r="B63" s="249"/>
      <c r="C63" s="162"/>
      <c r="D63" s="162"/>
      <c r="E63" s="162"/>
      <c r="F63" s="162"/>
      <c r="G63" s="162"/>
      <c r="H63" s="162"/>
      <c r="I63" s="162"/>
      <c r="J63" s="162"/>
      <c r="K63" s="162"/>
      <c r="L63" s="162"/>
      <c r="M63" s="162"/>
      <c r="N63" s="162"/>
      <c r="O63" s="162"/>
      <c r="P63" s="162"/>
      <c r="Q63" s="162"/>
      <c r="R63" s="162"/>
      <c r="S63" s="162"/>
      <c r="T63" s="162"/>
      <c r="U63" s="162"/>
      <c r="V63" s="162"/>
      <c r="W63" s="162"/>
      <c r="X63" s="162"/>
      <c r="Y63" s="162"/>
      <c r="Z63" s="162"/>
      <c r="AA63" s="162"/>
      <c r="AB63" s="162"/>
      <c r="AC63" s="162"/>
      <c r="AD63" s="162"/>
      <c r="AE63" s="162"/>
      <c r="AF63" s="161"/>
      <c r="AG63" s="64">
        <f t="shared" si="4"/>
        <v>0</v>
      </c>
    </row>
    <row r="64" spans="1:33" ht="18.75" x14ac:dyDescent="0.25">
      <c r="A64" s="301" t="s">
        <v>134</v>
      </c>
      <c r="B64" s="249"/>
      <c r="C64" s="162"/>
      <c r="D64" s="162"/>
      <c r="E64" s="162"/>
      <c r="F64" s="162"/>
      <c r="G64" s="162"/>
      <c r="H64" s="162"/>
      <c r="I64" s="162"/>
      <c r="J64" s="162"/>
      <c r="K64" s="162"/>
      <c r="L64" s="162"/>
      <c r="M64" s="162"/>
      <c r="N64" s="162"/>
      <c r="O64" s="162"/>
      <c r="P64" s="162"/>
      <c r="Q64" s="162"/>
      <c r="R64" s="162"/>
      <c r="S64" s="162"/>
      <c r="T64" s="162"/>
      <c r="U64" s="162"/>
      <c r="V64" s="162"/>
      <c r="W64" s="162"/>
      <c r="X64" s="162"/>
      <c r="Y64" s="162"/>
      <c r="Z64" s="162"/>
      <c r="AA64" s="162"/>
      <c r="AB64" s="162"/>
      <c r="AC64" s="162"/>
      <c r="AD64" s="162"/>
      <c r="AE64" s="162"/>
      <c r="AF64" s="161"/>
      <c r="AG64" s="64">
        <f t="shared" si="4"/>
        <v>0</v>
      </c>
    </row>
    <row r="65" spans="1:33" ht="18.75" x14ac:dyDescent="0.25">
      <c r="A65" s="301" t="s">
        <v>133</v>
      </c>
      <c r="B65" s="249"/>
      <c r="C65" s="162"/>
      <c r="D65" s="162"/>
      <c r="E65" s="162"/>
      <c r="F65" s="162"/>
      <c r="G65" s="162"/>
      <c r="H65" s="162"/>
      <c r="I65" s="162"/>
      <c r="J65" s="162"/>
      <c r="K65" s="162"/>
      <c r="L65" s="162"/>
      <c r="M65" s="162"/>
      <c r="N65" s="162"/>
      <c r="O65" s="162"/>
      <c r="P65" s="162"/>
      <c r="Q65" s="162"/>
      <c r="R65" s="162"/>
      <c r="S65" s="162"/>
      <c r="T65" s="162"/>
      <c r="U65" s="162"/>
      <c r="V65" s="162"/>
      <c r="W65" s="162"/>
      <c r="X65" s="162"/>
      <c r="Y65" s="162"/>
      <c r="Z65" s="162"/>
      <c r="AA65" s="162"/>
      <c r="AB65" s="162"/>
      <c r="AC65" s="162"/>
      <c r="AD65" s="162"/>
      <c r="AE65" s="162"/>
      <c r="AF65" s="161"/>
      <c r="AG65" s="64">
        <f t="shared" si="4"/>
        <v>0</v>
      </c>
    </row>
    <row r="66" spans="1:33" ht="18.75" x14ac:dyDescent="0.25">
      <c r="A66" s="301" t="s">
        <v>132</v>
      </c>
      <c r="B66" s="249"/>
      <c r="C66" s="162"/>
      <c r="D66" s="162"/>
      <c r="E66" s="162"/>
      <c r="F66" s="162"/>
      <c r="G66" s="162"/>
      <c r="H66" s="162"/>
      <c r="I66" s="162"/>
      <c r="J66" s="162"/>
      <c r="K66" s="162"/>
      <c r="L66" s="162"/>
      <c r="M66" s="162"/>
      <c r="N66" s="162"/>
      <c r="O66" s="162"/>
      <c r="P66" s="162"/>
      <c r="Q66" s="162"/>
      <c r="R66" s="162"/>
      <c r="S66" s="162"/>
      <c r="T66" s="162"/>
      <c r="U66" s="162"/>
      <c r="V66" s="162"/>
      <c r="W66" s="162"/>
      <c r="X66" s="162"/>
      <c r="Y66" s="162"/>
      <c r="Z66" s="162"/>
      <c r="AA66" s="162"/>
      <c r="AB66" s="162"/>
      <c r="AC66" s="162"/>
      <c r="AD66" s="162"/>
      <c r="AE66" s="162"/>
      <c r="AF66" s="161"/>
      <c r="AG66" s="64">
        <f t="shared" si="4"/>
        <v>0</v>
      </c>
    </row>
    <row r="67" spans="1:33" ht="18.75" x14ac:dyDescent="0.25">
      <c r="A67" s="301" t="s">
        <v>131</v>
      </c>
      <c r="B67" s="249"/>
      <c r="C67" s="162"/>
      <c r="D67" s="162"/>
      <c r="E67" s="162"/>
      <c r="F67" s="162"/>
      <c r="G67" s="162"/>
      <c r="H67" s="162"/>
      <c r="I67" s="162"/>
      <c r="J67" s="162"/>
      <c r="K67" s="162"/>
      <c r="L67" s="162"/>
      <c r="M67" s="162"/>
      <c r="N67" s="162"/>
      <c r="O67" s="162"/>
      <c r="P67" s="162"/>
      <c r="Q67" s="162"/>
      <c r="R67" s="162"/>
      <c r="S67" s="162"/>
      <c r="T67" s="162"/>
      <c r="U67" s="162"/>
      <c r="V67" s="162"/>
      <c r="W67" s="162"/>
      <c r="X67" s="162"/>
      <c r="Y67" s="162"/>
      <c r="Z67" s="162"/>
      <c r="AA67" s="162"/>
      <c r="AB67" s="162"/>
      <c r="AC67" s="162"/>
      <c r="AD67" s="162"/>
      <c r="AE67" s="162"/>
      <c r="AF67" s="161"/>
      <c r="AG67" s="64">
        <f t="shared" ref="AG67:AG98" si="6">SUM(B67:AF67)</f>
        <v>0</v>
      </c>
    </row>
    <row r="68" spans="1:33" ht="18.75" x14ac:dyDescent="0.25">
      <c r="A68" s="301" t="s">
        <v>130</v>
      </c>
      <c r="B68" s="249"/>
      <c r="C68" s="162"/>
      <c r="D68" s="162"/>
      <c r="E68" s="162"/>
      <c r="F68" s="162"/>
      <c r="G68" s="162"/>
      <c r="H68" s="162"/>
      <c r="I68" s="162"/>
      <c r="J68" s="162"/>
      <c r="K68" s="162"/>
      <c r="L68" s="162"/>
      <c r="M68" s="162"/>
      <c r="N68" s="162"/>
      <c r="O68" s="162"/>
      <c r="P68" s="162"/>
      <c r="Q68" s="162"/>
      <c r="R68" s="162"/>
      <c r="S68" s="162"/>
      <c r="T68" s="162"/>
      <c r="U68" s="162"/>
      <c r="V68" s="162"/>
      <c r="W68" s="162"/>
      <c r="X68" s="162"/>
      <c r="Y68" s="162"/>
      <c r="Z68" s="162"/>
      <c r="AA68" s="162"/>
      <c r="AB68" s="162"/>
      <c r="AC68" s="162"/>
      <c r="AD68" s="162"/>
      <c r="AE68" s="162"/>
      <c r="AF68" s="161"/>
      <c r="AG68" s="64">
        <f t="shared" si="6"/>
        <v>0</v>
      </c>
    </row>
    <row r="69" spans="1:33" ht="18.75" x14ac:dyDescent="0.25">
      <c r="A69" s="301" t="s">
        <v>129</v>
      </c>
      <c r="B69" s="249"/>
      <c r="C69" s="162"/>
      <c r="D69" s="162"/>
      <c r="E69" s="162"/>
      <c r="F69" s="162"/>
      <c r="G69" s="162"/>
      <c r="H69" s="162"/>
      <c r="I69" s="162"/>
      <c r="J69" s="162"/>
      <c r="K69" s="162"/>
      <c r="L69" s="162"/>
      <c r="M69" s="162"/>
      <c r="N69" s="162"/>
      <c r="O69" s="162"/>
      <c r="P69" s="162"/>
      <c r="Q69" s="162"/>
      <c r="R69" s="162"/>
      <c r="S69" s="162"/>
      <c r="T69" s="162"/>
      <c r="U69" s="162"/>
      <c r="V69" s="162"/>
      <c r="W69" s="162"/>
      <c r="X69" s="162"/>
      <c r="Y69" s="162"/>
      <c r="Z69" s="162"/>
      <c r="AA69" s="162"/>
      <c r="AB69" s="162"/>
      <c r="AC69" s="162"/>
      <c r="AD69" s="162"/>
      <c r="AE69" s="162"/>
      <c r="AF69" s="161"/>
      <c r="AG69" s="64">
        <f t="shared" si="6"/>
        <v>0</v>
      </c>
    </row>
    <row r="70" spans="1:33" ht="18.75" x14ac:dyDescent="0.25">
      <c r="A70" s="301" t="s">
        <v>128</v>
      </c>
      <c r="B70" s="248"/>
      <c r="C70" s="199"/>
      <c r="D70" s="162"/>
      <c r="E70" s="199"/>
      <c r="F70" s="199"/>
      <c r="G70" s="162"/>
      <c r="H70" s="199"/>
      <c r="I70" s="162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199"/>
      <c r="W70" s="199"/>
      <c r="X70" s="199"/>
      <c r="Y70" s="199"/>
      <c r="Z70" s="199"/>
      <c r="AA70" s="199"/>
      <c r="AB70" s="199"/>
      <c r="AC70" s="199"/>
      <c r="AD70" s="199"/>
      <c r="AE70" s="199"/>
      <c r="AF70" s="206"/>
      <c r="AG70" s="64">
        <f t="shared" si="6"/>
        <v>0</v>
      </c>
    </row>
    <row r="71" spans="1:33" ht="18.75" x14ac:dyDescent="0.25">
      <c r="A71" s="301" t="s">
        <v>127</v>
      </c>
      <c r="B71" s="248"/>
      <c r="C71" s="199"/>
      <c r="D71" s="162"/>
      <c r="E71" s="199"/>
      <c r="F71" s="199"/>
      <c r="G71" s="162"/>
      <c r="H71" s="199"/>
      <c r="I71" s="162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9"/>
      <c r="X71" s="199"/>
      <c r="Y71" s="199"/>
      <c r="Z71" s="199"/>
      <c r="AA71" s="199"/>
      <c r="AB71" s="199"/>
      <c r="AC71" s="199"/>
      <c r="AD71" s="199"/>
      <c r="AE71" s="199"/>
      <c r="AF71" s="206"/>
      <c r="AG71" s="64">
        <f t="shared" si="6"/>
        <v>0</v>
      </c>
    </row>
    <row r="72" spans="1:33" ht="18.75" x14ac:dyDescent="0.25">
      <c r="A72" s="301" t="s">
        <v>126</v>
      </c>
      <c r="B72" s="248"/>
      <c r="C72" s="199"/>
      <c r="D72" s="162"/>
      <c r="E72" s="199"/>
      <c r="F72" s="199"/>
      <c r="G72" s="162"/>
      <c r="H72" s="199"/>
      <c r="I72" s="162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199"/>
      <c r="X72" s="199"/>
      <c r="Y72" s="199"/>
      <c r="Z72" s="199"/>
      <c r="AA72" s="199"/>
      <c r="AB72" s="199"/>
      <c r="AC72" s="199"/>
      <c r="AD72" s="199"/>
      <c r="AE72" s="199"/>
      <c r="AF72" s="206"/>
      <c r="AG72" s="64">
        <f t="shared" si="6"/>
        <v>0</v>
      </c>
    </row>
    <row r="73" spans="1:33" ht="18.75" x14ac:dyDescent="0.25">
      <c r="A73" s="301" t="s">
        <v>125</v>
      </c>
      <c r="B73" s="248"/>
      <c r="C73" s="199"/>
      <c r="D73" s="162"/>
      <c r="E73" s="199"/>
      <c r="F73" s="199"/>
      <c r="G73" s="162"/>
      <c r="H73" s="199"/>
      <c r="I73" s="162"/>
      <c r="J73" s="199"/>
      <c r="K73" s="199"/>
      <c r="L73" s="199"/>
      <c r="M73" s="199"/>
      <c r="N73" s="199"/>
      <c r="O73" s="199"/>
      <c r="P73" s="199"/>
      <c r="Q73" s="199"/>
      <c r="R73" s="199"/>
      <c r="S73" s="199"/>
      <c r="T73" s="199"/>
      <c r="U73" s="199"/>
      <c r="V73" s="199"/>
      <c r="W73" s="199"/>
      <c r="X73" s="199"/>
      <c r="Y73" s="199"/>
      <c r="Z73" s="199"/>
      <c r="AA73" s="199"/>
      <c r="AB73" s="199"/>
      <c r="AC73" s="199"/>
      <c r="AD73" s="199"/>
      <c r="AE73" s="199"/>
      <c r="AF73" s="206"/>
      <c r="AG73" s="64">
        <f t="shared" si="6"/>
        <v>0</v>
      </c>
    </row>
    <row r="74" spans="1:33" ht="18.75" x14ac:dyDescent="0.25">
      <c r="A74" s="301" t="s">
        <v>124</v>
      </c>
      <c r="B74" s="248"/>
      <c r="C74" s="199"/>
      <c r="D74" s="162"/>
      <c r="E74" s="199"/>
      <c r="F74" s="199"/>
      <c r="G74" s="162"/>
      <c r="H74" s="199"/>
      <c r="I74" s="162"/>
      <c r="J74" s="199"/>
      <c r="K74" s="199"/>
      <c r="L74" s="199"/>
      <c r="M74" s="199"/>
      <c r="N74" s="199"/>
      <c r="O74" s="199"/>
      <c r="P74" s="199"/>
      <c r="Q74" s="199"/>
      <c r="R74" s="199"/>
      <c r="S74" s="199"/>
      <c r="T74" s="199"/>
      <c r="U74" s="199"/>
      <c r="V74" s="199"/>
      <c r="W74" s="199"/>
      <c r="X74" s="199"/>
      <c r="Y74" s="199"/>
      <c r="Z74" s="199"/>
      <c r="AA74" s="199"/>
      <c r="AB74" s="199"/>
      <c r="AC74" s="199"/>
      <c r="AD74" s="199"/>
      <c r="AE74" s="199"/>
      <c r="AF74" s="206"/>
      <c r="AG74" s="64">
        <f t="shared" si="6"/>
        <v>0</v>
      </c>
    </row>
    <row r="75" spans="1:33" ht="18.75" x14ac:dyDescent="0.25">
      <c r="A75" s="301" t="s">
        <v>123</v>
      </c>
      <c r="B75" s="248"/>
      <c r="C75" s="199"/>
      <c r="D75" s="162"/>
      <c r="E75" s="199"/>
      <c r="F75" s="199"/>
      <c r="G75" s="162"/>
      <c r="H75" s="199"/>
      <c r="I75" s="162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9"/>
      <c r="Y75" s="199"/>
      <c r="Z75" s="199"/>
      <c r="AA75" s="199"/>
      <c r="AB75" s="199"/>
      <c r="AC75" s="199"/>
      <c r="AD75" s="199"/>
      <c r="AE75" s="199"/>
      <c r="AF75" s="206"/>
      <c r="AG75" s="64">
        <f t="shared" si="6"/>
        <v>0</v>
      </c>
    </row>
    <row r="76" spans="1:33" ht="18.75" x14ac:dyDescent="0.25">
      <c r="A76" s="301" t="s">
        <v>122</v>
      </c>
      <c r="B76" s="248"/>
      <c r="C76" s="199"/>
      <c r="D76" s="162"/>
      <c r="E76" s="199"/>
      <c r="F76" s="199"/>
      <c r="G76" s="162"/>
      <c r="H76" s="199"/>
      <c r="I76" s="162"/>
      <c r="J76" s="199"/>
      <c r="K76" s="199"/>
      <c r="L76" s="199"/>
      <c r="M76" s="199"/>
      <c r="N76" s="199"/>
      <c r="O76" s="199"/>
      <c r="P76" s="199"/>
      <c r="Q76" s="199"/>
      <c r="R76" s="199"/>
      <c r="S76" s="199"/>
      <c r="T76" s="199"/>
      <c r="U76" s="199"/>
      <c r="V76" s="199"/>
      <c r="W76" s="199"/>
      <c r="X76" s="199"/>
      <c r="Y76" s="199"/>
      <c r="Z76" s="199"/>
      <c r="AA76" s="199"/>
      <c r="AB76" s="199"/>
      <c r="AC76" s="199"/>
      <c r="AD76" s="199"/>
      <c r="AE76" s="199"/>
      <c r="AF76" s="206"/>
      <c r="AG76" s="64">
        <f t="shared" si="6"/>
        <v>0</v>
      </c>
    </row>
    <row r="77" spans="1:33" ht="19.5" thickBot="1" x14ac:dyDescent="0.3">
      <c r="A77" s="305" t="s">
        <v>121</v>
      </c>
      <c r="B77" s="253"/>
      <c r="C77" s="184"/>
      <c r="D77" s="181"/>
      <c r="E77" s="184"/>
      <c r="F77" s="184"/>
      <c r="G77" s="181"/>
      <c r="H77" s="184"/>
      <c r="I77" s="181"/>
      <c r="J77" s="184"/>
      <c r="K77" s="184"/>
      <c r="L77" s="184"/>
      <c r="M77" s="184"/>
      <c r="N77" s="184"/>
      <c r="O77" s="184"/>
      <c r="P77" s="184"/>
      <c r="Q77" s="184"/>
      <c r="R77" s="184"/>
      <c r="S77" s="184"/>
      <c r="T77" s="184"/>
      <c r="U77" s="184"/>
      <c r="V77" s="184"/>
      <c r="W77" s="184"/>
      <c r="X77" s="184"/>
      <c r="Y77" s="184"/>
      <c r="Z77" s="184"/>
      <c r="AA77" s="184"/>
      <c r="AB77" s="184"/>
      <c r="AC77" s="184"/>
      <c r="AD77" s="184"/>
      <c r="AE77" s="184"/>
      <c r="AF77" s="183"/>
      <c r="AG77" s="160">
        <f t="shared" si="6"/>
        <v>0</v>
      </c>
    </row>
    <row r="78" spans="1:33" ht="19.5" hidden="1" customHeight="1" thickBot="1" x14ac:dyDescent="0.3">
      <c r="A78" s="306" t="s">
        <v>120</v>
      </c>
      <c r="B78" s="254">
        <f t="shared" ref="B78:AF78" si="7">SUM(B79:B80)</f>
        <v>0</v>
      </c>
      <c r="C78" s="204">
        <f t="shared" si="7"/>
        <v>0</v>
      </c>
      <c r="D78" s="204">
        <f t="shared" si="7"/>
        <v>0</v>
      </c>
      <c r="E78" s="201">
        <f t="shared" si="7"/>
        <v>0</v>
      </c>
      <c r="F78" s="201">
        <f t="shared" si="7"/>
        <v>0</v>
      </c>
      <c r="G78" s="201">
        <f t="shared" si="7"/>
        <v>0</v>
      </c>
      <c r="H78" s="201">
        <f t="shared" si="7"/>
        <v>0</v>
      </c>
      <c r="I78" s="201">
        <f t="shared" si="7"/>
        <v>0</v>
      </c>
      <c r="J78" s="201">
        <f t="shared" si="7"/>
        <v>0</v>
      </c>
      <c r="K78" s="201">
        <f t="shared" si="7"/>
        <v>0</v>
      </c>
      <c r="L78" s="201">
        <f t="shared" si="7"/>
        <v>0</v>
      </c>
      <c r="M78" s="201">
        <f t="shared" si="7"/>
        <v>0</v>
      </c>
      <c r="N78" s="201">
        <f t="shared" si="7"/>
        <v>0</v>
      </c>
      <c r="O78" s="201">
        <f t="shared" si="7"/>
        <v>0</v>
      </c>
      <c r="P78" s="201">
        <f t="shared" si="7"/>
        <v>0</v>
      </c>
      <c r="Q78" s="201">
        <f t="shared" si="7"/>
        <v>0</v>
      </c>
      <c r="R78" s="201">
        <f t="shared" si="7"/>
        <v>0</v>
      </c>
      <c r="S78" s="201">
        <f t="shared" si="7"/>
        <v>0</v>
      </c>
      <c r="T78" s="201">
        <f t="shared" si="7"/>
        <v>0</v>
      </c>
      <c r="U78" s="201">
        <f t="shared" si="7"/>
        <v>0</v>
      </c>
      <c r="V78" s="201">
        <f t="shared" si="7"/>
        <v>0</v>
      </c>
      <c r="W78" s="201">
        <f t="shared" si="7"/>
        <v>0</v>
      </c>
      <c r="X78" s="201">
        <f t="shared" si="7"/>
        <v>0</v>
      </c>
      <c r="Y78" s="201">
        <f t="shared" si="7"/>
        <v>0</v>
      </c>
      <c r="Z78" s="201">
        <f t="shared" si="7"/>
        <v>0</v>
      </c>
      <c r="AA78" s="201">
        <f t="shared" si="7"/>
        <v>0</v>
      </c>
      <c r="AB78" s="201">
        <f t="shared" si="7"/>
        <v>0</v>
      </c>
      <c r="AC78" s="201">
        <f t="shared" si="7"/>
        <v>0</v>
      </c>
      <c r="AD78" s="201">
        <f t="shared" si="7"/>
        <v>0</v>
      </c>
      <c r="AE78" s="201">
        <f t="shared" si="7"/>
        <v>0</v>
      </c>
      <c r="AF78" s="203">
        <f t="shared" si="7"/>
        <v>0</v>
      </c>
      <c r="AG78" s="157">
        <f t="shared" si="6"/>
        <v>0</v>
      </c>
    </row>
    <row r="79" spans="1:33" ht="19.5" hidden="1" customHeight="1" thickBot="1" x14ac:dyDescent="0.3">
      <c r="A79" s="307" t="s">
        <v>118</v>
      </c>
      <c r="B79" s="248">
        <f t="shared" ref="B79:AF79" si="8">SUM(B4:B27)-B80</f>
        <v>0</v>
      </c>
      <c r="C79" s="199">
        <f t="shared" si="8"/>
        <v>0</v>
      </c>
      <c r="D79" s="199">
        <f t="shared" si="8"/>
        <v>0</v>
      </c>
      <c r="E79" s="199">
        <f t="shared" si="8"/>
        <v>0</v>
      </c>
      <c r="F79" s="199">
        <f t="shared" si="8"/>
        <v>0</v>
      </c>
      <c r="G79" s="199">
        <f t="shared" si="8"/>
        <v>0</v>
      </c>
      <c r="H79" s="199">
        <f t="shared" si="8"/>
        <v>0</v>
      </c>
      <c r="I79" s="199">
        <f t="shared" si="8"/>
        <v>0</v>
      </c>
      <c r="J79" s="199">
        <f t="shared" si="8"/>
        <v>0</v>
      </c>
      <c r="K79" s="199">
        <f t="shared" si="8"/>
        <v>0</v>
      </c>
      <c r="L79" s="199">
        <f t="shared" si="8"/>
        <v>0</v>
      </c>
      <c r="M79" s="199">
        <f t="shared" si="8"/>
        <v>0</v>
      </c>
      <c r="N79" s="199">
        <f t="shared" si="8"/>
        <v>0</v>
      </c>
      <c r="O79" s="199">
        <f t="shared" si="8"/>
        <v>0</v>
      </c>
      <c r="P79" s="199">
        <f t="shared" si="8"/>
        <v>0</v>
      </c>
      <c r="Q79" s="199">
        <f t="shared" si="8"/>
        <v>0</v>
      </c>
      <c r="R79" s="199">
        <f t="shared" si="8"/>
        <v>0</v>
      </c>
      <c r="S79" s="199">
        <f t="shared" si="8"/>
        <v>0</v>
      </c>
      <c r="T79" s="199">
        <f t="shared" si="8"/>
        <v>0</v>
      </c>
      <c r="U79" s="199">
        <f t="shared" si="8"/>
        <v>0</v>
      </c>
      <c r="V79" s="199">
        <f t="shared" si="8"/>
        <v>0</v>
      </c>
      <c r="W79" s="199">
        <f t="shared" si="8"/>
        <v>0</v>
      </c>
      <c r="X79" s="199">
        <f t="shared" si="8"/>
        <v>0</v>
      </c>
      <c r="Y79" s="199">
        <f t="shared" si="8"/>
        <v>0</v>
      </c>
      <c r="Z79" s="199">
        <f t="shared" si="8"/>
        <v>0</v>
      </c>
      <c r="AA79" s="199">
        <f t="shared" si="8"/>
        <v>0</v>
      </c>
      <c r="AB79" s="199">
        <f t="shared" si="8"/>
        <v>0</v>
      </c>
      <c r="AC79" s="199">
        <f t="shared" si="8"/>
        <v>0</v>
      </c>
      <c r="AD79" s="199">
        <f t="shared" si="8"/>
        <v>0</v>
      </c>
      <c r="AE79" s="199">
        <f t="shared" si="8"/>
        <v>0</v>
      </c>
      <c r="AF79" s="199">
        <f t="shared" si="8"/>
        <v>0</v>
      </c>
      <c r="AG79" s="134">
        <f t="shared" si="6"/>
        <v>0</v>
      </c>
    </row>
    <row r="80" spans="1:33" ht="19.5" hidden="1" customHeight="1" thickBot="1" x14ac:dyDescent="0.3">
      <c r="A80" s="308" t="s">
        <v>119</v>
      </c>
      <c r="B80" s="255"/>
      <c r="C80" s="169"/>
      <c r="D80" s="181">
        <v>0</v>
      </c>
      <c r="E80" s="181">
        <v>0</v>
      </c>
      <c r="F80" s="181">
        <f>SUM(F4:F12)</f>
        <v>0</v>
      </c>
      <c r="G80" s="181">
        <f>SUM(G4:G12)</f>
        <v>0</v>
      </c>
      <c r="H80" s="181">
        <f>SUM(H4:H12)</f>
        <v>0</v>
      </c>
      <c r="I80" s="169"/>
      <c r="J80" s="169"/>
      <c r="K80" s="181">
        <v>0</v>
      </c>
      <c r="L80" s="181">
        <v>0</v>
      </c>
      <c r="M80" s="181">
        <f>SUM(M4:M12)</f>
        <v>0</v>
      </c>
      <c r="N80" s="181">
        <f>SUM(N4:N12)</f>
        <v>0</v>
      </c>
      <c r="O80" s="181">
        <f>SUM(O4:O12)</f>
        <v>0</v>
      </c>
      <c r="P80" s="169"/>
      <c r="Q80" s="169"/>
      <c r="R80" s="181">
        <f>SUM(R4:R12)</f>
        <v>0</v>
      </c>
      <c r="S80" s="181">
        <f>SUM(S4:S12)</f>
        <v>0</v>
      </c>
      <c r="T80" s="181">
        <f>SUM(T4:T12)</f>
        <v>0</v>
      </c>
      <c r="U80" s="181">
        <f>SUM(U4:U12)</f>
        <v>0</v>
      </c>
      <c r="V80" s="181">
        <f>SUM(V4:V12)</f>
        <v>0</v>
      </c>
      <c r="W80" s="169"/>
      <c r="X80" s="169"/>
      <c r="Y80" s="181">
        <f>SUM(Y4:Y12)</f>
        <v>0</v>
      </c>
      <c r="Z80" s="169"/>
      <c r="AA80" s="181">
        <f>SUM(AA4:AA12)</f>
        <v>0</v>
      </c>
      <c r="AB80" s="181">
        <f>SUM(AB4:AB12)</f>
        <v>0</v>
      </c>
      <c r="AC80" s="181">
        <f>SUM(AC4:AC12)</f>
        <v>0</v>
      </c>
      <c r="AD80" s="169"/>
      <c r="AE80" s="169"/>
      <c r="AF80" s="181">
        <f>SUM(AF4:AF12)</f>
        <v>0</v>
      </c>
      <c r="AG80" s="160">
        <f t="shared" si="6"/>
        <v>0</v>
      </c>
    </row>
    <row r="81" spans="1:35" ht="19.5" thickBot="1" x14ac:dyDescent="0.3">
      <c r="A81" s="306" t="s">
        <v>84</v>
      </c>
      <c r="B81" s="256">
        <f t="shared" ref="B81:AF81" si="9">SUM(B82:B83)</f>
        <v>0</v>
      </c>
      <c r="C81" s="201">
        <f t="shared" si="9"/>
        <v>0</v>
      </c>
      <c r="D81" s="201">
        <f t="shared" si="9"/>
        <v>0</v>
      </c>
      <c r="E81" s="201">
        <f t="shared" si="9"/>
        <v>0</v>
      </c>
      <c r="F81" s="201">
        <f t="shared" si="9"/>
        <v>0</v>
      </c>
      <c r="G81" s="201">
        <f t="shared" si="9"/>
        <v>0</v>
      </c>
      <c r="H81" s="201">
        <f t="shared" si="9"/>
        <v>0</v>
      </c>
      <c r="I81" s="201">
        <f t="shared" si="9"/>
        <v>0</v>
      </c>
      <c r="J81" s="201">
        <f t="shared" si="9"/>
        <v>0</v>
      </c>
      <c r="K81" s="201">
        <f t="shared" si="9"/>
        <v>0</v>
      </c>
      <c r="L81" s="201">
        <f t="shared" si="9"/>
        <v>0</v>
      </c>
      <c r="M81" s="201">
        <f t="shared" si="9"/>
        <v>0</v>
      </c>
      <c r="N81" s="201">
        <f t="shared" si="9"/>
        <v>0</v>
      </c>
      <c r="O81" s="201">
        <f t="shared" si="9"/>
        <v>0</v>
      </c>
      <c r="P81" s="201">
        <f t="shared" si="9"/>
        <v>0</v>
      </c>
      <c r="Q81" s="201">
        <f t="shared" si="9"/>
        <v>0</v>
      </c>
      <c r="R81" s="201">
        <f t="shared" si="9"/>
        <v>0</v>
      </c>
      <c r="S81" s="201">
        <f t="shared" si="9"/>
        <v>0</v>
      </c>
      <c r="T81" s="201">
        <f t="shared" si="9"/>
        <v>0</v>
      </c>
      <c r="U81" s="201">
        <f t="shared" si="9"/>
        <v>0</v>
      </c>
      <c r="V81" s="201">
        <f t="shared" si="9"/>
        <v>0</v>
      </c>
      <c r="W81" s="201">
        <f t="shared" si="9"/>
        <v>0</v>
      </c>
      <c r="X81" s="201">
        <f t="shared" si="9"/>
        <v>0</v>
      </c>
      <c r="Y81" s="201">
        <f t="shared" si="9"/>
        <v>0</v>
      </c>
      <c r="Z81" s="201">
        <f t="shared" si="9"/>
        <v>0</v>
      </c>
      <c r="AA81" s="201">
        <f t="shared" si="9"/>
        <v>0</v>
      </c>
      <c r="AB81" s="201">
        <f t="shared" si="9"/>
        <v>0</v>
      </c>
      <c r="AC81" s="201">
        <f t="shared" si="9"/>
        <v>0</v>
      </c>
      <c r="AD81" s="201">
        <f t="shared" si="9"/>
        <v>0</v>
      </c>
      <c r="AE81" s="201">
        <f t="shared" si="9"/>
        <v>0</v>
      </c>
      <c r="AF81" s="201">
        <f t="shared" si="9"/>
        <v>0</v>
      </c>
      <c r="AG81" s="157">
        <f t="shared" si="6"/>
        <v>0</v>
      </c>
      <c r="AH81" s="53" t="str">
        <f>IF(AG81&lt;&gt;AG53,"*","")</f>
        <v/>
      </c>
    </row>
    <row r="82" spans="1:35" ht="18.75" x14ac:dyDescent="0.25">
      <c r="A82" s="307" t="s">
        <v>119</v>
      </c>
      <c r="B82" s="248">
        <f t="shared" ref="B82:AF82" si="10">SUM(B54:B62)</f>
        <v>0</v>
      </c>
      <c r="C82" s="199">
        <f t="shared" si="10"/>
        <v>0</v>
      </c>
      <c r="D82" s="199">
        <f t="shared" si="10"/>
        <v>0</v>
      </c>
      <c r="E82" s="199">
        <f t="shared" si="10"/>
        <v>0</v>
      </c>
      <c r="F82" s="199">
        <f t="shared" si="10"/>
        <v>0</v>
      </c>
      <c r="G82" s="199">
        <f t="shared" si="10"/>
        <v>0</v>
      </c>
      <c r="H82" s="199">
        <f t="shared" si="10"/>
        <v>0</v>
      </c>
      <c r="I82" s="199">
        <f t="shared" si="10"/>
        <v>0</v>
      </c>
      <c r="J82" s="199">
        <f t="shared" si="10"/>
        <v>0</v>
      </c>
      <c r="K82" s="199">
        <f t="shared" si="10"/>
        <v>0</v>
      </c>
      <c r="L82" s="199">
        <f t="shared" si="10"/>
        <v>0</v>
      </c>
      <c r="M82" s="199">
        <f t="shared" si="10"/>
        <v>0</v>
      </c>
      <c r="N82" s="199">
        <f t="shared" si="10"/>
        <v>0</v>
      </c>
      <c r="O82" s="199">
        <f t="shared" si="10"/>
        <v>0</v>
      </c>
      <c r="P82" s="199">
        <f t="shared" si="10"/>
        <v>0</v>
      </c>
      <c r="Q82" s="199">
        <f t="shared" si="10"/>
        <v>0</v>
      </c>
      <c r="R82" s="199">
        <f t="shared" si="10"/>
        <v>0</v>
      </c>
      <c r="S82" s="199">
        <f t="shared" si="10"/>
        <v>0</v>
      </c>
      <c r="T82" s="199">
        <f t="shared" si="10"/>
        <v>0</v>
      </c>
      <c r="U82" s="199">
        <f t="shared" si="10"/>
        <v>0</v>
      </c>
      <c r="V82" s="199">
        <f t="shared" si="10"/>
        <v>0</v>
      </c>
      <c r="W82" s="199">
        <f t="shared" si="10"/>
        <v>0</v>
      </c>
      <c r="X82" s="199">
        <f t="shared" si="10"/>
        <v>0</v>
      </c>
      <c r="Y82" s="199">
        <f t="shared" si="10"/>
        <v>0</v>
      </c>
      <c r="Z82" s="199">
        <f t="shared" si="10"/>
        <v>0</v>
      </c>
      <c r="AA82" s="199">
        <f t="shared" si="10"/>
        <v>0</v>
      </c>
      <c r="AB82" s="199">
        <f t="shared" si="10"/>
        <v>0</v>
      </c>
      <c r="AC82" s="199">
        <f t="shared" si="10"/>
        <v>0</v>
      </c>
      <c r="AD82" s="199">
        <f t="shared" si="10"/>
        <v>0</v>
      </c>
      <c r="AE82" s="199">
        <f t="shared" si="10"/>
        <v>0</v>
      </c>
      <c r="AF82" s="199">
        <f t="shared" si="10"/>
        <v>0</v>
      </c>
      <c r="AG82" s="134">
        <f t="shared" si="6"/>
        <v>0</v>
      </c>
    </row>
    <row r="83" spans="1:35" ht="19.5" thickBot="1" x14ac:dyDescent="0.3">
      <c r="A83" s="308" t="s">
        <v>118</v>
      </c>
      <c r="B83" s="252">
        <f t="shared" ref="B83:AF83" si="11">SUM(B54:B77)-B82</f>
        <v>0</v>
      </c>
      <c r="C83" s="181">
        <f t="shared" si="11"/>
        <v>0</v>
      </c>
      <c r="D83" s="181">
        <f t="shared" si="11"/>
        <v>0</v>
      </c>
      <c r="E83" s="181">
        <f t="shared" si="11"/>
        <v>0</v>
      </c>
      <c r="F83" s="181">
        <f t="shared" si="11"/>
        <v>0</v>
      </c>
      <c r="G83" s="181">
        <f t="shared" si="11"/>
        <v>0</v>
      </c>
      <c r="H83" s="181">
        <f t="shared" si="11"/>
        <v>0</v>
      </c>
      <c r="I83" s="181">
        <f t="shared" si="11"/>
        <v>0</v>
      </c>
      <c r="J83" s="181">
        <f t="shared" si="11"/>
        <v>0</v>
      </c>
      <c r="K83" s="181">
        <f t="shared" si="11"/>
        <v>0</v>
      </c>
      <c r="L83" s="181">
        <f t="shared" si="11"/>
        <v>0</v>
      </c>
      <c r="M83" s="181">
        <f t="shared" si="11"/>
        <v>0</v>
      </c>
      <c r="N83" s="181">
        <f t="shared" si="11"/>
        <v>0</v>
      </c>
      <c r="O83" s="181">
        <f t="shared" si="11"/>
        <v>0</v>
      </c>
      <c r="P83" s="181">
        <f t="shared" si="11"/>
        <v>0</v>
      </c>
      <c r="Q83" s="181">
        <f t="shared" si="11"/>
        <v>0</v>
      </c>
      <c r="R83" s="181">
        <f t="shared" si="11"/>
        <v>0</v>
      </c>
      <c r="S83" s="181">
        <f t="shared" si="11"/>
        <v>0</v>
      </c>
      <c r="T83" s="181">
        <f t="shared" si="11"/>
        <v>0</v>
      </c>
      <c r="U83" s="181">
        <f t="shared" si="11"/>
        <v>0</v>
      </c>
      <c r="V83" s="181">
        <f t="shared" si="11"/>
        <v>0</v>
      </c>
      <c r="W83" s="181">
        <f t="shared" si="11"/>
        <v>0</v>
      </c>
      <c r="X83" s="181">
        <f t="shared" si="11"/>
        <v>0</v>
      </c>
      <c r="Y83" s="181">
        <f t="shared" si="11"/>
        <v>0</v>
      </c>
      <c r="Z83" s="181">
        <f t="shared" si="11"/>
        <v>0</v>
      </c>
      <c r="AA83" s="181">
        <f t="shared" si="11"/>
        <v>0</v>
      </c>
      <c r="AB83" s="181">
        <f t="shared" si="11"/>
        <v>0</v>
      </c>
      <c r="AC83" s="181">
        <f t="shared" si="11"/>
        <v>0</v>
      </c>
      <c r="AD83" s="181">
        <f t="shared" si="11"/>
        <v>0</v>
      </c>
      <c r="AE83" s="181">
        <f t="shared" si="11"/>
        <v>0</v>
      </c>
      <c r="AF83" s="181">
        <f t="shared" si="11"/>
        <v>0</v>
      </c>
      <c r="AG83" s="64">
        <f t="shared" si="6"/>
        <v>0</v>
      </c>
    </row>
    <row r="84" spans="1:35" ht="19.5" thickBot="1" x14ac:dyDescent="0.3">
      <c r="A84" s="309" t="s">
        <v>117</v>
      </c>
      <c r="B84" s="257">
        <f t="shared" ref="B84:AF84" si="12">SUM(B85:B86)</f>
        <v>0</v>
      </c>
      <c r="C84" s="158">
        <f t="shared" si="12"/>
        <v>0</v>
      </c>
      <c r="D84" s="158">
        <f t="shared" si="12"/>
        <v>0</v>
      </c>
      <c r="E84" s="158">
        <f t="shared" si="12"/>
        <v>0</v>
      </c>
      <c r="F84" s="158">
        <f t="shared" si="12"/>
        <v>0</v>
      </c>
      <c r="G84" s="158">
        <f t="shared" si="12"/>
        <v>0</v>
      </c>
      <c r="H84" s="158">
        <f t="shared" si="12"/>
        <v>0</v>
      </c>
      <c r="I84" s="158">
        <f t="shared" si="12"/>
        <v>0</v>
      </c>
      <c r="J84" s="158">
        <f t="shared" si="12"/>
        <v>0</v>
      </c>
      <c r="K84" s="158">
        <f t="shared" si="12"/>
        <v>0</v>
      </c>
      <c r="L84" s="158">
        <f t="shared" si="12"/>
        <v>0</v>
      </c>
      <c r="M84" s="158">
        <f t="shared" si="12"/>
        <v>0</v>
      </c>
      <c r="N84" s="158">
        <f t="shared" si="12"/>
        <v>0</v>
      </c>
      <c r="O84" s="158">
        <f t="shared" si="12"/>
        <v>0</v>
      </c>
      <c r="P84" s="158">
        <f t="shared" si="12"/>
        <v>0</v>
      </c>
      <c r="Q84" s="158">
        <f t="shared" si="12"/>
        <v>0</v>
      </c>
      <c r="R84" s="158">
        <f t="shared" si="12"/>
        <v>0</v>
      </c>
      <c r="S84" s="158">
        <f t="shared" si="12"/>
        <v>0</v>
      </c>
      <c r="T84" s="158">
        <f t="shared" si="12"/>
        <v>0</v>
      </c>
      <c r="U84" s="158">
        <f t="shared" si="12"/>
        <v>0</v>
      </c>
      <c r="V84" s="158">
        <f t="shared" si="12"/>
        <v>0</v>
      </c>
      <c r="W84" s="158">
        <f t="shared" si="12"/>
        <v>0</v>
      </c>
      <c r="X84" s="158">
        <f t="shared" si="12"/>
        <v>0</v>
      </c>
      <c r="Y84" s="158">
        <f t="shared" si="12"/>
        <v>0</v>
      </c>
      <c r="Z84" s="158">
        <f t="shared" si="12"/>
        <v>0</v>
      </c>
      <c r="AA84" s="158">
        <f t="shared" si="12"/>
        <v>0</v>
      </c>
      <c r="AB84" s="158">
        <f t="shared" si="12"/>
        <v>0</v>
      </c>
      <c r="AC84" s="158">
        <f t="shared" si="12"/>
        <v>0</v>
      </c>
      <c r="AD84" s="158">
        <f t="shared" si="12"/>
        <v>0</v>
      </c>
      <c r="AE84" s="158">
        <f t="shared" si="12"/>
        <v>0</v>
      </c>
      <c r="AF84" s="158">
        <f t="shared" si="12"/>
        <v>0</v>
      </c>
      <c r="AG84" s="197">
        <f t="shared" si="6"/>
        <v>0</v>
      </c>
      <c r="AH84" s="53" t="str">
        <f>IF(AG84&lt;&gt;AG82+AG83,"*","")</f>
        <v/>
      </c>
      <c r="AI84" s="403" t="s">
        <v>71</v>
      </c>
    </row>
    <row r="85" spans="1:35" ht="18.75" x14ac:dyDescent="0.25">
      <c r="A85" s="310" t="s">
        <v>116</v>
      </c>
      <c r="B85" s="258"/>
      <c r="C85" s="195"/>
      <c r="D85" s="195"/>
      <c r="E85" s="195"/>
      <c r="F85" s="195"/>
      <c r="G85" s="195"/>
      <c r="H85" s="195"/>
      <c r="I85" s="195"/>
      <c r="J85" s="195"/>
      <c r="K85" s="195"/>
      <c r="L85" s="195"/>
      <c r="M85" s="195"/>
      <c r="N85" s="195"/>
      <c r="O85" s="195"/>
      <c r="P85" s="195"/>
      <c r="Q85" s="195"/>
      <c r="R85" s="195"/>
      <c r="S85" s="195"/>
      <c r="T85" s="195"/>
      <c r="U85" s="195"/>
      <c r="V85" s="195"/>
      <c r="W85" s="195"/>
      <c r="X85" s="195"/>
      <c r="Y85" s="195"/>
      <c r="Z85" s="195"/>
      <c r="AA85" s="195"/>
      <c r="AB85" s="195"/>
      <c r="AC85" s="195"/>
      <c r="AD85" s="195"/>
      <c r="AE85" s="195"/>
      <c r="AF85" s="194"/>
      <c r="AG85" s="193">
        <f t="shared" si="6"/>
        <v>0</v>
      </c>
      <c r="AI85" s="404"/>
    </row>
    <row r="86" spans="1:35" ht="19.5" thickBot="1" x14ac:dyDescent="0.3">
      <c r="A86" s="311" t="s">
        <v>115</v>
      </c>
      <c r="B86" s="259"/>
      <c r="C86" s="191"/>
      <c r="D86" s="191"/>
      <c r="E86" s="191"/>
      <c r="F86" s="191"/>
      <c r="G86" s="191"/>
      <c r="H86" s="191"/>
      <c r="I86" s="191"/>
      <c r="J86" s="191"/>
      <c r="K86" s="191"/>
      <c r="L86" s="191"/>
      <c r="M86" s="191"/>
      <c r="N86" s="191"/>
      <c r="O86" s="191"/>
      <c r="P86" s="191"/>
      <c r="Q86" s="191"/>
      <c r="R86" s="191"/>
      <c r="S86" s="191"/>
      <c r="T86" s="191"/>
      <c r="U86" s="191"/>
      <c r="V86" s="191"/>
      <c r="W86" s="191"/>
      <c r="X86" s="191"/>
      <c r="Y86" s="191"/>
      <c r="Z86" s="191"/>
      <c r="AA86" s="191"/>
      <c r="AB86" s="191"/>
      <c r="AC86" s="191"/>
      <c r="AD86" s="191"/>
      <c r="AE86" s="191"/>
      <c r="AF86" s="190"/>
      <c r="AG86" s="189">
        <f t="shared" si="6"/>
        <v>0</v>
      </c>
      <c r="AI86" s="405"/>
    </row>
    <row r="87" spans="1:35" ht="19.5" thickBot="1" x14ac:dyDescent="0.3">
      <c r="A87" s="312" t="s">
        <v>114</v>
      </c>
      <c r="B87" s="260">
        <f t="shared" ref="B87:AF87" si="13">SUM(B88:B92)</f>
        <v>0</v>
      </c>
      <c r="C87" s="187">
        <f t="shared" si="13"/>
        <v>0</v>
      </c>
      <c r="D87" s="187">
        <f t="shared" si="13"/>
        <v>0</v>
      </c>
      <c r="E87" s="187">
        <f t="shared" si="13"/>
        <v>0</v>
      </c>
      <c r="F87" s="187">
        <f t="shared" si="13"/>
        <v>0</v>
      </c>
      <c r="G87" s="187">
        <f t="shared" si="13"/>
        <v>0</v>
      </c>
      <c r="H87" s="187">
        <f t="shared" si="13"/>
        <v>0</v>
      </c>
      <c r="I87" s="187">
        <f t="shared" si="13"/>
        <v>0</v>
      </c>
      <c r="J87" s="187">
        <f t="shared" si="13"/>
        <v>0</v>
      </c>
      <c r="K87" s="187">
        <f t="shared" si="13"/>
        <v>0</v>
      </c>
      <c r="L87" s="187">
        <f t="shared" si="13"/>
        <v>0</v>
      </c>
      <c r="M87" s="187">
        <f t="shared" si="13"/>
        <v>0</v>
      </c>
      <c r="N87" s="187">
        <f t="shared" si="13"/>
        <v>0</v>
      </c>
      <c r="O87" s="187">
        <f t="shared" si="13"/>
        <v>0</v>
      </c>
      <c r="P87" s="187">
        <f t="shared" si="13"/>
        <v>0</v>
      </c>
      <c r="Q87" s="187">
        <f t="shared" si="13"/>
        <v>0</v>
      </c>
      <c r="R87" s="187">
        <f t="shared" si="13"/>
        <v>0</v>
      </c>
      <c r="S87" s="187">
        <f t="shared" si="13"/>
        <v>0</v>
      </c>
      <c r="T87" s="187">
        <f t="shared" si="13"/>
        <v>0</v>
      </c>
      <c r="U87" s="187">
        <f t="shared" si="13"/>
        <v>0</v>
      </c>
      <c r="V87" s="187">
        <f t="shared" si="13"/>
        <v>0</v>
      </c>
      <c r="W87" s="187">
        <f t="shared" si="13"/>
        <v>0</v>
      </c>
      <c r="X87" s="187">
        <f t="shared" si="13"/>
        <v>0</v>
      </c>
      <c r="Y87" s="187">
        <f t="shared" si="13"/>
        <v>0</v>
      </c>
      <c r="Z87" s="187">
        <f t="shared" si="13"/>
        <v>0</v>
      </c>
      <c r="AA87" s="187">
        <f t="shared" si="13"/>
        <v>0</v>
      </c>
      <c r="AB87" s="187">
        <f t="shared" si="13"/>
        <v>0</v>
      </c>
      <c r="AC87" s="187">
        <f t="shared" si="13"/>
        <v>0</v>
      </c>
      <c r="AD87" s="187">
        <f t="shared" si="13"/>
        <v>0</v>
      </c>
      <c r="AE87" s="187">
        <f t="shared" si="13"/>
        <v>0</v>
      </c>
      <c r="AF87" s="187">
        <f t="shared" si="13"/>
        <v>0</v>
      </c>
      <c r="AG87" s="186">
        <f t="shared" si="6"/>
        <v>0</v>
      </c>
      <c r="AH87" s="185" t="str">
        <f>IF(AG87&lt;&gt;AG84,"*","")</f>
        <v/>
      </c>
    </row>
    <row r="88" spans="1:35" ht="18.75" x14ac:dyDescent="0.25">
      <c r="A88" s="313" t="s">
        <v>113</v>
      </c>
      <c r="B88" s="253"/>
      <c r="C88" s="184"/>
      <c r="D88" s="184"/>
      <c r="E88" s="184"/>
      <c r="F88" s="184"/>
      <c r="G88" s="184"/>
      <c r="H88" s="184"/>
      <c r="I88" s="184"/>
      <c r="J88" s="184"/>
      <c r="K88" s="184"/>
      <c r="L88" s="184"/>
      <c r="M88" s="184"/>
      <c r="N88" s="184"/>
      <c r="O88" s="184"/>
      <c r="P88" s="184"/>
      <c r="Q88" s="184"/>
      <c r="R88" s="184"/>
      <c r="S88" s="184"/>
      <c r="T88" s="184"/>
      <c r="U88" s="184"/>
      <c r="V88" s="184"/>
      <c r="W88" s="184"/>
      <c r="X88" s="184"/>
      <c r="Y88" s="184"/>
      <c r="Z88" s="184"/>
      <c r="AA88" s="184"/>
      <c r="AB88" s="184"/>
      <c r="AC88" s="184"/>
      <c r="AD88" s="184"/>
      <c r="AE88" s="184"/>
      <c r="AF88" s="183"/>
      <c r="AG88" s="134">
        <f t="shared" si="6"/>
        <v>0</v>
      </c>
    </row>
    <row r="89" spans="1:35" ht="18.75" x14ac:dyDescent="0.25">
      <c r="A89" s="314" t="s">
        <v>16</v>
      </c>
      <c r="B89" s="252"/>
      <c r="C89" s="181"/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  <c r="AA89" s="181"/>
      <c r="AB89" s="181"/>
      <c r="AC89" s="181"/>
      <c r="AD89" s="181"/>
      <c r="AE89" s="181"/>
      <c r="AF89" s="180"/>
      <c r="AG89" s="64">
        <f t="shared" si="6"/>
        <v>0</v>
      </c>
    </row>
    <row r="90" spans="1:35" ht="18.75" x14ac:dyDescent="0.25">
      <c r="A90" s="314" t="s">
        <v>15</v>
      </c>
      <c r="B90" s="252"/>
      <c r="C90" s="181"/>
      <c r="D90" s="181"/>
      <c r="E90" s="181"/>
      <c r="F90" s="181"/>
      <c r="G90" s="181"/>
      <c r="H90" s="181"/>
      <c r="I90" s="181"/>
      <c r="J90" s="181"/>
      <c r="K90" s="181"/>
      <c r="L90" s="181"/>
      <c r="M90" s="181"/>
      <c r="N90" s="181"/>
      <c r="O90" s="181"/>
      <c r="P90" s="181"/>
      <c r="Q90" s="181"/>
      <c r="R90" s="181"/>
      <c r="S90" s="181"/>
      <c r="T90" s="181"/>
      <c r="U90" s="181"/>
      <c r="V90" s="181"/>
      <c r="W90" s="181"/>
      <c r="X90" s="181"/>
      <c r="Y90" s="181"/>
      <c r="Z90" s="181"/>
      <c r="AA90" s="181"/>
      <c r="AB90" s="181"/>
      <c r="AC90" s="181"/>
      <c r="AD90" s="181"/>
      <c r="AE90" s="181"/>
      <c r="AF90" s="180"/>
      <c r="AG90" s="64">
        <f t="shared" si="6"/>
        <v>0</v>
      </c>
    </row>
    <row r="91" spans="1:35" ht="18.75" x14ac:dyDescent="0.25">
      <c r="A91" s="314" t="s">
        <v>14</v>
      </c>
      <c r="B91" s="252"/>
      <c r="C91" s="181"/>
      <c r="D91" s="181"/>
      <c r="E91" s="181"/>
      <c r="F91" s="181"/>
      <c r="G91" s="181"/>
      <c r="H91" s="181"/>
      <c r="I91" s="181"/>
      <c r="J91" s="181"/>
      <c r="K91" s="181"/>
      <c r="L91" s="181"/>
      <c r="M91" s="181"/>
      <c r="N91" s="181"/>
      <c r="O91" s="181"/>
      <c r="P91" s="181"/>
      <c r="Q91" s="181"/>
      <c r="R91" s="181"/>
      <c r="S91" s="181"/>
      <c r="T91" s="181"/>
      <c r="U91" s="181"/>
      <c r="V91" s="181"/>
      <c r="W91" s="181"/>
      <c r="X91" s="181"/>
      <c r="Y91" s="181"/>
      <c r="Z91" s="181"/>
      <c r="AA91" s="181"/>
      <c r="AB91" s="181"/>
      <c r="AC91" s="181"/>
      <c r="AD91" s="181"/>
      <c r="AE91" s="181"/>
      <c r="AF91" s="180"/>
      <c r="AG91" s="64">
        <f t="shared" si="6"/>
        <v>0</v>
      </c>
    </row>
    <row r="92" spans="1:35" ht="19.5" thickBot="1" x14ac:dyDescent="0.3">
      <c r="A92" s="314" t="s">
        <v>13</v>
      </c>
      <c r="B92" s="252"/>
      <c r="C92" s="181"/>
      <c r="D92" s="181"/>
      <c r="E92" s="181"/>
      <c r="F92" s="181"/>
      <c r="G92" s="181"/>
      <c r="H92" s="181"/>
      <c r="I92" s="181"/>
      <c r="J92" s="181"/>
      <c r="K92" s="181"/>
      <c r="L92" s="181"/>
      <c r="M92" s="181"/>
      <c r="N92" s="181"/>
      <c r="O92" s="181"/>
      <c r="P92" s="181"/>
      <c r="Q92" s="181"/>
      <c r="R92" s="181"/>
      <c r="S92" s="181"/>
      <c r="T92" s="181"/>
      <c r="U92" s="181"/>
      <c r="V92" s="181"/>
      <c r="W92" s="181"/>
      <c r="X92" s="181"/>
      <c r="Y92" s="181"/>
      <c r="Z92" s="181"/>
      <c r="AA92" s="181"/>
      <c r="AB92" s="181"/>
      <c r="AC92" s="181"/>
      <c r="AD92" s="181"/>
      <c r="AE92" s="181"/>
      <c r="AF92" s="180"/>
      <c r="AG92" s="64">
        <f t="shared" si="6"/>
        <v>0</v>
      </c>
    </row>
    <row r="93" spans="1:35" ht="18.75" x14ac:dyDescent="0.25">
      <c r="A93" s="315" t="s">
        <v>112</v>
      </c>
      <c r="B93" s="261">
        <f t="shared" ref="B93:AF93" si="14">+B94+B100</f>
        <v>0</v>
      </c>
      <c r="C93" s="166">
        <f t="shared" si="14"/>
        <v>0</v>
      </c>
      <c r="D93" s="166">
        <f t="shared" si="14"/>
        <v>0</v>
      </c>
      <c r="E93" s="166">
        <f t="shared" si="14"/>
        <v>0</v>
      </c>
      <c r="F93" s="166">
        <f t="shared" si="14"/>
        <v>0</v>
      </c>
      <c r="G93" s="166">
        <f t="shared" si="14"/>
        <v>0</v>
      </c>
      <c r="H93" s="166">
        <f t="shared" si="14"/>
        <v>0</v>
      </c>
      <c r="I93" s="166">
        <f t="shared" si="14"/>
        <v>0</v>
      </c>
      <c r="J93" s="166">
        <f t="shared" si="14"/>
        <v>0</v>
      </c>
      <c r="K93" s="166">
        <f t="shared" si="14"/>
        <v>0</v>
      </c>
      <c r="L93" s="166">
        <f t="shared" si="14"/>
        <v>0</v>
      </c>
      <c r="M93" s="166">
        <f t="shared" si="14"/>
        <v>0</v>
      </c>
      <c r="N93" s="166">
        <f t="shared" si="14"/>
        <v>0</v>
      </c>
      <c r="O93" s="166">
        <f t="shared" si="14"/>
        <v>0</v>
      </c>
      <c r="P93" s="166">
        <f t="shared" si="14"/>
        <v>0</v>
      </c>
      <c r="Q93" s="166">
        <f t="shared" si="14"/>
        <v>0</v>
      </c>
      <c r="R93" s="166">
        <f t="shared" si="14"/>
        <v>0</v>
      </c>
      <c r="S93" s="166">
        <f t="shared" si="14"/>
        <v>0</v>
      </c>
      <c r="T93" s="166">
        <f t="shared" si="14"/>
        <v>0</v>
      </c>
      <c r="U93" s="166">
        <f t="shared" si="14"/>
        <v>0</v>
      </c>
      <c r="V93" s="166">
        <f t="shared" si="14"/>
        <v>0</v>
      </c>
      <c r="W93" s="166">
        <f t="shared" si="14"/>
        <v>0</v>
      </c>
      <c r="X93" s="166">
        <f t="shared" si="14"/>
        <v>0</v>
      </c>
      <c r="Y93" s="166">
        <f t="shared" si="14"/>
        <v>0</v>
      </c>
      <c r="Z93" s="166">
        <f t="shared" si="14"/>
        <v>0</v>
      </c>
      <c r="AA93" s="166">
        <f t="shared" si="14"/>
        <v>0</v>
      </c>
      <c r="AB93" s="166">
        <f t="shared" si="14"/>
        <v>0</v>
      </c>
      <c r="AC93" s="166">
        <f t="shared" si="14"/>
        <v>0</v>
      </c>
      <c r="AD93" s="166">
        <f t="shared" si="14"/>
        <v>0</v>
      </c>
      <c r="AE93" s="166">
        <f t="shared" si="14"/>
        <v>0</v>
      </c>
      <c r="AF93" s="165">
        <f t="shared" si="14"/>
        <v>0</v>
      </c>
      <c r="AG93" s="164">
        <f t="shared" si="6"/>
        <v>0</v>
      </c>
      <c r="AH93" s="179" t="str">
        <f>IF(AG93&lt;&gt;AG28,"*","")</f>
        <v/>
      </c>
    </row>
    <row r="94" spans="1:35" ht="18.75" x14ac:dyDescent="0.25">
      <c r="A94" s="66" t="s">
        <v>111</v>
      </c>
      <c r="B94" s="262">
        <f t="shared" ref="B94:AF94" si="15">SUM(B95:B99)</f>
        <v>0</v>
      </c>
      <c r="C94" s="68">
        <f t="shared" si="15"/>
        <v>0</v>
      </c>
      <c r="D94" s="68">
        <f t="shared" si="15"/>
        <v>0</v>
      </c>
      <c r="E94" s="68">
        <f t="shared" si="15"/>
        <v>0</v>
      </c>
      <c r="F94" s="68">
        <f t="shared" si="15"/>
        <v>0</v>
      </c>
      <c r="G94" s="68">
        <f t="shared" si="15"/>
        <v>0</v>
      </c>
      <c r="H94" s="68">
        <f t="shared" si="15"/>
        <v>0</v>
      </c>
      <c r="I94" s="68">
        <f t="shared" si="15"/>
        <v>0</v>
      </c>
      <c r="J94" s="68">
        <f t="shared" si="15"/>
        <v>0</v>
      </c>
      <c r="K94" s="68">
        <f t="shared" si="15"/>
        <v>0</v>
      </c>
      <c r="L94" s="68">
        <f t="shared" si="15"/>
        <v>0</v>
      </c>
      <c r="M94" s="68">
        <f t="shared" si="15"/>
        <v>0</v>
      </c>
      <c r="N94" s="68">
        <f t="shared" si="15"/>
        <v>0</v>
      </c>
      <c r="O94" s="68">
        <f t="shared" si="15"/>
        <v>0</v>
      </c>
      <c r="P94" s="68">
        <f t="shared" si="15"/>
        <v>0</v>
      </c>
      <c r="Q94" s="68">
        <f t="shared" si="15"/>
        <v>0</v>
      </c>
      <c r="R94" s="68">
        <f t="shared" si="15"/>
        <v>0</v>
      </c>
      <c r="S94" s="68">
        <f t="shared" si="15"/>
        <v>0</v>
      </c>
      <c r="T94" s="68">
        <f t="shared" si="15"/>
        <v>0</v>
      </c>
      <c r="U94" s="68">
        <f t="shared" si="15"/>
        <v>0</v>
      </c>
      <c r="V94" s="68">
        <f t="shared" si="15"/>
        <v>0</v>
      </c>
      <c r="W94" s="68">
        <f t="shared" si="15"/>
        <v>0</v>
      </c>
      <c r="X94" s="68">
        <f t="shared" si="15"/>
        <v>0</v>
      </c>
      <c r="Y94" s="68">
        <f t="shared" si="15"/>
        <v>0</v>
      </c>
      <c r="Z94" s="68">
        <f t="shared" si="15"/>
        <v>0</v>
      </c>
      <c r="AA94" s="68">
        <f t="shared" si="15"/>
        <v>0</v>
      </c>
      <c r="AB94" s="68">
        <f t="shared" si="15"/>
        <v>0</v>
      </c>
      <c r="AC94" s="68">
        <f t="shared" si="15"/>
        <v>0</v>
      </c>
      <c r="AD94" s="68">
        <f t="shared" si="15"/>
        <v>0</v>
      </c>
      <c r="AE94" s="68">
        <f t="shared" si="15"/>
        <v>0</v>
      </c>
      <c r="AF94" s="67">
        <f t="shared" si="15"/>
        <v>0</v>
      </c>
      <c r="AG94" s="64">
        <f t="shared" si="6"/>
        <v>0</v>
      </c>
    </row>
    <row r="95" spans="1:35" ht="18.75" x14ac:dyDescent="0.25">
      <c r="A95" s="316" t="s">
        <v>110</v>
      </c>
      <c r="B95" s="249"/>
      <c r="C95" s="162"/>
      <c r="D95" s="162"/>
      <c r="E95" s="162"/>
      <c r="F95" s="162"/>
      <c r="G95" s="162"/>
      <c r="H95" s="162"/>
      <c r="I95" s="162"/>
      <c r="J95" s="162"/>
      <c r="K95" s="162"/>
      <c r="L95" s="162"/>
      <c r="M95" s="162"/>
      <c r="N95" s="162"/>
      <c r="O95" s="162"/>
      <c r="P95" s="162"/>
      <c r="Q95" s="162"/>
      <c r="R95" s="162"/>
      <c r="S95" s="162"/>
      <c r="T95" s="162"/>
      <c r="U95" s="162"/>
      <c r="V95" s="162"/>
      <c r="W95" s="162"/>
      <c r="X95" s="162"/>
      <c r="Y95" s="162"/>
      <c r="Z95" s="162"/>
      <c r="AA95" s="162"/>
      <c r="AB95" s="162"/>
      <c r="AC95" s="162"/>
      <c r="AD95" s="162"/>
      <c r="AE95" s="162"/>
      <c r="AF95" s="161"/>
      <c r="AG95" s="64">
        <f t="shared" si="6"/>
        <v>0</v>
      </c>
    </row>
    <row r="96" spans="1:35" ht="18.75" x14ac:dyDescent="0.25">
      <c r="A96" s="317" t="s">
        <v>109</v>
      </c>
      <c r="B96" s="249"/>
      <c r="C96" s="162"/>
      <c r="D96" s="162"/>
      <c r="E96" s="162"/>
      <c r="F96" s="162"/>
      <c r="G96" s="162"/>
      <c r="H96" s="162"/>
      <c r="I96" s="162"/>
      <c r="J96" s="162"/>
      <c r="K96" s="162"/>
      <c r="L96" s="162"/>
      <c r="M96" s="162"/>
      <c r="N96" s="162"/>
      <c r="O96" s="162"/>
      <c r="P96" s="162"/>
      <c r="Q96" s="162"/>
      <c r="R96" s="162"/>
      <c r="S96" s="176"/>
      <c r="T96" s="162"/>
      <c r="U96" s="162"/>
      <c r="V96" s="162"/>
      <c r="W96" s="162"/>
      <c r="X96" s="162"/>
      <c r="Y96" s="162"/>
      <c r="Z96" s="162"/>
      <c r="AA96" s="162"/>
      <c r="AB96" s="162"/>
      <c r="AC96" s="162"/>
      <c r="AD96" s="162"/>
      <c r="AE96" s="162"/>
      <c r="AF96" s="161"/>
      <c r="AG96" s="64">
        <f t="shared" si="6"/>
        <v>0</v>
      </c>
    </row>
    <row r="97" spans="1:33" ht="18.75" x14ac:dyDescent="0.25">
      <c r="A97" s="318" t="s">
        <v>108</v>
      </c>
      <c r="B97" s="249"/>
      <c r="C97" s="162"/>
      <c r="D97" s="162"/>
      <c r="E97" s="162"/>
      <c r="F97" s="162"/>
      <c r="G97" s="162"/>
      <c r="H97" s="162"/>
      <c r="I97" s="162"/>
      <c r="J97" s="162"/>
      <c r="K97" s="162"/>
      <c r="L97" s="162"/>
      <c r="M97" s="162"/>
      <c r="N97" s="162"/>
      <c r="O97" s="162"/>
      <c r="P97" s="162"/>
      <c r="Q97" s="162"/>
      <c r="R97" s="162"/>
      <c r="S97" s="162"/>
      <c r="T97" s="162"/>
      <c r="U97" s="162"/>
      <c r="V97" s="162"/>
      <c r="W97" s="162"/>
      <c r="X97" s="162"/>
      <c r="Y97" s="162"/>
      <c r="Z97" s="162"/>
      <c r="AA97" s="162"/>
      <c r="AB97" s="162"/>
      <c r="AC97" s="162"/>
      <c r="AD97" s="162"/>
      <c r="AE97" s="162"/>
      <c r="AF97" s="161"/>
      <c r="AG97" s="64">
        <f t="shared" si="6"/>
        <v>0</v>
      </c>
    </row>
    <row r="98" spans="1:33" ht="18.75" x14ac:dyDescent="0.25">
      <c r="A98" s="319" t="s">
        <v>107</v>
      </c>
      <c r="B98" s="249"/>
      <c r="C98" s="162"/>
      <c r="D98" s="162"/>
      <c r="E98" s="162"/>
      <c r="F98" s="162"/>
      <c r="G98" s="162"/>
      <c r="H98" s="162"/>
      <c r="I98" s="162"/>
      <c r="J98" s="162"/>
      <c r="K98" s="162"/>
      <c r="L98" s="162"/>
      <c r="M98" s="162"/>
      <c r="N98" s="162"/>
      <c r="O98" s="162"/>
      <c r="P98" s="162"/>
      <c r="Q98" s="162"/>
      <c r="R98" s="162"/>
      <c r="S98" s="162"/>
      <c r="T98" s="162"/>
      <c r="U98" s="162"/>
      <c r="V98" s="162"/>
      <c r="W98" s="162"/>
      <c r="X98" s="162"/>
      <c r="Y98" s="162"/>
      <c r="Z98" s="162"/>
      <c r="AA98" s="162"/>
      <c r="AB98" s="162"/>
      <c r="AC98" s="162"/>
      <c r="AD98" s="162"/>
      <c r="AE98" s="162"/>
      <c r="AF98" s="161"/>
      <c r="AG98" s="64">
        <f t="shared" si="6"/>
        <v>0</v>
      </c>
    </row>
    <row r="99" spans="1:33" ht="18.75" x14ac:dyDescent="0.25">
      <c r="A99" s="320" t="s">
        <v>106</v>
      </c>
      <c r="B99" s="249"/>
      <c r="C99" s="162"/>
      <c r="D99" s="162"/>
      <c r="E99" s="162"/>
      <c r="F99" s="162"/>
      <c r="G99" s="162"/>
      <c r="H99" s="162"/>
      <c r="I99" s="162"/>
      <c r="J99" s="162"/>
      <c r="K99" s="162"/>
      <c r="L99" s="162"/>
      <c r="M99" s="162"/>
      <c r="N99" s="162"/>
      <c r="O99" s="162"/>
      <c r="P99" s="162"/>
      <c r="Q99" s="162"/>
      <c r="R99" s="162"/>
      <c r="S99" s="162"/>
      <c r="T99" s="162"/>
      <c r="U99" s="162"/>
      <c r="V99" s="162"/>
      <c r="W99" s="162"/>
      <c r="X99" s="162"/>
      <c r="Y99" s="162"/>
      <c r="Z99" s="162"/>
      <c r="AA99" s="162"/>
      <c r="AB99" s="162"/>
      <c r="AC99" s="162"/>
      <c r="AD99" s="162"/>
      <c r="AE99" s="162"/>
      <c r="AF99" s="161"/>
      <c r="AG99" s="64">
        <f t="shared" ref="AG99:AG130" si="16">SUM(B99:AF99)</f>
        <v>0</v>
      </c>
    </row>
    <row r="100" spans="1:33" ht="18.75" x14ac:dyDescent="0.25">
      <c r="A100" s="66" t="s">
        <v>105</v>
      </c>
      <c r="B100" s="262">
        <f t="shared" ref="B100:AF100" si="17">SUM(B101:B115)</f>
        <v>0</v>
      </c>
      <c r="C100" s="68">
        <f t="shared" si="17"/>
        <v>0</v>
      </c>
      <c r="D100" s="68">
        <f t="shared" si="17"/>
        <v>0</v>
      </c>
      <c r="E100" s="68">
        <f t="shared" si="17"/>
        <v>0</v>
      </c>
      <c r="F100" s="68">
        <f t="shared" si="17"/>
        <v>0</v>
      </c>
      <c r="G100" s="68">
        <f t="shared" si="17"/>
        <v>0</v>
      </c>
      <c r="H100" s="68">
        <f t="shared" si="17"/>
        <v>0</v>
      </c>
      <c r="I100" s="68">
        <f t="shared" si="17"/>
        <v>0</v>
      </c>
      <c r="J100" s="68">
        <f t="shared" si="17"/>
        <v>0</v>
      </c>
      <c r="K100" s="68">
        <f t="shared" si="17"/>
        <v>0</v>
      </c>
      <c r="L100" s="68">
        <f t="shared" si="17"/>
        <v>0</v>
      </c>
      <c r="M100" s="68">
        <f t="shared" si="17"/>
        <v>0</v>
      </c>
      <c r="N100" s="68">
        <f t="shared" si="17"/>
        <v>0</v>
      </c>
      <c r="O100" s="68">
        <f t="shared" si="17"/>
        <v>0</v>
      </c>
      <c r="P100" s="68">
        <f t="shared" si="17"/>
        <v>0</v>
      </c>
      <c r="Q100" s="68">
        <f t="shared" si="17"/>
        <v>0</v>
      </c>
      <c r="R100" s="68">
        <f t="shared" si="17"/>
        <v>0</v>
      </c>
      <c r="S100" s="68">
        <f t="shared" si="17"/>
        <v>0</v>
      </c>
      <c r="T100" s="68">
        <f t="shared" si="17"/>
        <v>0</v>
      </c>
      <c r="U100" s="68">
        <f t="shared" si="17"/>
        <v>0</v>
      </c>
      <c r="V100" s="68">
        <f t="shared" si="17"/>
        <v>0</v>
      </c>
      <c r="W100" s="68">
        <f t="shared" si="17"/>
        <v>0</v>
      </c>
      <c r="X100" s="68">
        <f t="shared" si="17"/>
        <v>0</v>
      </c>
      <c r="Y100" s="68">
        <f t="shared" si="17"/>
        <v>0</v>
      </c>
      <c r="Z100" s="68">
        <f t="shared" si="17"/>
        <v>0</v>
      </c>
      <c r="AA100" s="68">
        <f t="shared" si="17"/>
        <v>0</v>
      </c>
      <c r="AB100" s="68">
        <f t="shared" si="17"/>
        <v>0</v>
      </c>
      <c r="AC100" s="68">
        <f t="shared" si="17"/>
        <v>0</v>
      </c>
      <c r="AD100" s="68">
        <f t="shared" si="17"/>
        <v>0</v>
      </c>
      <c r="AE100" s="68">
        <f t="shared" si="17"/>
        <v>0</v>
      </c>
      <c r="AF100" s="67">
        <f t="shared" si="17"/>
        <v>0</v>
      </c>
      <c r="AG100" s="64">
        <f t="shared" si="16"/>
        <v>0</v>
      </c>
    </row>
    <row r="101" spans="1:33" ht="18.75" x14ac:dyDescent="0.25">
      <c r="A101" s="320" t="s">
        <v>104</v>
      </c>
      <c r="B101" s="249"/>
      <c r="C101" s="162"/>
      <c r="D101" s="162"/>
      <c r="E101" s="162"/>
      <c r="F101" s="162"/>
      <c r="G101" s="162"/>
      <c r="H101" s="162"/>
      <c r="I101" s="162"/>
      <c r="J101" s="162"/>
      <c r="K101" s="162"/>
      <c r="L101" s="162"/>
      <c r="M101" s="162"/>
      <c r="N101" s="162"/>
      <c r="O101" s="162"/>
      <c r="P101" s="162"/>
      <c r="Q101" s="162"/>
      <c r="R101" s="162"/>
      <c r="S101" s="162"/>
      <c r="T101" s="162"/>
      <c r="U101" s="162"/>
      <c r="V101" s="162"/>
      <c r="W101" s="162"/>
      <c r="X101" s="162"/>
      <c r="Y101" s="162"/>
      <c r="Z101" s="162"/>
      <c r="AA101" s="162"/>
      <c r="AB101" s="162"/>
      <c r="AC101" s="162"/>
      <c r="AD101" s="162"/>
      <c r="AE101" s="162"/>
      <c r="AF101" s="161"/>
      <c r="AG101" s="64">
        <f t="shared" si="16"/>
        <v>0</v>
      </c>
    </row>
    <row r="102" spans="1:33" ht="18.75" x14ac:dyDescent="0.25">
      <c r="A102" s="320" t="s">
        <v>103</v>
      </c>
      <c r="B102" s="249"/>
      <c r="C102" s="162"/>
      <c r="D102" s="162"/>
      <c r="E102" s="162"/>
      <c r="F102" s="162"/>
      <c r="G102" s="162"/>
      <c r="H102" s="162"/>
      <c r="I102" s="162"/>
      <c r="J102" s="162"/>
      <c r="K102" s="162"/>
      <c r="L102" s="162"/>
      <c r="M102" s="162"/>
      <c r="N102" s="162"/>
      <c r="O102" s="162"/>
      <c r="P102" s="162"/>
      <c r="Q102" s="162"/>
      <c r="R102" s="162"/>
      <c r="S102" s="162"/>
      <c r="T102" s="162"/>
      <c r="U102" s="162"/>
      <c r="V102" s="162"/>
      <c r="W102" s="162"/>
      <c r="X102" s="162"/>
      <c r="Y102" s="162"/>
      <c r="Z102" s="162"/>
      <c r="AA102" s="162"/>
      <c r="AB102" s="162"/>
      <c r="AC102" s="162"/>
      <c r="AD102" s="162"/>
      <c r="AE102" s="162"/>
      <c r="AF102" s="161"/>
      <c r="AG102" s="64">
        <f t="shared" si="16"/>
        <v>0</v>
      </c>
    </row>
    <row r="103" spans="1:33" ht="18.75" x14ac:dyDescent="0.25">
      <c r="A103" s="321" t="s">
        <v>102</v>
      </c>
      <c r="B103" s="249"/>
      <c r="C103" s="162"/>
      <c r="D103" s="162"/>
      <c r="E103" s="162"/>
      <c r="F103" s="162"/>
      <c r="G103" s="162"/>
      <c r="H103" s="162"/>
      <c r="I103" s="162"/>
      <c r="J103" s="162"/>
      <c r="K103" s="162"/>
      <c r="L103" s="162"/>
      <c r="M103" s="162"/>
      <c r="N103" s="162"/>
      <c r="O103" s="162"/>
      <c r="P103" s="162"/>
      <c r="Q103" s="162"/>
      <c r="R103" s="162"/>
      <c r="S103" s="162"/>
      <c r="T103" s="162"/>
      <c r="U103" s="162"/>
      <c r="V103" s="162"/>
      <c r="W103" s="162"/>
      <c r="X103" s="162"/>
      <c r="Y103" s="162"/>
      <c r="Z103" s="162"/>
      <c r="AA103" s="162"/>
      <c r="AB103" s="162"/>
      <c r="AC103" s="162"/>
      <c r="AD103" s="162"/>
      <c r="AE103" s="162"/>
      <c r="AF103" s="161"/>
      <c r="AG103" s="64">
        <f t="shared" si="16"/>
        <v>0</v>
      </c>
    </row>
    <row r="104" spans="1:33" ht="18.75" x14ac:dyDescent="0.25">
      <c r="A104" s="321" t="s">
        <v>101</v>
      </c>
      <c r="B104" s="249"/>
      <c r="C104" s="162"/>
      <c r="D104" s="162"/>
      <c r="E104" s="162"/>
      <c r="F104" s="162"/>
      <c r="G104" s="162"/>
      <c r="H104" s="162"/>
      <c r="I104" s="162"/>
      <c r="J104" s="162"/>
      <c r="K104" s="162"/>
      <c r="L104" s="162"/>
      <c r="M104" s="162"/>
      <c r="N104" s="162"/>
      <c r="O104" s="162"/>
      <c r="P104" s="162"/>
      <c r="Q104" s="162"/>
      <c r="R104" s="162"/>
      <c r="S104" s="162"/>
      <c r="T104" s="162"/>
      <c r="U104" s="162"/>
      <c r="V104" s="162"/>
      <c r="W104" s="162"/>
      <c r="X104" s="162"/>
      <c r="Y104" s="162"/>
      <c r="Z104" s="162"/>
      <c r="AA104" s="162"/>
      <c r="AB104" s="162"/>
      <c r="AC104" s="162"/>
      <c r="AD104" s="162"/>
      <c r="AE104" s="162"/>
      <c r="AF104" s="161"/>
      <c r="AG104" s="64">
        <f t="shared" si="16"/>
        <v>0</v>
      </c>
    </row>
    <row r="105" spans="1:33" ht="18.75" x14ac:dyDescent="0.25">
      <c r="A105" s="321" t="s">
        <v>100</v>
      </c>
      <c r="B105" s="249"/>
      <c r="C105" s="162"/>
      <c r="D105" s="162"/>
      <c r="E105" s="162"/>
      <c r="F105" s="162"/>
      <c r="G105" s="162"/>
      <c r="H105" s="162"/>
      <c r="I105" s="162"/>
      <c r="J105" s="162"/>
      <c r="K105" s="162"/>
      <c r="L105" s="162"/>
      <c r="M105" s="162"/>
      <c r="N105" s="162"/>
      <c r="O105" s="162"/>
      <c r="P105" s="162"/>
      <c r="Q105" s="162"/>
      <c r="R105" s="162"/>
      <c r="S105" s="162"/>
      <c r="T105" s="162"/>
      <c r="U105" s="162"/>
      <c r="V105" s="162"/>
      <c r="W105" s="162"/>
      <c r="X105" s="162"/>
      <c r="Y105" s="162"/>
      <c r="Z105" s="162"/>
      <c r="AA105" s="162"/>
      <c r="AB105" s="162"/>
      <c r="AC105" s="162"/>
      <c r="AD105" s="162"/>
      <c r="AE105" s="162"/>
      <c r="AF105" s="161"/>
      <c r="AG105" s="64">
        <f t="shared" si="16"/>
        <v>0</v>
      </c>
    </row>
    <row r="106" spans="1:33" ht="18.75" x14ac:dyDescent="0.25">
      <c r="A106" s="321" t="s">
        <v>99</v>
      </c>
      <c r="B106" s="249"/>
      <c r="C106" s="162"/>
      <c r="D106" s="162"/>
      <c r="E106" s="162"/>
      <c r="F106" s="162"/>
      <c r="G106" s="162"/>
      <c r="H106" s="162"/>
      <c r="I106" s="162"/>
      <c r="J106" s="162"/>
      <c r="K106" s="162"/>
      <c r="L106" s="162"/>
      <c r="M106" s="162"/>
      <c r="N106" s="162"/>
      <c r="O106" s="162"/>
      <c r="P106" s="162"/>
      <c r="Q106" s="162"/>
      <c r="R106" s="162"/>
      <c r="S106" s="162"/>
      <c r="T106" s="162"/>
      <c r="U106" s="162"/>
      <c r="V106" s="162"/>
      <c r="W106" s="162"/>
      <c r="X106" s="162"/>
      <c r="Y106" s="162"/>
      <c r="Z106" s="162"/>
      <c r="AA106" s="162"/>
      <c r="AB106" s="162"/>
      <c r="AC106" s="162"/>
      <c r="AD106" s="162"/>
      <c r="AE106" s="162"/>
      <c r="AF106" s="161"/>
      <c r="AG106" s="64">
        <f t="shared" si="16"/>
        <v>0</v>
      </c>
    </row>
    <row r="107" spans="1:33" ht="18.75" x14ac:dyDescent="0.25">
      <c r="A107" s="321" t="s">
        <v>98</v>
      </c>
      <c r="B107" s="249"/>
      <c r="C107" s="162"/>
      <c r="D107" s="162"/>
      <c r="E107" s="162"/>
      <c r="F107" s="162"/>
      <c r="G107" s="162"/>
      <c r="H107" s="162"/>
      <c r="I107" s="162"/>
      <c r="J107" s="162"/>
      <c r="K107" s="162"/>
      <c r="L107" s="162"/>
      <c r="M107" s="162"/>
      <c r="N107" s="162"/>
      <c r="O107" s="162"/>
      <c r="P107" s="162"/>
      <c r="Q107" s="162"/>
      <c r="R107" s="162"/>
      <c r="S107" s="162"/>
      <c r="T107" s="162"/>
      <c r="U107" s="162"/>
      <c r="V107" s="162"/>
      <c r="W107" s="162"/>
      <c r="X107" s="162"/>
      <c r="Y107" s="162"/>
      <c r="Z107" s="162"/>
      <c r="AA107" s="162"/>
      <c r="AB107" s="162"/>
      <c r="AC107" s="162"/>
      <c r="AD107" s="162"/>
      <c r="AE107" s="162"/>
      <c r="AF107" s="161"/>
      <c r="AG107" s="64">
        <f t="shared" si="16"/>
        <v>0</v>
      </c>
    </row>
    <row r="108" spans="1:33" ht="18.75" x14ac:dyDescent="0.25">
      <c r="A108" s="321" t="s">
        <v>97</v>
      </c>
      <c r="B108" s="249"/>
      <c r="C108" s="162"/>
      <c r="D108" s="162"/>
      <c r="E108" s="162"/>
      <c r="F108" s="162"/>
      <c r="G108" s="162"/>
      <c r="H108" s="162"/>
      <c r="I108" s="162"/>
      <c r="J108" s="162"/>
      <c r="K108" s="162"/>
      <c r="L108" s="162"/>
      <c r="M108" s="162"/>
      <c r="N108" s="162"/>
      <c r="O108" s="162"/>
      <c r="P108" s="162"/>
      <c r="Q108" s="162"/>
      <c r="R108" s="162"/>
      <c r="S108" s="162"/>
      <c r="T108" s="162"/>
      <c r="U108" s="162"/>
      <c r="V108" s="162"/>
      <c r="W108" s="162"/>
      <c r="X108" s="162"/>
      <c r="Y108" s="162"/>
      <c r="Z108" s="162"/>
      <c r="AA108" s="162"/>
      <c r="AB108" s="162"/>
      <c r="AC108" s="162"/>
      <c r="AD108" s="162"/>
      <c r="AE108" s="162"/>
      <c r="AF108" s="161"/>
      <c r="AG108" s="64">
        <f t="shared" si="16"/>
        <v>0</v>
      </c>
    </row>
    <row r="109" spans="1:33" ht="18.75" x14ac:dyDescent="0.25">
      <c r="A109" s="321" t="s">
        <v>96</v>
      </c>
      <c r="B109" s="249"/>
      <c r="C109" s="162"/>
      <c r="D109" s="162"/>
      <c r="E109" s="162"/>
      <c r="F109" s="162"/>
      <c r="G109" s="162"/>
      <c r="H109" s="162"/>
      <c r="I109" s="162"/>
      <c r="J109" s="162"/>
      <c r="K109" s="162"/>
      <c r="L109" s="162"/>
      <c r="M109" s="162"/>
      <c r="N109" s="162"/>
      <c r="O109" s="162"/>
      <c r="P109" s="162"/>
      <c r="Q109" s="162"/>
      <c r="R109" s="162"/>
      <c r="S109" s="162"/>
      <c r="T109" s="162"/>
      <c r="U109" s="162"/>
      <c r="V109" s="162"/>
      <c r="W109" s="162"/>
      <c r="X109" s="162"/>
      <c r="Y109" s="162"/>
      <c r="Z109" s="162"/>
      <c r="AA109" s="162"/>
      <c r="AB109" s="162"/>
      <c r="AC109" s="162"/>
      <c r="AD109" s="162"/>
      <c r="AE109" s="162"/>
      <c r="AF109" s="161"/>
      <c r="AG109" s="64">
        <f t="shared" si="16"/>
        <v>0</v>
      </c>
    </row>
    <row r="110" spans="1:33" ht="18.75" x14ac:dyDescent="0.25">
      <c r="A110" s="321" t="s">
        <v>95</v>
      </c>
      <c r="B110" s="249"/>
      <c r="C110" s="162"/>
      <c r="D110" s="162"/>
      <c r="E110" s="162"/>
      <c r="F110" s="162"/>
      <c r="G110" s="162"/>
      <c r="H110" s="162"/>
      <c r="I110" s="162"/>
      <c r="J110" s="162"/>
      <c r="K110" s="162"/>
      <c r="L110" s="162"/>
      <c r="M110" s="162"/>
      <c r="N110" s="162"/>
      <c r="O110" s="162"/>
      <c r="P110" s="162"/>
      <c r="Q110" s="162"/>
      <c r="R110" s="162"/>
      <c r="S110" s="162"/>
      <c r="T110" s="162"/>
      <c r="U110" s="162"/>
      <c r="V110" s="162"/>
      <c r="W110" s="162"/>
      <c r="X110" s="162"/>
      <c r="Y110" s="162"/>
      <c r="Z110" s="162"/>
      <c r="AA110" s="162"/>
      <c r="AB110" s="162"/>
      <c r="AC110" s="162"/>
      <c r="AD110" s="162"/>
      <c r="AE110" s="162"/>
      <c r="AF110" s="161"/>
      <c r="AG110" s="64">
        <f t="shared" si="16"/>
        <v>0</v>
      </c>
    </row>
    <row r="111" spans="1:33" ht="18.75" x14ac:dyDescent="0.25">
      <c r="A111" s="321" t="s">
        <v>94</v>
      </c>
      <c r="B111" s="249"/>
      <c r="C111" s="162"/>
      <c r="D111" s="162"/>
      <c r="E111" s="162"/>
      <c r="F111" s="162"/>
      <c r="G111" s="162"/>
      <c r="H111" s="162"/>
      <c r="I111" s="162"/>
      <c r="J111" s="162"/>
      <c r="K111" s="162"/>
      <c r="L111" s="162"/>
      <c r="M111" s="162"/>
      <c r="N111" s="162"/>
      <c r="O111" s="162"/>
      <c r="P111" s="162"/>
      <c r="Q111" s="162"/>
      <c r="R111" s="162"/>
      <c r="S111" s="162"/>
      <c r="T111" s="162"/>
      <c r="U111" s="162"/>
      <c r="V111" s="162"/>
      <c r="W111" s="162"/>
      <c r="X111" s="162"/>
      <c r="Y111" s="162"/>
      <c r="Z111" s="162"/>
      <c r="AA111" s="162"/>
      <c r="AB111" s="162"/>
      <c r="AC111" s="162"/>
      <c r="AD111" s="162"/>
      <c r="AE111" s="162"/>
      <c r="AF111" s="161"/>
      <c r="AG111" s="64">
        <f t="shared" si="16"/>
        <v>0</v>
      </c>
    </row>
    <row r="112" spans="1:33" ht="18.75" x14ac:dyDescent="0.25">
      <c r="A112" s="321" t="s">
        <v>93</v>
      </c>
      <c r="B112" s="249"/>
      <c r="C112" s="162"/>
      <c r="D112" s="162"/>
      <c r="E112" s="162"/>
      <c r="F112" s="162"/>
      <c r="G112" s="162"/>
      <c r="H112" s="162"/>
      <c r="I112" s="162"/>
      <c r="J112" s="162"/>
      <c r="K112" s="162"/>
      <c r="L112" s="162"/>
      <c r="M112" s="162"/>
      <c r="N112" s="162"/>
      <c r="O112" s="162"/>
      <c r="P112" s="162"/>
      <c r="Q112" s="162"/>
      <c r="R112" s="162"/>
      <c r="S112" s="162"/>
      <c r="T112" s="162"/>
      <c r="U112" s="162"/>
      <c r="V112" s="162"/>
      <c r="W112" s="162"/>
      <c r="X112" s="162"/>
      <c r="Y112" s="162"/>
      <c r="Z112" s="162"/>
      <c r="AA112" s="162"/>
      <c r="AB112" s="162"/>
      <c r="AC112" s="162"/>
      <c r="AD112" s="162"/>
      <c r="AE112" s="162"/>
      <c r="AF112" s="161"/>
      <c r="AG112" s="64">
        <f t="shared" si="16"/>
        <v>0</v>
      </c>
    </row>
    <row r="113" spans="1:33" ht="18.75" x14ac:dyDescent="0.25">
      <c r="A113" s="321" t="s">
        <v>92</v>
      </c>
      <c r="B113" s="249"/>
      <c r="C113" s="162"/>
      <c r="D113" s="162"/>
      <c r="E113" s="162"/>
      <c r="F113" s="162"/>
      <c r="G113" s="162"/>
      <c r="H113" s="162"/>
      <c r="I113" s="162"/>
      <c r="J113" s="162"/>
      <c r="K113" s="162"/>
      <c r="L113" s="162"/>
      <c r="M113" s="162"/>
      <c r="N113" s="162"/>
      <c r="O113" s="162"/>
      <c r="P113" s="162"/>
      <c r="Q113" s="162"/>
      <c r="R113" s="162"/>
      <c r="S113" s="162"/>
      <c r="T113" s="162"/>
      <c r="U113" s="162"/>
      <c r="V113" s="162"/>
      <c r="W113" s="162"/>
      <c r="X113" s="162"/>
      <c r="Y113" s="162"/>
      <c r="Z113" s="162"/>
      <c r="AA113" s="162"/>
      <c r="AB113" s="162"/>
      <c r="AC113" s="162"/>
      <c r="AD113" s="162"/>
      <c r="AE113" s="162"/>
      <c r="AF113" s="161"/>
      <c r="AG113" s="64">
        <f t="shared" si="16"/>
        <v>0</v>
      </c>
    </row>
    <row r="114" spans="1:33" ht="18.75" x14ac:dyDescent="0.25">
      <c r="A114" s="321" t="s">
        <v>91</v>
      </c>
      <c r="B114" s="249"/>
      <c r="C114" s="162"/>
      <c r="D114" s="162"/>
      <c r="E114" s="162"/>
      <c r="F114" s="162"/>
      <c r="G114" s="162"/>
      <c r="H114" s="162"/>
      <c r="I114" s="162"/>
      <c r="J114" s="162"/>
      <c r="K114" s="162"/>
      <c r="L114" s="162"/>
      <c r="M114" s="162"/>
      <c r="N114" s="162"/>
      <c r="O114" s="162"/>
      <c r="P114" s="162"/>
      <c r="Q114" s="162"/>
      <c r="R114" s="162"/>
      <c r="S114" s="162"/>
      <c r="T114" s="162"/>
      <c r="U114" s="162"/>
      <c r="V114" s="162"/>
      <c r="W114" s="162"/>
      <c r="X114" s="162"/>
      <c r="Y114" s="162"/>
      <c r="Z114" s="162"/>
      <c r="AA114" s="162"/>
      <c r="AB114" s="162"/>
      <c r="AC114" s="162"/>
      <c r="AD114" s="162"/>
      <c r="AE114" s="162"/>
      <c r="AF114" s="161"/>
      <c r="AG114" s="64">
        <f t="shared" si="16"/>
        <v>0</v>
      </c>
    </row>
    <row r="115" spans="1:33" ht="19.5" thickBot="1" x14ac:dyDescent="0.3">
      <c r="A115" s="322"/>
      <c r="B115" s="255"/>
      <c r="C115" s="169"/>
      <c r="D115" s="169"/>
      <c r="E115" s="169"/>
      <c r="F115" s="169"/>
      <c r="G115" s="169"/>
      <c r="H115" s="169"/>
      <c r="I115" s="169"/>
      <c r="J115" s="169"/>
      <c r="K115" s="169"/>
      <c r="L115" s="169"/>
      <c r="M115" s="169"/>
      <c r="N115" s="169"/>
      <c r="O115" s="169"/>
      <c r="P115" s="169"/>
      <c r="Q115" s="169"/>
      <c r="R115" s="169"/>
      <c r="S115" s="169"/>
      <c r="T115" s="169"/>
      <c r="U115" s="169"/>
      <c r="V115" s="169"/>
      <c r="W115" s="169"/>
      <c r="X115" s="169"/>
      <c r="Y115" s="169"/>
      <c r="Z115" s="169"/>
      <c r="AA115" s="169"/>
      <c r="AB115" s="169"/>
      <c r="AC115" s="169"/>
      <c r="AD115" s="169"/>
      <c r="AE115" s="169"/>
      <c r="AF115" s="168"/>
      <c r="AG115" s="64">
        <f t="shared" si="16"/>
        <v>0</v>
      </c>
    </row>
    <row r="116" spans="1:33" ht="18.75" x14ac:dyDescent="0.25">
      <c r="A116" s="315" t="s">
        <v>90</v>
      </c>
      <c r="B116" s="261">
        <f t="shared" ref="B116:AF116" si="18">SUM(B117:B129)</f>
        <v>0</v>
      </c>
      <c r="C116" s="166">
        <f t="shared" si="18"/>
        <v>0</v>
      </c>
      <c r="D116" s="166">
        <f t="shared" si="18"/>
        <v>0</v>
      </c>
      <c r="E116" s="166">
        <f t="shared" si="18"/>
        <v>0</v>
      </c>
      <c r="F116" s="166">
        <f t="shared" si="18"/>
        <v>0</v>
      </c>
      <c r="G116" s="166">
        <f t="shared" si="18"/>
        <v>0</v>
      </c>
      <c r="H116" s="166">
        <f t="shared" si="18"/>
        <v>0</v>
      </c>
      <c r="I116" s="166">
        <f t="shared" si="18"/>
        <v>0</v>
      </c>
      <c r="J116" s="166">
        <f t="shared" si="18"/>
        <v>0</v>
      </c>
      <c r="K116" s="166">
        <f t="shared" si="18"/>
        <v>0</v>
      </c>
      <c r="L116" s="166">
        <f t="shared" si="18"/>
        <v>0</v>
      </c>
      <c r="M116" s="166">
        <f t="shared" si="18"/>
        <v>0</v>
      </c>
      <c r="N116" s="166">
        <f t="shared" si="18"/>
        <v>0</v>
      </c>
      <c r="O116" s="166">
        <f t="shared" si="18"/>
        <v>0</v>
      </c>
      <c r="P116" s="166">
        <f t="shared" si="18"/>
        <v>0</v>
      </c>
      <c r="Q116" s="166">
        <f t="shared" si="18"/>
        <v>0</v>
      </c>
      <c r="R116" s="166">
        <f t="shared" si="18"/>
        <v>0</v>
      </c>
      <c r="S116" s="166">
        <f t="shared" si="18"/>
        <v>0</v>
      </c>
      <c r="T116" s="166">
        <f t="shared" si="18"/>
        <v>0</v>
      </c>
      <c r="U116" s="166">
        <f t="shared" si="18"/>
        <v>0</v>
      </c>
      <c r="V116" s="166">
        <f t="shared" si="18"/>
        <v>0</v>
      </c>
      <c r="W116" s="166">
        <f t="shared" si="18"/>
        <v>0</v>
      </c>
      <c r="X116" s="166">
        <f t="shared" si="18"/>
        <v>0</v>
      </c>
      <c r="Y116" s="166">
        <f t="shared" si="18"/>
        <v>0</v>
      </c>
      <c r="Z116" s="166">
        <f t="shared" si="18"/>
        <v>0</v>
      </c>
      <c r="AA116" s="166">
        <f t="shared" si="18"/>
        <v>0</v>
      </c>
      <c r="AB116" s="166">
        <f t="shared" si="18"/>
        <v>0</v>
      </c>
      <c r="AC116" s="166">
        <f t="shared" si="18"/>
        <v>0</v>
      </c>
      <c r="AD116" s="166">
        <f t="shared" si="18"/>
        <v>0</v>
      </c>
      <c r="AE116" s="166">
        <f t="shared" si="18"/>
        <v>0</v>
      </c>
      <c r="AF116" s="165">
        <f t="shared" si="18"/>
        <v>0</v>
      </c>
      <c r="AG116" s="64">
        <f t="shared" si="16"/>
        <v>0</v>
      </c>
    </row>
    <row r="117" spans="1:33" ht="18.75" x14ac:dyDescent="0.25">
      <c r="A117" s="323" t="s">
        <v>67</v>
      </c>
      <c r="B117" s="249"/>
      <c r="C117" s="162"/>
      <c r="D117" s="162"/>
      <c r="E117" s="162"/>
      <c r="F117" s="162"/>
      <c r="G117" s="162"/>
      <c r="H117" s="162"/>
      <c r="I117" s="162"/>
      <c r="J117" s="162"/>
      <c r="K117" s="162"/>
      <c r="L117" s="162"/>
      <c r="M117" s="162"/>
      <c r="N117" s="162"/>
      <c r="O117" s="162"/>
      <c r="P117" s="162"/>
      <c r="Q117" s="162"/>
      <c r="R117" s="162"/>
      <c r="S117" s="162"/>
      <c r="T117" s="162"/>
      <c r="U117" s="162"/>
      <c r="V117" s="162"/>
      <c r="W117" s="162"/>
      <c r="X117" s="162"/>
      <c r="Y117" s="162"/>
      <c r="Z117" s="162"/>
      <c r="AA117" s="162"/>
      <c r="AB117" s="162"/>
      <c r="AC117" s="162"/>
      <c r="AD117" s="162"/>
      <c r="AE117" s="162"/>
      <c r="AF117" s="161"/>
      <c r="AG117" s="64">
        <f t="shared" si="16"/>
        <v>0</v>
      </c>
    </row>
    <row r="118" spans="1:33" ht="19.5" hidden="1" customHeight="1" thickBot="1" x14ac:dyDescent="0.3">
      <c r="A118" s="323" t="s">
        <v>69</v>
      </c>
      <c r="B118" s="249"/>
      <c r="C118" s="162"/>
      <c r="D118" s="162"/>
      <c r="E118" s="162"/>
      <c r="F118" s="162"/>
      <c r="G118" s="162"/>
      <c r="H118" s="162"/>
      <c r="I118" s="162"/>
      <c r="J118" s="162"/>
      <c r="K118" s="162"/>
      <c r="L118" s="162"/>
      <c r="M118" s="162"/>
      <c r="N118" s="162"/>
      <c r="O118" s="162"/>
      <c r="P118" s="162"/>
      <c r="Q118" s="162"/>
      <c r="R118" s="162"/>
      <c r="S118" s="162"/>
      <c r="T118" s="162"/>
      <c r="U118" s="162"/>
      <c r="V118" s="162"/>
      <c r="W118" s="162"/>
      <c r="X118" s="162"/>
      <c r="Y118" s="162"/>
      <c r="Z118" s="162"/>
      <c r="AA118" s="162"/>
      <c r="AB118" s="162"/>
      <c r="AC118" s="162"/>
      <c r="AD118" s="162"/>
      <c r="AE118" s="162"/>
      <c r="AF118" s="161"/>
      <c r="AG118" s="64">
        <f t="shared" si="16"/>
        <v>0</v>
      </c>
    </row>
    <row r="119" spans="1:33" ht="19.5" hidden="1" customHeight="1" thickBot="1" x14ac:dyDescent="0.3">
      <c r="A119" s="323" t="s">
        <v>68</v>
      </c>
      <c r="B119" s="249"/>
      <c r="C119" s="162"/>
      <c r="D119" s="162"/>
      <c r="E119" s="162"/>
      <c r="F119" s="162"/>
      <c r="G119" s="162"/>
      <c r="H119" s="162"/>
      <c r="I119" s="162"/>
      <c r="J119" s="162"/>
      <c r="K119" s="162"/>
      <c r="L119" s="162"/>
      <c r="M119" s="162"/>
      <c r="N119" s="162"/>
      <c r="O119" s="162"/>
      <c r="P119" s="162"/>
      <c r="Q119" s="162"/>
      <c r="R119" s="162"/>
      <c r="S119" s="162"/>
      <c r="T119" s="162"/>
      <c r="U119" s="162"/>
      <c r="V119" s="162"/>
      <c r="W119" s="162"/>
      <c r="X119" s="162"/>
      <c r="Y119" s="162"/>
      <c r="Z119" s="162"/>
      <c r="AA119" s="162"/>
      <c r="AB119" s="162"/>
      <c r="AC119" s="162"/>
      <c r="AD119" s="162"/>
      <c r="AE119" s="162"/>
      <c r="AF119" s="161"/>
      <c r="AG119" s="64">
        <f t="shared" si="16"/>
        <v>0</v>
      </c>
    </row>
    <row r="120" spans="1:33" ht="19.5" hidden="1" customHeight="1" thickBot="1" x14ac:dyDescent="0.3">
      <c r="A120" s="323" t="s">
        <v>66</v>
      </c>
      <c r="B120" s="249"/>
      <c r="C120" s="162"/>
      <c r="D120" s="162"/>
      <c r="E120" s="162"/>
      <c r="F120" s="162"/>
      <c r="G120" s="162"/>
      <c r="H120" s="162"/>
      <c r="I120" s="162"/>
      <c r="J120" s="162"/>
      <c r="K120" s="162"/>
      <c r="L120" s="162"/>
      <c r="M120" s="162"/>
      <c r="N120" s="162"/>
      <c r="O120" s="162"/>
      <c r="P120" s="162"/>
      <c r="Q120" s="162"/>
      <c r="R120" s="162"/>
      <c r="S120" s="162"/>
      <c r="T120" s="162"/>
      <c r="U120" s="162"/>
      <c r="V120" s="162"/>
      <c r="W120" s="162"/>
      <c r="X120" s="162"/>
      <c r="Y120" s="162"/>
      <c r="Z120" s="162"/>
      <c r="AA120" s="162"/>
      <c r="AB120" s="162"/>
      <c r="AC120" s="162"/>
      <c r="AD120" s="162"/>
      <c r="AE120" s="162"/>
      <c r="AF120" s="161"/>
      <c r="AG120" s="64">
        <f t="shared" si="16"/>
        <v>0</v>
      </c>
    </row>
    <row r="121" spans="1:33" ht="19.5" hidden="1" customHeight="1" thickBot="1" x14ac:dyDescent="0.3">
      <c r="A121" s="323" t="s">
        <v>65</v>
      </c>
      <c r="B121" s="249"/>
      <c r="C121" s="162"/>
      <c r="D121" s="162"/>
      <c r="E121" s="162"/>
      <c r="F121" s="162"/>
      <c r="G121" s="162"/>
      <c r="H121" s="162"/>
      <c r="I121" s="162"/>
      <c r="J121" s="162"/>
      <c r="K121" s="162"/>
      <c r="L121" s="162"/>
      <c r="M121" s="162"/>
      <c r="N121" s="162"/>
      <c r="O121" s="162"/>
      <c r="P121" s="162"/>
      <c r="Q121" s="162"/>
      <c r="R121" s="162"/>
      <c r="S121" s="162"/>
      <c r="T121" s="162"/>
      <c r="U121" s="162"/>
      <c r="V121" s="162"/>
      <c r="W121" s="162"/>
      <c r="X121" s="162"/>
      <c r="Y121" s="162"/>
      <c r="Z121" s="162"/>
      <c r="AA121" s="162"/>
      <c r="AB121" s="162"/>
      <c r="AC121" s="162"/>
      <c r="AD121" s="162"/>
      <c r="AE121" s="162"/>
      <c r="AF121" s="161"/>
      <c r="AG121" s="64">
        <f t="shared" si="16"/>
        <v>0</v>
      </c>
    </row>
    <row r="122" spans="1:33" ht="19.5" hidden="1" customHeight="1" thickBot="1" x14ac:dyDescent="0.3">
      <c r="A122" s="323" t="s">
        <v>64</v>
      </c>
      <c r="B122" s="249"/>
      <c r="C122" s="162"/>
      <c r="D122" s="162"/>
      <c r="E122" s="162"/>
      <c r="F122" s="162"/>
      <c r="G122" s="162"/>
      <c r="H122" s="162"/>
      <c r="I122" s="162"/>
      <c r="J122" s="162"/>
      <c r="K122" s="162"/>
      <c r="L122" s="162"/>
      <c r="M122" s="162"/>
      <c r="N122" s="162"/>
      <c r="O122" s="162"/>
      <c r="P122" s="162"/>
      <c r="Q122" s="162"/>
      <c r="R122" s="162"/>
      <c r="S122" s="162"/>
      <c r="T122" s="162"/>
      <c r="U122" s="162"/>
      <c r="V122" s="162"/>
      <c r="W122" s="162"/>
      <c r="X122" s="162"/>
      <c r="Y122" s="162"/>
      <c r="Z122" s="162"/>
      <c r="AA122" s="162"/>
      <c r="AB122" s="162"/>
      <c r="AC122" s="162"/>
      <c r="AD122" s="162"/>
      <c r="AE122" s="162"/>
      <c r="AF122" s="161"/>
      <c r="AG122" s="64">
        <f t="shared" si="16"/>
        <v>0</v>
      </c>
    </row>
    <row r="123" spans="1:33" ht="19.5" hidden="1" customHeight="1" thickBot="1" x14ac:dyDescent="0.3">
      <c r="A123" s="323" t="s">
        <v>63</v>
      </c>
      <c r="B123" s="249"/>
      <c r="C123" s="162"/>
      <c r="D123" s="162"/>
      <c r="E123" s="162"/>
      <c r="F123" s="162"/>
      <c r="G123" s="162"/>
      <c r="H123" s="162"/>
      <c r="I123" s="162"/>
      <c r="J123" s="162"/>
      <c r="K123" s="162"/>
      <c r="L123" s="162"/>
      <c r="M123" s="162"/>
      <c r="N123" s="162"/>
      <c r="O123" s="162"/>
      <c r="P123" s="162"/>
      <c r="Q123" s="162"/>
      <c r="R123" s="162"/>
      <c r="S123" s="162"/>
      <c r="T123" s="162"/>
      <c r="U123" s="162"/>
      <c r="V123" s="162"/>
      <c r="W123" s="162"/>
      <c r="X123" s="162"/>
      <c r="Y123" s="162"/>
      <c r="Z123" s="162"/>
      <c r="AA123" s="162"/>
      <c r="AB123" s="162"/>
      <c r="AC123" s="162"/>
      <c r="AD123" s="162"/>
      <c r="AE123" s="162"/>
      <c r="AF123" s="161"/>
      <c r="AG123" s="64">
        <f t="shared" si="16"/>
        <v>0</v>
      </c>
    </row>
    <row r="124" spans="1:33" ht="19.5" hidden="1" customHeight="1" thickBot="1" x14ac:dyDescent="0.3">
      <c r="A124" s="323" t="s">
        <v>62</v>
      </c>
      <c r="B124" s="249"/>
      <c r="C124" s="162"/>
      <c r="D124" s="162"/>
      <c r="E124" s="162"/>
      <c r="F124" s="162"/>
      <c r="G124" s="162"/>
      <c r="H124" s="162"/>
      <c r="I124" s="162"/>
      <c r="J124" s="162"/>
      <c r="K124" s="162"/>
      <c r="L124" s="162"/>
      <c r="M124" s="162"/>
      <c r="N124" s="162"/>
      <c r="O124" s="162"/>
      <c r="P124" s="162"/>
      <c r="Q124" s="162"/>
      <c r="R124" s="162"/>
      <c r="S124" s="162"/>
      <c r="T124" s="162"/>
      <c r="U124" s="162"/>
      <c r="V124" s="162"/>
      <c r="W124" s="162"/>
      <c r="X124" s="162"/>
      <c r="Y124" s="162"/>
      <c r="Z124" s="162"/>
      <c r="AA124" s="162"/>
      <c r="AB124" s="162"/>
      <c r="AC124" s="162"/>
      <c r="AD124" s="162"/>
      <c r="AE124" s="162"/>
      <c r="AF124" s="161"/>
      <c r="AG124" s="64">
        <f t="shared" si="16"/>
        <v>0</v>
      </c>
    </row>
    <row r="125" spans="1:33" ht="19.5" hidden="1" customHeight="1" thickBot="1" x14ac:dyDescent="0.3">
      <c r="A125" s="301" t="s">
        <v>60</v>
      </c>
      <c r="B125" s="249"/>
      <c r="C125" s="162"/>
      <c r="D125" s="162"/>
      <c r="E125" s="162"/>
      <c r="F125" s="162"/>
      <c r="G125" s="162"/>
      <c r="H125" s="162"/>
      <c r="I125" s="162"/>
      <c r="J125" s="162"/>
      <c r="K125" s="162"/>
      <c r="L125" s="162"/>
      <c r="M125" s="162"/>
      <c r="N125" s="162"/>
      <c r="O125" s="162"/>
      <c r="P125" s="162"/>
      <c r="Q125" s="162"/>
      <c r="R125" s="162"/>
      <c r="S125" s="162"/>
      <c r="T125" s="162"/>
      <c r="U125" s="162"/>
      <c r="V125" s="162"/>
      <c r="W125" s="162"/>
      <c r="X125" s="162"/>
      <c r="Y125" s="162"/>
      <c r="Z125" s="162"/>
      <c r="AA125" s="162"/>
      <c r="AB125" s="162"/>
      <c r="AC125" s="162"/>
      <c r="AD125" s="162"/>
      <c r="AE125" s="162"/>
      <c r="AF125" s="161"/>
      <c r="AG125" s="64">
        <f t="shared" si="16"/>
        <v>0</v>
      </c>
    </row>
    <row r="126" spans="1:33" ht="19.5" hidden="1" customHeight="1" thickBot="1" x14ac:dyDescent="0.3">
      <c r="A126" s="301" t="s">
        <v>59</v>
      </c>
      <c r="B126" s="249"/>
      <c r="C126" s="162"/>
      <c r="D126" s="162"/>
      <c r="E126" s="162"/>
      <c r="F126" s="162"/>
      <c r="G126" s="162"/>
      <c r="H126" s="162"/>
      <c r="I126" s="162"/>
      <c r="J126" s="162"/>
      <c r="K126" s="162"/>
      <c r="L126" s="162"/>
      <c r="M126" s="162"/>
      <c r="N126" s="162"/>
      <c r="O126" s="162"/>
      <c r="P126" s="162"/>
      <c r="Q126" s="162"/>
      <c r="R126" s="162"/>
      <c r="S126" s="162"/>
      <c r="T126" s="162"/>
      <c r="U126" s="162"/>
      <c r="V126" s="162"/>
      <c r="W126" s="162"/>
      <c r="X126" s="162"/>
      <c r="Y126" s="162"/>
      <c r="Z126" s="162"/>
      <c r="AA126" s="162"/>
      <c r="AB126" s="162"/>
      <c r="AC126" s="162"/>
      <c r="AD126" s="162"/>
      <c r="AE126" s="162"/>
      <c r="AF126" s="161"/>
      <c r="AG126" s="64">
        <f t="shared" si="16"/>
        <v>0</v>
      </c>
    </row>
    <row r="127" spans="1:33" ht="19.5" hidden="1" customHeight="1" thickBot="1" x14ac:dyDescent="0.3">
      <c r="A127" s="301" t="s">
        <v>58</v>
      </c>
      <c r="B127" s="249"/>
      <c r="C127" s="162"/>
      <c r="D127" s="162"/>
      <c r="E127" s="162"/>
      <c r="F127" s="162"/>
      <c r="G127" s="162"/>
      <c r="H127" s="162"/>
      <c r="I127" s="162"/>
      <c r="J127" s="162"/>
      <c r="K127" s="162"/>
      <c r="L127" s="162"/>
      <c r="M127" s="162"/>
      <c r="N127" s="162"/>
      <c r="O127" s="162"/>
      <c r="P127" s="162"/>
      <c r="Q127" s="162"/>
      <c r="R127" s="162"/>
      <c r="S127" s="162"/>
      <c r="T127" s="162"/>
      <c r="U127" s="162"/>
      <c r="V127" s="162"/>
      <c r="W127" s="162"/>
      <c r="X127" s="162"/>
      <c r="Y127" s="162"/>
      <c r="Z127" s="162"/>
      <c r="AA127" s="162"/>
      <c r="AB127" s="162"/>
      <c r="AC127" s="162"/>
      <c r="AD127" s="162"/>
      <c r="AE127" s="162"/>
      <c r="AF127" s="161"/>
      <c r="AG127" s="64">
        <f t="shared" si="16"/>
        <v>0</v>
      </c>
    </row>
    <row r="128" spans="1:33" ht="19.5" hidden="1" customHeight="1" thickBot="1" x14ac:dyDescent="0.3">
      <c r="A128" s="323" t="s">
        <v>88</v>
      </c>
      <c r="B128" s="249"/>
      <c r="C128" s="162"/>
      <c r="D128" s="162"/>
      <c r="E128" s="162"/>
      <c r="F128" s="162"/>
      <c r="G128" s="162"/>
      <c r="H128" s="162"/>
      <c r="I128" s="162"/>
      <c r="J128" s="162"/>
      <c r="K128" s="162"/>
      <c r="L128" s="162"/>
      <c r="M128" s="162"/>
      <c r="N128" s="162"/>
      <c r="O128" s="162"/>
      <c r="P128" s="162"/>
      <c r="Q128" s="162"/>
      <c r="R128" s="162"/>
      <c r="S128" s="162"/>
      <c r="T128" s="162"/>
      <c r="U128" s="162"/>
      <c r="V128" s="162"/>
      <c r="W128" s="162"/>
      <c r="X128" s="162"/>
      <c r="Y128" s="162"/>
      <c r="Z128" s="162"/>
      <c r="AA128" s="162"/>
      <c r="AB128" s="162"/>
      <c r="AC128" s="162"/>
      <c r="AD128" s="162"/>
      <c r="AE128" s="162"/>
      <c r="AF128" s="161"/>
      <c r="AG128" s="64">
        <f t="shared" si="16"/>
        <v>0</v>
      </c>
    </row>
    <row r="129" spans="1:35" ht="19.5" thickBot="1" x14ac:dyDescent="0.3">
      <c r="A129" s="324" t="s">
        <v>87</v>
      </c>
      <c r="B129" s="263"/>
      <c r="C129" s="140"/>
      <c r="D129" s="140"/>
      <c r="E129" s="140"/>
      <c r="F129" s="140"/>
      <c r="G129" s="140"/>
      <c r="H129" s="140"/>
      <c r="I129" s="140"/>
      <c r="J129" s="140"/>
      <c r="K129" s="140"/>
      <c r="L129" s="140"/>
      <c r="M129" s="140"/>
      <c r="N129" s="140"/>
      <c r="O129" s="140"/>
      <c r="P129" s="140"/>
      <c r="Q129" s="140"/>
      <c r="R129" s="140"/>
      <c r="S129" s="140"/>
      <c r="T129" s="140"/>
      <c r="U129" s="140"/>
      <c r="V129" s="140"/>
      <c r="W129" s="140"/>
      <c r="X129" s="140"/>
      <c r="Y129" s="140"/>
      <c r="Z129" s="140"/>
      <c r="AA129" s="140"/>
      <c r="AB129" s="140"/>
      <c r="AC129" s="140"/>
      <c r="AD129" s="140"/>
      <c r="AE129" s="140"/>
      <c r="AF129" s="139"/>
      <c r="AG129" s="64">
        <f t="shared" si="16"/>
        <v>0</v>
      </c>
    </row>
    <row r="130" spans="1:35" ht="18.75" x14ac:dyDescent="0.25">
      <c r="A130" s="315" t="s">
        <v>89</v>
      </c>
      <c r="B130" s="261">
        <f t="shared" ref="B130:AF130" si="19">SUM(B131:B143)</f>
        <v>0</v>
      </c>
      <c r="C130" s="166">
        <f t="shared" si="19"/>
        <v>0</v>
      </c>
      <c r="D130" s="166">
        <f t="shared" si="19"/>
        <v>0</v>
      </c>
      <c r="E130" s="166">
        <f t="shared" si="19"/>
        <v>0</v>
      </c>
      <c r="F130" s="166">
        <f t="shared" si="19"/>
        <v>0</v>
      </c>
      <c r="G130" s="166">
        <f t="shared" si="19"/>
        <v>0</v>
      </c>
      <c r="H130" s="166">
        <f t="shared" si="19"/>
        <v>0</v>
      </c>
      <c r="I130" s="166">
        <f t="shared" si="19"/>
        <v>0</v>
      </c>
      <c r="J130" s="166">
        <f t="shared" si="19"/>
        <v>0</v>
      </c>
      <c r="K130" s="166">
        <f t="shared" si="19"/>
        <v>0</v>
      </c>
      <c r="L130" s="166">
        <f t="shared" si="19"/>
        <v>0</v>
      </c>
      <c r="M130" s="166">
        <f t="shared" si="19"/>
        <v>0</v>
      </c>
      <c r="N130" s="166">
        <f t="shared" si="19"/>
        <v>0</v>
      </c>
      <c r="O130" s="166">
        <f t="shared" si="19"/>
        <v>0</v>
      </c>
      <c r="P130" s="166">
        <f t="shared" si="19"/>
        <v>0</v>
      </c>
      <c r="Q130" s="166">
        <f t="shared" si="19"/>
        <v>0</v>
      </c>
      <c r="R130" s="166">
        <f t="shared" si="19"/>
        <v>0</v>
      </c>
      <c r="S130" s="166">
        <f t="shared" si="19"/>
        <v>0</v>
      </c>
      <c r="T130" s="166">
        <f t="shared" si="19"/>
        <v>0</v>
      </c>
      <c r="U130" s="166">
        <f t="shared" si="19"/>
        <v>0</v>
      </c>
      <c r="V130" s="166">
        <f t="shared" si="19"/>
        <v>0</v>
      </c>
      <c r="W130" s="166">
        <f t="shared" si="19"/>
        <v>0</v>
      </c>
      <c r="X130" s="166">
        <f t="shared" si="19"/>
        <v>0</v>
      </c>
      <c r="Y130" s="166">
        <f t="shared" si="19"/>
        <v>0</v>
      </c>
      <c r="Z130" s="166">
        <f t="shared" si="19"/>
        <v>0</v>
      </c>
      <c r="AA130" s="166">
        <f t="shared" si="19"/>
        <v>0</v>
      </c>
      <c r="AB130" s="166">
        <f t="shared" si="19"/>
        <v>0</v>
      </c>
      <c r="AC130" s="166">
        <f t="shared" si="19"/>
        <v>0</v>
      </c>
      <c r="AD130" s="166">
        <f t="shared" si="19"/>
        <v>0</v>
      </c>
      <c r="AE130" s="166">
        <f t="shared" si="19"/>
        <v>0</v>
      </c>
      <c r="AF130" s="165">
        <f t="shared" si="19"/>
        <v>0</v>
      </c>
      <c r="AG130" s="164">
        <f t="shared" si="16"/>
        <v>0</v>
      </c>
      <c r="AH130" s="152" t="str">
        <f>IF(AG130&lt;&gt;AG93,"*","")</f>
        <v/>
      </c>
    </row>
    <row r="131" spans="1:35" ht="18.75" x14ac:dyDescent="0.25">
      <c r="A131" s="323" t="s">
        <v>67</v>
      </c>
      <c r="B131" s="249"/>
      <c r="C131" s="162"/>
      <c r="D131" s="162"/>
      <c r="E131" s="162"/>
      <c r="F131" s="162"/>
      <c r="G131" s="162"/>
      <c r="H131" s="162"/>
      <c r="I131" s="162"/>
      <c r="J131" s="162"/>
      <c r="K131" s="162"/>
      <c r="L131" s="162"/>
      <c r="M131" s="162"/>
      <c r="N131" s="162"/>
      <c r="O131" s="162"/>
      <c r="P131" s="162"/>
      <c r="Q131" s="162"/>
      <c r="R131" s="162"/>
      <c r="S131" s="162"/>
      <c r="T131" s="162"/>
      <c r="U131" s="162"/>
      <c r="V131" s="162"/>
      <c r="W131" s="162"/>
      <c r="X131" s="162"/>
      <c r="Y131" s="162"/>
      <c r="Z131" s="162"/>
      <c r="AA131" s="162"/>
      <c r="AB131" s="162"/>
      <c r="AC131" s="162"/>
      <c r="AD131" s="162"/>
      <c r="AE131" s="162"/>
      <c r="AF131" s="161"/>
      <c r="AG131" s="64">
        <f t="shared" ref="AG131:AG145" si="20">SUM(B131:AF131)</f>
        <v>0</v>
      </c>
    </row>
    <row r="132" spans="1:35" ht="18.75" x14ac:dyDescent="0.25">
      <c r="A132" s="323" t="s">
        <v>69</v>
      </c>
      <c r="B132" s="249"/>
      <c r="C132" s="162"/>
      <c r="D132" s="162"/>
      <c r="E132" s="162"/>
      <c r="F132" s="162"/>
      <c r="G132" s="162"/>
      <c r="H132" s="162"/>
      <c r="I132" s="162"/>
      <c r="J132" s="162"/>
      <c r="K132" s="162"/>
      <c r="L132" s="162"/>
      <c r="M132" s="162"/>
      <c r="N132" s="162"/>
      <c r="O132" s="162"/>
      <c r="P132" s="162"/>
      <c r="Q132" s="162"/>
      <c r="R132" s="162"/>
      <c r="S132" s="162"/>
      <c r="T132" s="162"/>
      <c r="U132" s="162"/>
      <c r="V132" s="162"/>
      <c r="W132" s="162"/>
      <c r="X132" s="162"/>
      <c r="Y132" s="162"/>
      <c r="Z132" s="162"/>
      <c r="AA132" s="162"/>
      <c r="AB132" s="162"/>
      <c r="AC132" s="162"/>
      <c r="AD132" s="162"/>
      <c r="AE132" s="162"/>
      <c r="AF132" s="161"/>
      <c r="AG132" s="64">
        <f t="shared" si="20"/>
        <v>0</v>
      </c>
    </row>
    <row r="133" spans="1:35" ht="18.75" x14ac:dyDescent="0.25">
      <c r="A133" s="323" t="s">
        <v>68</v>
      </c>
      <c r="B133" s="249"/>
      <c r="C133" s="162"/>
      <c r="D133" s="162"/>
      <c r="E133" s="162"/>
      <c r="F133" s="162"/>
      <c r="G133" s="162"/>
      <c r="H133" s="162"/>
      <c r="I133" s="162"/>
      <c r="J133" s="162"/>
      <c r="K133" s="162"/>
      <c r="L133" s="162"/>
      <c r="M133" s="162"/>
      <c r="N133" s="162"/>
      <c r="O133" s="162"/>
      <c r="P133" s="162"/>
      <c r="Q133" s="162"/>
      <c r="R133" s="162"/>
      <c r="S133" s="162"/>
      <c r="T133" s="162"/>
      <c r="U133" s="162"/>
      <c r="V133" s="162"/>
      <c r="W133" s="162"/>
      <c r="X133" s="162"/>
      <c r="Y133" s="162"/>
      <c r="Z133" s="162"/>
      <c r="AA133" s="162"/>
      <c r="AB133" s="162"/>
      <c r="AC133" s="162"/>
      <c r="AD133" s="162"/>
      <c r="AE133" s="162"/>
      <c r="AF133" s="161"/>
      <c r="AG133" s="64">
        <f t="shared" si="20"/>
        <v>0</v>
      </c>
    </row>
    <row r="134" spans="1:35" ht="18.75" x14ac:dyDescent="0.25">
      <c r="A134" s="323" t="s">
        <v>66</v>
      </c>
      <c r="B134" s="249"/>
      <c r="C134" s="162"/>
      <c r="D134" s="162"/>
      <c r="E134" s="162"/>
      <c r="F134" s="162"/>
      <c r="G134" s="162"/>
      <c r="H134" s="162"/>
      <c r="I134" s="162"/>
      <c r="J134" s="162"/>
      <c r="K134" s="162"/>
      <c r="L134" s="162"/>
      <c r="M134" s="162"/>
      <c r="N134" s="162"/>
      <c r="O134" s="162"/>
      <c r="P134" s="162"/>
      <c r="Q134" s="162"/>
      <c r="R134" s="162"/>
      <c r="S134" s="162"/>
      <c r="T134" s="162"/>
      <c r="U134" s="162"/>
      <c r="V134" s="162"/>
      <c r="W134" s="162"/>
      <c r="X134" s="162"/>
      <c r="Y134" s="162"/>
      <c r="Z134" s="162"/>
      <c r="AA134" s="162"/>
      <c r="AB134" s="162"/>
      <c r="AC134" s="162"/>
      <c r="AD134" s="162"/>
      <c r="AE134" s="162"/>
      <c r="AF134" s="161"/>
      <c r="AG134" s="64">
        <f t="shared" si="20"/>
        <v>0</v>
      </c>
    </row>
    <row r="135" spans="1:35" ht="18.75" x14ac:dyDescent="0.25">
      <c r="A135" s="323" t="s">
        <v>65</v>
      </c>
      <c r="B135" s="249"/>
      <c r="C135" s="162"/>
      <c r="D135" s="162"/>
      <c r="E135" s="162"/>
      <c r="F135" s="162"/>
      <c r="G135" s="162"/>
      <c r="H135" s="162"/>
      <c r="I135" s="162"/>
      <c r="J135" s="162"/>
      <c r="K135" s="162"/>
      <c r="L135" s="162"/>
      <c r="M135" s="162"/>
      <c r="N135" s="162"/>
      <c r="O135" s="162"/>
      <c r="P135" s="162"/>
      <c r="Q135" s="162"/>
      <c r="R135" s="162"/>
      <c r="S135" s="162"/>
      <c r="T135" s="162"/>
      <c r="U135" s="162"/>
      <c r="V135" s="162"/>
      <c r="W135" s="162"/>
      <c r="X135" s="162"/>
      <c r="Y135" s="162"/>
      <c r="Z135" s="162"/>
      <c r="AA135" s="162"/>
      <c r="AB135" s="162"/>
      <c r="AC135" s="162"/>
      <c r="AD135" s="162"/>
      <c r="AE135" s="162"/>
      <c r="AF135" s="161"/>
      <c r="AG135" s="64">
        <f t="shared" si="20"/>
        <v>0</v>
      </c>
    </row>
    <row r="136" spans="1:35" ht="18.75" x14ac:dyDescent="0.25">
      <c r="A136" s="323" t="s">
        <v>64</v>
      </c>
      <c r="B136" s="249"/>
      <c r="C136" s="162"/>
      <c r="D136" s="162"/>
      <c r="E136" s="162"/>
      <c r="F136" s="162"/>
      <c r="G136" s="162"/>
      <c r="H136" s="162"/>
      <c r="I136" s="162"/>
      <c r="J136" s="162"/>
      <c r="K136" s="162"/>
      <c r="L136" s="162"/>
      <c r="M136" s="162"/>
      <c r="N136" s="162"/>
      <c r="O136" s="162"/>
      <c r="P136" s="162"/>
      <c r="Q136" s="162"/>
      <c r="R136" s="162"/>
      <c r="S136" s="162"/>
      <c r="T136" s="162"/>
      <c r="U136" s="162"/>
      <c r="V136" s="162"/>
      <c r="W136" s="162"/>
      <c r="X136" s="162"/>
      <c r="Y136" s="162"/>
      <c r="Z136" s="162"/>
      <c r="AA136" s="162"/>
      <c r="AB136" s="162"/>
      <c r="AC136" s="162"/>
      <c r="AD136" s="162"/>
      <c r="AE136" s="162"/>
      <c r="AF136" s="161"/>
      <c r="AG136" s="64">
        <f t="shared" si="20"/>
        <v>0</v>
      </c>
    </row>
    <row r="137" spans="1:35" ht="18.75" x14ac:dyDescent="0.25">
      <c r="A137" s="323" t="s">
        <v>63</v>
      </c>
      <c r="B137" s="249"/>
      <c r="C137" s="162"/>
      <c r="D137" s="162"/>
      <c r="E137" s="162"/>
      <c r="F137" s="162"/>
      <c r="G137" s="162"/>
      <c r="H137" s="162"/>
      <c r="I137" s="162"/>
      <c r="J137" s="162"/>
      <c r="K137" s="162"/>
      <c r="L137" s="162"/>
      <c r="M137" s="162"/>
      <c r="N137" s="162"/>
      <c r="O137" s="162"/>
      <c r="P137" s="162"/>
      <c r="Q137" s="162"/>
      <c r="R137" s="162"/>
      <c r="S137" s="162"/>
      <c r="T137" s="162"/>
      <c r="U137" s="162"/>
      <c r="V137" s="162"/>
      <c r="W137" s="162"/>
      <c r="X137" s="162"/>
      <c r="Y137" s="162"/>
      <c r="Z137" s="162"/>
      <c r="AA137" s="162"/>
      <c r="AB137" s="162"/>
      <c r="AC137" s="162"/>
      <c r="AD137" s="162"/>
      <c r="AE137" s="162"/>
      <c r="AF137" s="161"/>
      <c r="AG137" s="64">
        <f t="shared" si="20"/>
        <v>0</v>
      </c>
    </row>
    <row r="138" spans="1:35" ht="18.75" x14ac:dyDescent="0.25">
      <c r="A138" s="323" t="s">
        <v>62</v>
      </c>
      <c r="B138" s="249"/>
      <c r="C138" s="162"/>
      <c r="D138" s="162"/>
      <c r="E138" s="162"/>
      <c r="F138" s="162"/>
      <c r="G138" s="162"/>
      <c r="H138" s="162"/>
      <c r="I138" s="162"/>
      <c r="J138" s="162"/>
      <c r="K138" s="162"/>
      <c r="L138" s="162"/>
      <c r="M138" s="162"/>
      <c r="N138" s="162"/>
      <c r="O138" s="162"/>
      <c r="P138" s="162"/>
      <c r="Q138" s="162"/>
      <c r="R138" s="162"/>
      <c r="S138" s="162"/>
      <c r="T138" s="162"/>
      <c r="U138" s="162"/>
      <c r="V138" s="162"/>
      <c r="W138" s="162"/>
      <c r="X138" s="162"/>
      <c r="Y138" s="162"/>
      <c r="Z138" s="162"/>
      <c r="AA138" s="162"/>
      <c r="AB138" s="162"/>
      <c r="AC138" s="162"/>
      <c r="AD138" s="162"/>
      <c r="AE138" s="162"/>
      <c r="AF138" s="161"/>
      <c r="AG138" s="64">
        <f t="shared" si="20"/>
        <v>0</v>
      </c>
    </row>
    <row r="139" spans="1:35" ht="18.75" x14ac:dyDescent="0.25">
      <c r="A139" s="301" t="s">
        <v>60</v>
      </c>
      <c r="B139" s="249"/>
      <c r="C139" s="162"/>
      <c r="D139" s="162"/>
      <c r="E139" s="162"/>
      <c r="F139" s="162"/>
      <c r="G139" s="162"/>
      <c r="H139" s="162"/>
      <c r="I139" s="162"/>
      <c r="J139" s="162"/>
      <c r="K139" s="162"/>
      <c r="L139" s="162"/>
      <c r="M139" s="162"/>
      <c r="N139" s="162"/>
      <c r="O139" s="162"/>
      <c r="P139" s="162"/>
      <c r="Q139" s="162"/>
      <c r="R139" s="162"/>
      <c r="S139" s="162"/>
      <c r="T139" s="162"/>
      <c r="U139" s="162"/>
      <c r="V139" s="162"/>
      <c r="W139" s="162"/>
      <c r="X139" s="162"/>
      <c r="Y139" s="162"/>
      <c r="Z139" s="162"/>
      <c r="AA139" s="162"/>
      <c r="AB139" s="162"/>
      <c r="AC139" s="162"/>
      <c r="AD139" s="162"/>
      <c r="AE139" s="162"/>
      <c r="AF139" s="161"/>
      <c r="AG139" s="64">
        <f t="shared" si="20"/>
        <v>0</v>
      </c>
    </row>
    <row r="140" spans="1:35" ht="18.75" x14ac:dyDescent="0.25">
      <c r="A140" s="301" t="s">
        <v>59</v>
      </c>
      <c r="B140" s="249"/>
      <c r="C140" s="162"/>
      <c r="D140" s="162"/>
      <c r="E140" s="162"/>
      <c r="F140" s="162"/>
      <c r="G140" s="162"/>
      <c r="H140" s="162"/>
      <c r="I140" s="162"/>
      <c r="J140" s="162"/>
      <c r="K140" s="162"/>
      <c r="L140" s="162"/>
      <c r="M140" s="162"/>
      <c r="N140" s="162"/>
      <c r="O140" s="162"/>
      <c r="P140" s="162"/>
      <c r="Q140" s="162"/>
      <c r="R140" s="162"/>
      <c r="S140" s="162"/>
      <c r="T140" s="162"/>
      <c r="U140" s="162"/>
      <c r="V140" s="162"/>
      <c r="W140" s="162"/>
      <c r="X140" s="162"/>
      <c r="Y140" s="162"/>
      <c r="Z140" s="162"/>
      <c r="AA140" s="162"/>
      <c r="AB140" s="162"/>
      <c r="AC140" s="162"/>
      <c r="AD140" s="162"/>
      <c r="AE140" s="162"/>
      <c r="AF140" s="161"/>
      <c r="AG140" s="64">
        <f t="shared" si="20"/>
        <v>0</v>
      </c>
    </row>
    <row r="141" spans="1:35" ht="18.75" x14ac:dyDescent="0.25">
      <c r="A141" s="301" t="s">
        <v>58</v>
      </c>
      <c r="B141" s="249"/>
      <c r="C141" s="162"/>
      <c r="D141" s="162"/>
      <c r="E141" s="162"/>
      <c r="F141" s="162"/>
      <c r="G141" s="162"/>
      <c r="H141" s="162"/>
      <c r="I141" s="162"/>
      <c r="J141" s="162"/>
      <c r="K141" s="162"/>
      <c r="L141" s="162"/>
      <c r="M141" s="162"/>
      <c r="N141" s="162"/>
      <c r="O141" s="162"/>
      <c r="P141" s="162"/>
      <c r="Q141" s="162"/>
      <c r="R141" s="162"/>
      <c r="S141" s="162"/>
      <c r="T141" s="162"/>
      <c r="U141" s="162"/>
      <c r="V141" s="162"/>
      <c r="W141" s="162"/>
      <c r="X141" s="162"/>
      <c r="Y141" s="162"/>
      <c r="Z141" s="162"/>
      <c r="AA141" s="162"/>
      <c r="AB141" s="162"/>
      <c r="AC141" s="162"/>
      <c r="AD141" s="162"/>
      <c r="AE141" s="162"/>
      <c r="AF141" s="161"/>
      <c r="AG141" s="64">
        <f t="shared" si="20"/>
        <v>0</v>
      </c>
    </row>
    <row r="142" spans="1:35" ht="18.75" x14ac:dyDescent="0.25">
      <c r="A142" s="323" t="s">
        <v>88</v>
      </c>
      <c r="B142" s="249"/>
      <c r="C142" s="162"/>
      <c r="D142" s="162"/>
      <c r="E142" s="162"/>
      <c r="F142" s="162"/>
      <c r="G142" s="162"/>
      <c r="H142" s="162"/>
      <c r="I142" s="162"/>
      <c r="J142" s="162"/>
      <c r="K142" s="162"/>
      <c r="L142" s="162"/>
      <c r="M142" s="162"/>
      <c r="N142" s="162"/>
      <c r="O142" s="162"/>
      <c r="P142" s="162"/>
      <c r="Q142" s="162"/>
      <c r="R142" s="162"/>
      <c r="S142" s="162"/>
      <c r="T142" s="162"/>
      <c r="U142" s="162"/>
      <c r="V142" s="162"/>
      <c r="W142" s="162"/>
      <c r="X142" s="162"/>
      <c r="Y142" s="162"/>
      <c r="Z142" s="162"/>
      <c r="AA142" s="162"/>
      <c r="AB142" s="162"/>
      <c r="AC142" s="162"/>
      <c r="AD142" s="162"/>
      <c r="AE142" s="162"/>
      <c r="AF142" s="161"/>
      <c r="AG142" s="64">
        <f t="shared" si="20"/>
        <v>0</v>
      </c>
    </row>
    <row r="143" spans="1:35" ht="19.5" thickBot="1" x14ac:dyDescent="0.3">
      <c r="A143" s="324" t="s">
        <v>87</v>
      </c>
      <c r="B143" s="263"/>
      <c r="C143" s="140"/>
      <c r="D143" s="140"/>
      <c r="E143" s="140"/>
      <c r="F143" s="140"/>
      <c r="G143" s="140"/>
      <c r="H143" s="140"/>
      <c r="I143" s="140"/>
      <c r="J143" s="140"/>
      <c r="K143" s="140"/>
      <c r="L143" s="140"/>
      <c r="M143" s="140"/>
      <c r="N143" s="140"/>
      <c r="O143" s="140"/>
      <c r="P143" s="140"/>
      <c r="Q143" s="140"/>
      <c r="R143" s="140"/>
      <c r="S143" s="140"/>
      <c r="T143" s="140"/>
      <c r="U143" s="140"/>
      <c r="V143" s="140"/>
      <c r="W143" s="140"/>
      <c r="X143" s="140"/>
      <c r="Y143" s="140"/>
      <c r="Z143" s="140"/>
      <c r="AA143" s="140"/>
      <c r="AB143" s="140"/>
      <c r="AC143" s="140"/>
      <c r="AD143" s="140"/>
      <c r="AE143" s="140"/>
      <c r="AF143" s="139"/>
      <c r="AG143" s="160">
        <f t="shared" si="20"/>
        <v>0</v>
      </c>
    </row>
    <row r="144" spans="1:35" ht="19.5" thickBot="1" x14ac:dyDescent="0.3">
      <c r="A144" s="309" t="s">
        <v>86</v>
      </c>
      <c r="B144" s="257">
        <f t="shared" ref="B144:AF144" si="21">+B146+B156+B158+B167</f>
        <v>0</v>
      </c>
      <c r="C144" s="158">
        <f t="shared" si="21"/>
        <v>0</v>
      </c>
      <c r="D144" s="158">
        <f t="shared" si="21"/>
        <v>0</v>
      </c>
      <c r="E144" s="158">
        <f t="shared" si="21"/>
        <v>0</v>
      </c>
      <c r="F144" s="158">
        <f t="shared" si="21"/>
        <v>0</v>
      </c>
      <c r="G144" s="158">
        <f t="shared" si="21"/>
        <v>0</v>
      </c>
      <c r="H144" s="158">
        <f t="shared" si="21"/>
        <v>0</v>
      </c>
      <c r="I144" s="158">
        <f t="shared" si="21"/>
        <v>0</v>
      </c>
      <c r="J144" s="158">
        <f t="shared" si="21"/>
        <v>0</v>
      </c>
      <c r="K144" s="158">
        <f t="shared" si="21"/>
        <v>0</v>
      </c>
      <c r="L144" s="158">
        <f t="shared" si="21"/>
        <v>0</v>
      </c>
      <c r="M144" s="158">
        <f t="shared" si="21"/>
        <v>0</v>
      </c>
      <c r="N144" s="158">
        <f t="shared" si="21"/>
        <v>0</v>
      </c>
      <c r="O144" s="158">
        <f t="shared" si="21"/>
        <v>0</v>
      </c>
      <c r="P144" s="158">
        <f t="shared" si="21"/>
        <v>0</v>
      </c>
      <c r="Q144" s="158">
        <f t="shared" si="21"/>
        <v>0</v>
      </c>
      <c r="R144" s="158">
        <f t="shared" si="21"/>
        <v>0</v>
      </c>
      <c r="S144" s="158">
        <f t="shared" si="21"/>
        <v>0</v>
      </c>
      <c r="T144" s="158">
        <f t="shared" si="21"/>
        <v>0</v>
      </c>
      <c r="U144" s="158">
        <f t="shared" si="21"/>
        <v>0</v>
      </c>
      <c r="V144" s="158">
        <f t="shared" si="21"/>
        <v>0</v>
      </c>
      <c r="W144" s="158">
        <f t="shared" si="21"/>
        <v>0</v>
      </c>
      <c r="X144" s="158">
        <f t="shared" si="21"/>
        <v>0</v>
      </c>
      <c r="Y144" s="158">
        <f t="shared" si="21"/>
        <v>0</v>
      </c>
      <c r="Z144" s="158">
        <f t="shared" si="21"/>
        <v>0</v>
      </c>
      <c r="AA144" s="158">
        <f t="shared" si="21"/>
        <v>0</v>
      </c>
      <c r="AB144" s="158">
        <f t="shared" si="21"/>
        <v>0</v>
      </c>
      <c r="AC144" s="158">
        <f t="shared" si="21"/>
        <v>0</v>
      </c>
      <c r="AD144" s="158">
        <f t="shared" si="21"/>
        <v>0</v>
      </c>
      <c r="AE144" s="158">
        <f t="shared" si="21"/>
        <v>0</v>
      </c>
      <c r="AF144" s="158">
        <f t="shared" si="21"/>
        <v>0</v>
      </c>
      <c r="AG144" s="157">
        <f t="shared" si="20"/>
        <v>0</v>
      </c>
      <c r="AH144" s="85" t="str">
        <f>IF(AG144&lt;&gt;AG93,"*","")</f>
        <v/>
      </c>
      <c r="AI144" t="s">
        <v>85</v>
      </c>
    </row>
    <row r="145" spans="1:34" ht="19.5" thickBot="1" x14ac:dyDescent="0.3">
      <c r="A145" s="325" t="s">
        <v>84</v>
      </c>
      <c r="B145" s="264">
        <f t="shared" ref="B145:AF145" si="22">+B149+B155+B157+B172</f>
        <v>0</v>
      </c>
      <c r="C145" s="155">
        <f t="shared" si="22"/>
        <v>0</v>
      </c>
      <c r="D145" s="155">
        <f t="shared" si="22"/>
        <v>0</v>
      </c>
      <c r="E145" s="155">
        <f t="shared" si="22"/>
        <v>0</v>
      </c>
      <c r="F145" s="155">
        <f t="shared" si="22"/>
        <v>0</v>
      </c>
      <c r="G145" s="155">
        <f t="shared" si="22"/>
        <v>0</v>
      </c>
      <c r="H145" s="155">
        <f t="shared" si="22"/>
        <v>0</v>
      </c>
      <c r="I145" s="155">
        <f t="shared" si="22"/>
        <v>0</v>
      </c>
      <c r="J145" s="155">
        <f t="shared" si="22"/>
        <v>0</v>
      </c>
      <c r="K145" s="155">
        <f t="shared" si="22"/>
        <v>0</v>
      </c>
      <c r="L145" s="155">
        <f t="shared" si="22"/>
        <v>0</v>
      </c>
      <c r="M145" s="155">
        <f t="shared" si="22"/>
        <v>0</v>
      </c>
      <c r="N145" s="155">
        <f t="shared" si="22"/>
        <v>0</v>
      </c>
      <c r="O145" s="155">
        <f t="shared" si="22"/>
        <v>0</v>
      </c>
      <c r="P145" s="155">
        <f t="shared" si="22"/>
        <v>0</v>
      </c>
      <c r="Q145" s="155">
        <f t="shared" si="22"/>
        <v>0</v>
      </c>
      <c r="R145" s="155">
        <f t="shared" si="22"/>
        <v>0</v>
      </c>
      <c r="S145" s="155">
        <f t="shared" si="22"/>
        <v>0</v>
      </c>
      <c r="T145" s="155">
        <f t="shared" si="22"/>
        <v>0</v>
      </c>
      <c r="U145" s="155">
        <f t="shared" si="22"/>
        <v>0</v>
      </c>
      <c r="V145" s="155">
        <f t="shared" si="22"/>
        <v>0</v>
      </c>
      <c r="W145" s="155">
        <f t="shared" si="22"/>
        <v>0</v>
      </c>
      <c r="X145" s="155">
        <f t="shared" si="22"/>
        <v>0</v>
      </c>
      <c r="Y145" s="155">
        <f t="shared" si="22"/>
        <v>0</v>
      </c>
      <c r="Z145" s="155">
        <f t="shared" si="22"/>
        <v>0</v>
      </c>
      <c r="AA145" s="155">
        <f t="shared" si="22"/>
        <v>0</v>
      </c>
      <c r="AB145" s="155">
        <f t="shared" si="22"/>
        <v>0</v>
      </c>
      <c r="AC145" s="155">
        <f t="shared" si="22"/>
        <v>0</v>
      </c>
      <c r="AD145" s="155">
        <f t="shared" si="22"/>
        <v>0</v>
      </c>
      <c r="AE145" s="155">
        <f t="shared" si="22"/>
        <v>0</v>
      </c>
      <c r="AF145" s="154">
        <f t="shared" si="22"/>
        <v>0</v>
      </c>
      <c r="AG145" s="153">
        <f t="shared" si="20"/>
        <v>0</v>
      </c>
      <c r="AH145" s="152"/>
    </row>
    <row r="146" spans="1:34" ht="19.5" thickBot="1" x14ac:dyDescent="0.3">
      <c r="A146" s="326" t="s">
        <v>83</v>
      </c>
      <c r="B146" s="265">
        <f t="shared" ref="B146:AG146" si="23">+B148+B154</f>
        <v>0</v>
      </c>
      <c r="C146" s="8">
        <f t="shared" si="23"/>
        <v>0</v>
      </c>
      <c r="D146" s="8">
        <f t="shared" si="23"/>
        <v>0</v>
      </c>
      <c r="E146" s="8">
        <f t="shared" si="23"/>
        <v>0</v>
      </c>
      <c r="F146" s="8">
        <f t="shared" si="23"/>
        <v>0</v>
      </c>
      <c r="G146" s="8">
        <f t="shared" si="23"/>
        <v>0</v>
      </c>
      <c r="H146" s="8">
        <f t="shared" si="23"/>
        <v>0</v>
      </c>
      <c r="I146" s="8">
        <f t="shared" si="23"/>
        <v>0</v>
      </c>
      <c r="J146" s="8">
        <f t="shared" si="23"/>
        <v>0</v>
      </c>
      <c r="K146" s="8">
        <f t="shared" si="23"/>
        <v>0</v>
      </c>
      <c r="L146" s="8">
        <f t="shared" si="23"/>
        <v>0</v>
      </c>
      <c r="M146" s="8">
        <f t="shared" si="23"/>
        <v>0</v>
      </c>
      <c r="N146" s="8">
        <f t="shared" si="23"/>
        <v>0</v>
      </c>
      <c r="O146" s="8">
        <f t="shared" si="23"/>
        <v>0</v>
      </c>
      <c r="P146" s="8">
        <f t="shared" si="23"/>
        <v>0</v>
      </c>
      <c r="Q146" s="8">
        <f t="shared" si="23"/>
        <v>0</v>
      </c>
      <c r="R146" s="8">
        <f t="shared" si="23"/>
        <v>0</v>
      </c>
      <c r="S146" s="8">
        <f t="shared" si="23"/>
        <v>0</v>
      </c>
      <c r="T146" s="8">
        <f t="shared" si="23"/>
        <v>0</v>
      </c>
      <c r="U146" s="8">
        <f t="shared" si="23"/>
        <v>0</v>
      </c>
      <c r="V146" s="8">
        <f t="shared" si="23"/>
        <v>0</v>
      </c>
      <c r="W146" s="8">
        <f t="shared" si="23"/>
        <v>0</v>
      </c>
      <c r="X146" s="8">
        <f t="shared" si="23"/>
        <v>0</v>
      </c>
      <c r="Y146" s="8">
        <f t="shared" si="23"/>
        <v>0</v>
      </c>
      <c r="Z146" s="8">
        <f t="shared" si="23"/>
        <v>0</v>
      </c>
      <c r="AA146" s="8">
        <f t="shared" si="23"/>
        <v>0</v>
      </c>
      <c r="AB146" s="8">
        <f t="shared" si="23"/>
        <v>0</v>
      </c>
      <c r="AC146" s="8">
        <f t="shared" si="23"/>
        <v>0</v>
      </c>
      <c r="AD146" s="8">
        <f t="shared" si="23"/>
        <v>0</v>
      </c>
      <c r="AE146" s="8">
        <f t="shared" si="23"/>
        <v>0</v>
      </c>
      <c r="AF146" s="150">
        <f t="shared" si="23"/>
        <v>0</v>
      </c>
      <c r="AG146" s="149">
        <f t="shared" si="23"/>
        <v>0</v>
      </c>
    </row>
    <row r="147" spans="1:34" ht="19.5" thickBot="1" x14ac:dyDescent="0.3">
      <c r="A147" s="327" t="s">
        <v>82</v>
      </c>
      <c r="B147" s="266">
        <f t="shared" ref="B147:AE147" si="24">+B149+B155</f>
        <v>0</v>
      </c>
      <c r="C147" s="143">
        <f t="shared" si="24"/>
        <v>0</v>
      </c>
      <c r="D147" s="143">
        <f t="shared" si="24"/>
        <v>0</v>
      </c>
      <c r="E147" s="143">
        <f t="shared" si="24"/>
        <v>0</v>
      </c>
      <c r="F147" s="143">
        <f t="shared" si="24"/>
        <v>0</v>
      </c>
      <c r="G147" s="143">
        <f t="shared" si="24"/>
        <v>0</v>
      </c>
      <c r="H147" s="143">
        <f t="shared" si="24"/>
        <v>0</v>
      </c>
      <c r="I147" s="143">
        <f t="shared" si="24"/>
        <v>0</v>
      </c>
      <c r="J147" s="143">
        <f t="shared" si="24"/>
        <v>0</v>
      </c>
      <c r="K147" s="143">
        <f t="shared" si="24"/>
        <v>0</v>
      </c>
      <c r="L147" s="143">
        <f t="shared" si="24"/>
        <v>0</v>
      </c>
      <c r="M147" s="143">
        <f t="shared" si="24"/>
        <v>0</v>
      </c>
      <c r="N147" s="143">
        <f t="shared" si="24"/>
        <v>0</v>
      </c>
      <c r="O147" s="143">
        <f t="shared" si="24"/>
        <v>0</v>
      </c>
      <c r="P147" s="143">
        <f t="shared" si="24"/>
        <v>0</v>
      </c>
      <c r="Q147" s="143">
        <f t="shared" si="24"/>
        <v>0</v>
      </c>
      <c r="R147" s="143">
        <f t="shared" si="24"/>
        <v>0</v>
      </c>
      <c r="S147" s="143">
        <f t="shared" si="24"/>
        <v>0</v>
      </c>
      <c r="T147" s="143">
        <f t="shared" si="24"/>
        <v>0</v>
      </c>
      <c r="U147" s="143">
        <f t="shared" si="24"/>
        <v>0</v>
      </c>
      <c r="V147" s="143">
        <f t="shared" si="24"/>
        <v>0</v>
      </c>
      <c r="W147" s="143">
        <f t="shared" si="24"/>
        <v>0</v>
      </c>
      <c r="X147" s="143">
        <f t="shared" si="24"/>
        <v>0</v>
      </c>
      <c r="Y147" s="143">
        <f t="shared" si="24"/>
        <v>0</v>
      </c>
      <c r="Z147" s="143">
        <f t="shared" si="24"/>
        <v>0</v>
      </c>
      <c r="AA147" s="143">
        <f t="shared" si="24"/>
        <v>0</v>
      </c>
      <c r="AB147" s="143">
        <f t="shared" si="24"/>
        <v>0</v>
      </c>
      <c r="AC147" s="143">
        <f t="shared" si="24"/>
        <v>0</v>
      </c>
      <c r="AD147" s="143">
        <f t="shared" si="24"/>
        <v>0</v>
      </c>
      <c r="AE147" s="143">
        <f t="shared" si="24"/>
        <v>0</v>
      </c>
      <c r="AF147" s="142"/>
      <c r="AG147" s="86">
        <f t="shared" ref="AG147:AG179" si="25">SUM(B147:AF147)</f>
        <v>0</v>
      </c>
    </row>
    <row r="148" spans="1:34" ht="19.5" thickBot="1" x14ac:dyDescent="0.3">
      <c r="A148" s="328" t="s">
        <v>81</v>
      </c>
      <c r="B148" s="267">
        <f t="shared" ref="B148:AF148" si="26">SUM(B150:B153)</f>
        <v>0</v>
      </c>
      <c r="C148" s="147">
        <f t="shared" si="26"/>
        <v>0</v>
      </c>
      <c r="D148" s="147">
        <f t="shared" si="26"/>
        <v>0</v>
      </c>
      <c r="E148" s="147">
        <f t="shared" si="26"/>
        <v>0</v>
      </c>
      <c r="F148" s="147">
        <f t="shared" si="26"/>
        <v>0</v>
      </c>
      <c r="G148" s="147">
        <f t="shared" si="26"/>
        <v>0</v>
      </c>
      <c r="H148" s="147">
        <f t="shared" si="26"/>
        <v>0</v>
      </c>
      <c r="I148" s="147">
        <f t="shared" si="26"/>
        <v>0</v>
      </c>
      <c r="J148" s="147">
        <f t="shared" si="26"/>
        <v>0</v>
      </c>
      <c r="K148" s="147">
        <f t="shared" si="26"/>
        <v>0</v>
      </c>
      <c r="L148" s="147">
        <f t="shared" si="26"/>
        <v>0</v>
      </c>
      <c r="M148" s="147">
        <f t="shared" si="26"/>
        <v>0</v>
      </c>
      <c r="N148" s="147">
        <f t="shared" si="26"/>
        <v>0</v>
      </c>
      <c r="O148" s="147">
        <f t="shared" si="26"/>
        <v>0</v>
      </c>
      <c r="P148" s="147">
        <f t="shared" si="26"/>
        <v>0</v>
      </c>
      <c r="Q148" s="147">
        <f t="shared" si="26"/>
        <v>0</v>
      </c>
      <c r="R148" s="147">
        <f t="shared" si="26"/>
        <v>0</v>
      </c>
      <c r="S148" s="147">
        <f t="shared" si="26"/>
        <v>0</v>
      </c>
      <c r="T148" s="147">
        <f t="shared" si="26"/>
        <v>0</v>
      </c>
      <c r="U148" s="147">
        <f t="shared" si="26"/>
        <v>0</v>
      </c>
      <c r="V148" s="147">
        <f t="shared" si="26"/>
        <v>0</v>
      </c>
      <c r="W148" s="147">
        <f t="shared" si="26"/>
        <v>0</v>
      </c>
      <c r="X148" s="147">
        <f t="shared" si="26"/>
        <v>0</v>
      </c>
      <c r="Y148" s="147">
        <f t="shared" si="26"/>
        <v>0</v>
      </c>
      <c r="Z148" s="147">
        <f t="shared" si="26"/>
        <v>0</v>
      </c>
      <c r="AA148" s="147">
        <f t="shared" si="26"/>
        <v>0</v>
      </c>
      <c r="AB148" s="147">
        <f t="shared" si="26"/>
        <v>0</v>
      </c>
      <c r="AC148" s="147">
        <f t="shared" si="26"/>
        <v>0</v>
      </c>
      <c r="AD148" s="147">
        <f t="shared" si="26"/>
        <v>0</v>
      </c>
      <c r="AE148" s="147">
        <f t="shared" si="26"/>
        <v>0</v>
      </c>
      <c r="AF148" s="146">
        <f t="shared" si="26"/>
        <v>0</v>
      </c>
      <c r="AG148" s="145">
        <f t="shared" si="25"/>
        <v>0</v>
      </c>
    </row>
    <row r="149" spans="1:34" ht="19.5" thickBot="1" x14ac:dyDescent="0.3">
      <c r="A149" s="327" t="s">
        <v>80</v>
      </c>
      <c r="B149" s="266"/>
      <c r="C149" s="143"/>
      <c r="D149" s="143"/>
      <c r="E149" s="143"/>
      <c r="F149" s="143"/>
      <c r="G149" s="143"/>
      <c r="H149" s="143"/>
      <c r="I149" s="143"/>
      <c r="J149" s="143"/>
      <c r="K149" s="143"/>
      <c r="L149" s="143"/>
      <c r="M149" s="143"/>
      <c r="N149" s="143"/>
      <c r="O149" s="143"/>
      <c r="P149" s="143"/>
      <c r="Q149" s="143"/>
      <c r="R149" s="143"/>
      <c r="S149" s="143"/>
      <c r="T149" s="143"/>
      <c r="U149" s="143"/>
      <c r="V149" s="143"/>
      <c r="W149" s="143"/>
      <c r="X149" s="143"/>
      <c r="Y149" s="143"/>
      <c r="Z149" s="143"/>
      <c r="AA149" s="143"/>
      <c r="AB149" s="143"/>
      <c r="AC149" s="143"/>
      <c r="AD149" s="143"/>
      <c r="AE149" s="143"/>
      <c r="AF149" s="142"/>
      <c r="AG149" s="86">
        <f t="shared" si="25"/>
        <v>0</v>
      </c>
    </row>
    <row r="150" spans="1:34" ht="18.75" x14ac:dyDescent="0.25">
      <c r="A150" s="329" t="s">
        <v>79</v>
      </c>
      <c r="B150" s="268"/>
      <c r="C150" s="136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5"/>
      <c r="AG150" s="134">
        <f t="shared" si="25"/>
        <v>0</v>
      </c>
    </row>
    <row r="151" spans="1:34" ht="18.75" x14ac:dyDescent="0.25">
      <c r="A151" s="330" t="s">
        <v>78</v>
      </c>
      <c r="B151" s="269"/>
      <c r="C151" s="130"/>
      <c r="D151" s="130"/>
      <c r="E151" s="130"/>
      <c r="F151" s="130"/>
      <c r="G151" s="130"/>
      <c r="H151" s="130"/>
      <c r="I151" s="130"/>
      <c r="J151" s="130"/>
      <c r="K151" s="130"/>
      <c r="L151" s="130"/>
      <c r="M151" s="130"/>
      <c r="N151" s="130"/>
      <c r="O151" s="130"/>
      <c r="P151" s="130"/>
      <c r="Q151" s="130"/>
      <c r="R151" s="130"/>
      <c r="S151" s="130"/>
      <c r="T151" s="130"/>
      <c r="U151" s="130"/>
      <c r="V151" s="130"/>
      <c r="W151" s="130"/>
      <c r="X151" s="130"/>
      <c r="Y151" s="130"/>
      <c r="Z151" s="130"/>
      <c r="AA151" s="130"/>
      <c r="AB151" s="130"/>
      <c r="AC151" s="130"/>
      <c r="AD151" s="130"/>
      <c r="AE151" s="130"/>
      <c r="AF151" s="129"/>
      <c r="AG151" s="64">
        <f t="shared" si="25"/>
        <v>0</v>
      </c>
    </row>
    <row r="152" spans="1:34" ht="18.75" x14ac:dyDescent="0.25">
      <c r="A152" s="330" t="s">
        <v>77</v>
      </c>
      <c r="B152" s="269"/>
      <c r="C152" s="130"/>
      <c r="D152" s="130"/>
      <c r="E152" s="130"/>
      <c r="F152" s="130"/>
      <c r="G152" s="130"/>
      <c r="H152" s="130"/>
      <c r="I152" s="130"/>
      <c r="J152" s="130"/>
      <c r="K152" s="130"/>
      <c r="L152" s="130"/>
      <c r="M152" s="130"/>
      <c r="N152" s="130"/>
      <c r="O152" s="130"/>
      <c r="P152" s="130"/>
      <c r="Q152" s="130"/>
      <c r="R152" s="130"/>
      <c r="S152" s="130"/>
      <c r="T152" s="130"/>
      <c r="U152" s="130"/>
      <c r="V152" s="130"/>
      <c r="W152" s="130"/>
      <c r="X152" s="130"/>
      <c r="Y152" s="130"/>
      <c r="Z152" s="130"/>
      <c r="AA152" s="130"/>
      <c r="AB152" s="130"/>
      <c r="AC152" s="130"/>
      <c r="AD152" s="130"/>
      <c r="AE152" s="130"/>
      <c r="AF152" s="129"/>
      <c r="AG152" s="64">
        <f t="shared" si="25"/>
        <v>0</v>
      </c>
    </row>
    <row r="153" spans="1:34" ht="19.5" thickBot="1" x14ac:dyDescent="0.3">
      <c r="A153" s="331" t="s">
        <v>76</v>
      </c>
      <c r="B153" s="270"/>
      <c r="C153" s="127"/>
      <c r="D153" s="127"/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  <c r="Y153" s="127"/>
      <c r="Z153" s="127"/>
      <c r="AA153" s="127"/>
      <c r="AB153" s="127"/>
      <c r="AC153" s="127"/>
      <c r="AD153" s="127"/>
      <c r="AE153" s="127"/>
      <c r="AF153" s="126"/>
      <c r="AG153" s="10">
        <f t="shared" si="25"/>
        <v>0</v>
      </c>
    </row>
    <row r="154" spans="1:34" ht="19.5" thickBot="1" x14ac:dyDescent="0.3">
      <c r="A154" s="328" t="s">
        <v>75</v>
      </c>
      <c r="B154" s="267"/>
      <c r="C154" s="147"/>
      <c r="D154" s="147"/>
      <c r="E154" s="147"/>
      <c r="F154" s="147"/>
      <c r="G154" s="147"/>
      <c r="H154" s="147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  <c r="AA154" s="147"/>
      <c r="AB154" s="147"/>
      <c r="AC154" s="147"/>
      <c r="AD154" s="147"/>
      <c r="AE154" s="147"/>
      <c r="AF154" s="146"/>
      <c r="AG154" s="145">
        <f t="shared" si="25"/>
        <v>0</v>
      </c>
    </row>
    <row r="155" spans="1:34" ht="19.5" thickBot="1" x14ac:dyDescent="0.3">
      <c r="A155" s="327" t="s">
        <v>74</v>
      </c>
      <c r="B155" s="266"/>
      <c r="C155" s="143"/>
      <c r="D155" s="143"/>
      <c r="E155" s="143"/>
      <c r="F155" s="143"/>
      <c r="G155" s="143"/>
      <c r="H155" s="143"/>
      <c r="I155" s="143"/>
      <c r="J155" s="143"/>
      <c r="K155" s="143"/>
      <c r="L155" s="143"/>
      <c r="M155" s="143"/>
      <c r="N155" s="143"/>
      <c r="O155" s="143"/>
      <c r="P155" s="143"/>
      <c r="Q155" s="143"/>
      <c r="R155" s="143"/>
      <c r="S155" s="143"/>
      <c r="T155" s="143"/>
      <c r="U155" s="143"/>
      <c r="V155" s="143"/>
      <c r="W155" s="143"/>
      <c r="X155" s="143"/>
      <c r="Y155" s="143"/>
      <c r="Z155" s="143"/>
      <c r="AA155" s="143"/>
      <c r="AB155" s="143"/>
      <c r="AC155" s="143"/>
      <c r="AD155" s="143"/>
      <c r="AE155" s="143"/>
      <c r="AF155" s="142"/>
      <c r="AG155" s="86">
        <f t="shared" si="25"/>
        <v>0</v>
      </c>
    </row>
    <row r="156" spans="1:34" ht="18.75" x14ac:dyDescent="0.25">
      <c r="A156" s="332" t="s">
        <v>73</v>
      </c>
      <c r="B156" s="271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7"/>
      <c r="AG156" s="7">
        <f t="shared" si="25"/>
        <v>0</v>
      </c>
      <c r="AH156" s="98" t="s">
        <v>72</v>
      </c>
    </row>
    <row r="157" spans="1:34" ht="19.5" thickBot="1" x14ac:dyDescent="0.3">
      <c r="A157" s="324" t="s">
        <v>71</v>
      </c>
      <c r="B157" s="263"/>
      <c r="C157" s="140"/>
      <c r="D157" s="140"/>
      <c r="E157" s="140"/>
      <c r="F157" s="140"/>
      <c r="G157" s="140"/>
      <c r="H157" s="140"/>
      <c r="I157" s="140"/>
      <c r="J157" s="140"/>
      <c r="K157" s="140"/>
      <c r="L157" s="140"/>
      <c r="M157" s="140"/>
      <c r="N157" s="140"/>
      <c r="O157" s="140"/>
      <c r="P157" s="140"/>
      <c r="Q157" s="140"/>
      <c r="R157" s="140"/>
      <c r="S157" s="140"/>
      <c r="T157" s="140"/>
      <c r="U157" s="140"/>
      <c r="V157" s="140"/>
      <c r="W157" s="140"/>
      <c r="X157" s="140"/>
      <c r="Y157" s="140"/>
      <c r="Z157" s="140"/>
      <c r="AA157" s="140"/>
      <c r="AB157" s="140"/>
      <c r="AC157" s="140"/>
      <c r="AD157" s="140"/>
      <c r="AE157" s="140"/>
      <c r="AF157" s="139"/>
      <c r="AG157" s="138">
        <f t="shared" si="25"/>
        <v>0</v>
      </c>
      <c r="AH157" s="98"/>
    </row>
    <row r="158" spans="1:34" ht="19.5" thickBot="1" x14ac:dyDescent="0.3">
      <c r="A158" s="333" t="s">
        <v>70</v>
      </c>
      <c r="B158" s="272">
        <f t="shared" ref="B158:AF158" si="27">SUM(B159:B166)</f>
        <v>0</v>
      </c>
      <c r="C158" s="35">
        <f t="shared" si="27"/>
        <v>0</v>
      </c>
      <c r="D158" s="35">
        <f t="shared" si="27"/>
        <v>0</v>
      </c>
      <c r="E158" s="35">
        <f t="shared" si="27"/>
        <v>0</v>
      </c>
      <c r="F158" s="35">
        <f t="shared" si="27"/>
        <v>0</v>
      </c>
      <c r="G158" s="35">
        <f t="shared" si="27"/>
        <v>0</v>
      </c>
      <c r="H158" s="35">
        <f t="shared" si="27"/>
        <v>0</v>
      </c>
      <c r="I158" s="35">
        <f t="shared" si="27"/>
        <v>0</v>
      </c>
      <c r="J158" s="35">
        <f t="shared" si="27"/>
        <v>0</v>
      </c>
      <c r="K158" s="35">
        <f t="shared" si="27"/>
        <v>0</v>
      </c>
      <c r="L158" s="35">
        <f t="shared" si="27"/>
        <v>0</v>
      </c>
      <c r="M158" s="35">
        <f t="shared" si="27"/>
        <v>0</v>
      </c>
      <c r="N158" s="35">
        <f t="shared" si="27"/>
        <v>0</v>
      </c>
      <c r="O158" s="35">
        <f t="shared" si="27"/>
        <v>0</v>
      </c>
      <c r="P158" s="35">
        <f t="shared" si="27"/>
        <v>0</v>
      </c>
      <c r="Q158" s="35">
        <f t="shared" si="27"/>
        <v>0</v>
      </c>
      <c r="R158" s="35">
        <f t="shared" si="27"/>
        <v>0</v>
      </c>
      <c r="S158" s="35">
        <f t="shared" si="27"/>
        <v>0</v>
      </c>
      <c r="T158" s="35">
        <f t="shared" si="27"/>
        <v>0</v>
      </c>
      <c r="U158" s="35">
        <f t="shared" si="27"/>
        <v>0</v>
      </c>
      <c r="V158" s="35">
        <f t="shared" si="27"/>
        <v>0</v>
      </c>
      <c r="W158" s="35">
        <f t="shared" si="27"/>
        <v>0</v>
      </c>
      <c r="X158" s="35">
        <f t="shared" si="27"/>
        <v>0</v>
      </c>
      <c r="Y158" s="35">
        <f t="shared" si="27"/>
        <v>0</v>
      </c>
      <c r="Z158" s="35">
        <f t="shared" si="27"/>
        <v>0</v>
      </c>
      <c r="AA158" s="35">
        <f t="shared" si="27"/>
        <v>0</v>
      </c>
      <c r="AB158" s="35">
        <f t="shared" si="27"/>
        <v>0</v>
      </c>
      <c r="AC158" s="35">
        <f t="shared" si="27"/>
        <v>0</v>
      </c>
      <c r="AD158" s="35">
        <f t="shared" si="27"/>
        <v>0</v>
      </c>
      <c r="AE158" s="35">
        <f t="shared" si="27"/>
        <v>0</v>
      </c>
      <c r="AF158" s="34">
        <f t="shared" si="27"/>
        <v>0</v>
      </c>
      <c r="AG158" s="33">
        <f t="shared" si="25"/>
        <v>0</v>
      </c>
    </row>
    <row r="159" spans="1:34" ht="18.75" x14ac:dyDescent="0.25">
      <c r="A159" s="329" t="s">
        <v>69</v>
      </c>
      <c r="B159" s="268"/>
      <c r="C159" s="136"/>
      <c r="D159" s="136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A159" s="136"/>
      <c r="AB159" s="136"/>
      <c r="AC159" s="136"/>
      <c r="AD159" s="136"/>
      <c r="AE159" s="136"/>
      <c r="AF159" s="135"/>
      <c r="AG159" s="134">
        <f t="shared" si="25"/>
        <v>0</v>
      </c>
    </row>
    <row r="160" spans="1:34" ht="18.75" x14ac:dyDescent="0.25">
      <c r="A160" s="330" t="s">
        <v>68</v>
      </c>
      <c r="B160" s="269"/>
      <c r="C160" s="130"/>
      <c r="D160" s="130"/>
      <c r="E160" s="130"/>
      <c r="F160" s="130"/>
      <c r="G160" s="130"/>
      <c r="H160" s="130"/>
      <c r="I160" s="130"/>
      <c r="J160" s="130"/>
      <c r="K160" s="130"/>
      <c r="L160" s="130"/>
      <c r="M160" s="130"/>
      <c r="N160" s="130"/>
      <c r="O160" s="130"/>
      <c r="P160" s="130"/>
      <c r="Q160" s="130"/>
      <c r="R160" s="130"/>
      <c r="S160" s="130"/>
      <c r="T160" s="130"/>
      <c r="U160" s="130"/>
      <c r="V160" s="130"/>
      <c r="W160" s="130"/>
      <c r="X160" s="130"/>
      <c r="Y160" s="130"/>
      <c r="Z160" s="130"/>
      <c r="AA160" s="130"/>
      <c r="AB160" s="130"/>
      <c r="AC160" s="130"/>
      <c r="AD160" s="130"/>
      <c r="AE160" s="130"/>
      <c r="AF160" s="129"/>
      <c r="AG160" s="64">
        <f t="shared" si="25"/>
        <v>0</v>
      </c>
    </row>
    <row r="161" spans="1:34" ht="18.75" x14ac:dyDescent="0.25">
      <c r="A161" s="330" t="s">
        <v>67</v>
      </c>
      <c r="B161" s="269"/>
      <c r="C161" s="130"/>
      <c r="D161" s="130"/>
      <c r="E161" s="130"/>
      <c r="F161" s="130"/>
      <c r="G161" s="130"/>
      <c r="H161" s="130"/>
      <c r="I161" s="130"/>
      <c r="J161" s="130"/>
      <c r="K161" s="130"/>
      <c r="L161" s="130"/>
      <c r="M161" s="130"/>
      <c r="N161" s="130"/>
      <c r="O161" s="130"/>
      <c r="P161" s="130"/>
      <c r="Q161" s="130"/>
      <c r="R161" s="130"/>
      <c r="S161" s="130"/>
      <c r="T161" s="130"/>
      <c r="U161" s="130"/>
      <c r="V161" s="130"/>
      <c r="W161" s="130"/>
      <c r="X161" s="130"/>
      <c r="Y161" s="130"/>
      <c r="Z161" s="130"/>
      <c r="AA161" s="130"/>
      <c r="AB161" s="130"/>
      <c r="AC161" s="130"/>
      <c r="AD161" s="130"/>
      <c r="AE161" s="130"/>
      <c r="AF161" s="129"/>
      <c r="AG161" s="64">
        <f t="shared" si="25"/>
        <v>0</v>
      </c>
    </row>
    <row r="162" spans="1:34" ht="18.75" x14ac:dyDescent="0.25">
      <c r="A162" s="330" t="s">
        <v>66</v>
      </c>
      <c r="B162" s="269"/>
      <c r="C162" s="130"/>
      <c r="D162" s="130"/>
      <c r="E162" s="130"/>
      <c r="F162" s="130"/>
      <c r="G162" s="130"/>
      <c r="H162" s="130"/>
      <c r="I162" s="130"/>
      <c r="J162" s="130"/>
      <c r="K162" s="130"/>
      <c r="L162" s="130"/>
      <c r="M162" s="130"/>
      <c r="N162" s="130"/>
      <c r="O162" s="130"/>
      <c r="P162" s="130"/>
      <c r="Q162" s="130"/>
      <c r="R162" s="130"/>
      <c r="S162" s="130"/>
      <c r="T162" s="130"/>
      <c r="U162" s="130"/>
      <c r="V162" s="130"/>
      <c r="W162" s="130"/>
      <c r="X162" s="130"/>
      <c r="Y162" s="130"/>
      <c r="Z162" s="130"/>
      <c r="AA162" s="130"/>
      <c r="AB162" s="130"/>
      <c r="AC162" s="130"/>
      <c r="AD162" s="130"/>
      <c r="AE162" s="130"/>
      <c r="AF162" s="129"/>
      <c r="AG162" s="64">
        <f t="shared" si="25"/>
        <v>0</v>
      </c>
    </row>
    <row r="163" spans="1:34" ht="18.75" x14ac:dyDescent="0.25">
      <c r="A163" s="330" t="s">
        <v>65</v>
      </c>
      <c r="B163" s="269"/>
      <c r="C163" s="130"/>
      <c r="D163" s="130"/>
      <c r="E163" s="130"/>
      <c r="F163" s="130"/>
      <c r="G163" s="130"/>
      <c r="H163" s="130"/>
      <c r="I163" s="130"/>
      <c r="J163" s="130"/>
      <c r="K163" s="130"/>
      <c r="L163" s="130"/>
      <c r="M163" s="130"/>
      <c r="N163" s="130"/>
      <c r="O163" s="130"/>
      <c r="P163" s="130"/>
      <c r="Q163" s="130"/>
      <c r="R163" s="130"/>
      <c r="S163" s="130"/>
      <c r="T163" s="130"/>
      <c r="U163" s="130"/>
      <c r="V163" s="130"/>
      <c r="W163" s="130"/>
      <c r="X163" s="130"/>
      <c r="Y163" s="130"/>
      <c r="Z163" s="130"/>
      <c r="AA163" s="130"/>
      <c r="AB163" s="130"/>
      <c r="AC163" s="130"/>
      <c r="AD163" s="130"/>
      <c r="AE163" s="130"/>
      <c r="AF163" s="129"/>
      <c r="AG163" s="64">
        <f t="shared" si="25"/>
        <v>0</v>
      </c>
    </row>
    <row r="164" spans="1:34" ht="18.75" x14ac:dyDescent="0.25">
      <c r="A164" s="330" t="s">
        <v>64</v>
      </c>
      <c r="B164" s="269"/>
      <c r="C164" s="130"/>
      <c r="D164" s="130"/>
      <c r="E164" s="130"/>
      <c r="F164" s="130"/>
      <c r="G164" s="130"/>
      <c r="H164" s="130"/>
      <c r="I164" s="130"/>
      <c r="J164" s="130"/>
      <c r="K164" s="130"/>
      <c r="L164" s="130"/>
      <c r="M164" s="130"/>
      <c r="N164" s="130"/>
      <c r="O164" s="130"/>
      <c r="P164" s="130"/>
      <c r="Q164" s="130"/>
      <c r="R164" s="130"/>
      <c r="S164" s="130"/>
      <c r="T164" s="130"/>
      <c r="U164" s="130"/>
      <c r="V164" s="130"/>
      <c r="W164" s="130"/>
      <c r="X164" s="130"/>
      <c r="Y164" s="130"/>
      <c r="Z164" s="130"/>
      <c r="AA164" s="130"/>
      <c r="AB164" s="130"/>
      <c r="AC164" s="130"/>
      <c r="AD164" s="130"/>
      <c r="AE164" s="130"/>
      <c r="AF164" s="129"/>
      <c r="AG164" s="64">
        <f t="shared" si="25"/>
        <v>0</v>
      </c>
    </row>
    <row r="165" spans="1:34" ht="18.75" x14ac:dyDescent="0.25">
      <c r="A165" s="330" t="s">
        <v>63</v>
      </c>
      <c r="B165" s="269"/>
      <c r="C165" s="130"/>
      <c r="D165" s="130"/>
      <c r="E165" s="130"/>
      <c r="F165" s="130"/>
      <c r="G165" s="130"/>
      <c r="H165" s="130"/>
      <c r="I165" s="130"/>
      <c r="J165" s="130"/>
      <c r="K165" s="130"/>
      <c r="L165" s="130"/>
      <c r="M165" s="130"/>
      <c r="N165" s="130"/>
      <c r="O165" s="130"/>
      <c r="P165" s="130"/>
      <c r="Q165" s="130"/>
      <c r="R165" s="130"/>
      <c r="S165" s="130"/>
      <c r="T165" s="130"/>
      <c r="U165" s="130"/>
      <c r="V165" s="130"/>
      <c r="W165" s="130"/>
      <c r="X165" s="130"/>
      <c r="Y165" s="130"/>
      <c r="Z165" s="130"/>
      <c r="AA165" s="130"/>
      <c r="AB165" s="130"/>
      <c r="AC165" s="130"/>
      <c r="AD165" s="130"/>
      <c r="AE165" s="130"/>
      <c r="AF165" s="129"/>
      <c r="AG165" s="64">
        <f t="shared" si="25"/>
        <v>0</v>
      </c>
    </row>
    <row r="166" spans="1:34" ht="19.5" thickBot="1" x14ac:dyDescent="0.3">
      <c r="A166" s="331" t="s">
        <v>62</v>
      </c>
      <c r="B166" s="270"/>
      <c r="C166" s="127"/>
      <c r="D166" s="127"/>
      <c r="E166" s="127"/>
      <c r="F166" s="127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  <c r="Y166" s="127"/>
      <c r="Z166" s="127"/>
      <c r="AA166" s="127"/>
      <c r="AB166" s="127"/>
      <c r="AC166" s="127"/>
      <c r="AD166" s="127"/>
      <c r="AE166" s="127"/>
      <c r="AF166" s="126"/>
      <c r="AG166" s="10">
        <f t="shared" si="25"/>
        <v>0</v>
      </c>
    </row>
    <row r="167" spans="1:34" ht="18.75" x14ac:dyDescent="0.25">
      <c r="A167" s="332" t="s">
        <v>61</v>
      </c>
      <c r="B167" s="271">
        <f t="shared" ref="B167:AF167" si="28">SUM(B168:B171)</f>
        <v>0</v>
      </c>
      <c r="C167" s="18">
        <f t="shared" si="28"/>
        <v>0</v>
      </c>
      <c r="D167" s="18">
        <f t="shared" si="28"/>
        <v>0</v>
      </c>
      <c r="E167" s="18">
        <f t="shared" si="28"/>
        <v>0</v>
      </c>
      <c r="F167" s="18">
        <f t="shared" si="28"/>
        <v>0</v>
      </c>
      <c r="G167" s="18">
        <f t="shared" si="28"/>
        <v>0</v>
      </c>
      <c r="H167" s="18">
        <f t="shared" si="28"/>
        <v>0</v>
      </c>
      <c r="I167" s="18">
        <f t="shared" si="28"/>
        <v>0</v>
      </c>
      <c r="J167" s="18">
        <f t="shared" si="28"/>
        <v>0</v>
      </c>
      <c r="K167" s="18">
        <f t="shared" si="28"/>
        <v>0</v>
      </c>
      <c r="L167" s="18">
        <f t="shared" si="28"/>
        <v>0</v>
      </c>
      <c r="M167" s="18">
        <f t="shared" si="28"/>
        <v>0</v>
      </c>
      <c r="N167" s="18">
        <f t="shared" si="28"/>
        <v>0</v>
      </c>
      <c r="O167" s="18">
        <f t="shared" si="28"/>
        <v>0</v>
      </c>
      <c r="P167" s="18">
        <f t="shared" si="28"/>
        <v>0</v>
      </c>
      <c r="Q167" s="18">
        <f t="shared" si="28"/>
        <v>0</v>
      </c>
      <c r="R167" s="18">
        <f t="shared" si="28"/>
        <v>0</v>
      </c>
      <c r="S167" s="18">
        <f t="shared" si="28"/>
        <v>0</v>
      </c>
      <c r="T167" s="18">
        <f t="shared" si="28"/>
        <v>0</v>
      </c>
      <c r="U167" s="18">
        <f t="shared" si="28"/>
        <v>0</v>
      </c>
      <c r="V167" s="18">
        <f t="shared" si="28"/>
        <v>0</v>
      </c>
      <c r="W167" s="18">
        <f t="shared" si="28"/>
        <v>0</v>
      </c>
      <c r="X167" s="18">
        <f t="shared" si="28"/>
        <v>0</v>
      </c>
      <c r="Y167" s="18">
        <f t="shared" si="28"/>
        <v>0</v>
      </c>
      <c r="Z167" s="18">
        <f t="shared" si="28"/>
        <v>0</v>
      </c>
      <c r="AA167" s="18">
        <f t="shared" si="28"/>
        <v>0</v>
      </c>
      <c r="AB167" s="18">
        <f t="shared" si="28"/>
        <v>0</v>
      </c>
      <c r="AC167" s="18">
        <f t="shared" si="28"/>
        <v>0</v>
      </c>
      <c r="AD167" s="18">
        <f t="shared" si="28"/>
        <v>0</v>
      </c>
      <c r="AE167" s="18">
        <f t="shared" si="28"/>
        <v>0</v>
      </c>
      <c r="AF167" s="17">
        <f t="shared" si="28"/>
        <v>0</v>
      </c>
      <c r="AG167" s="7">
        <f t="shared" si="25"/>
        <v>0</v>
      </c>
    </row>
    <row r="168" spans="1:34" ht="18.75" x14ac:dyDescent="0.25">
      <c r="A168" s="334" t="s">
        <v>60</v>
      </c>
      <c r="B168" s="269"/>
      <c r="C168" s="130"/>
      <c r="D168" s="130"/>
      <c r="E168" s="130"/>
      <c r="F168" s="130"/>
      <c r="G168" s="130"/>
      <c r="H168" s="130"/>
      <c r="I168" s="130"/>
      <c r="J168" s="130"/>
      <c r="K168" s="130"/>
      <c r="L168" s="130"/>
      <c r="M168" s="130"/>
      <c r="N168" s="130"/>
      <c r="O168" s="130"/>
      <c r="P168" s="130"/>
      <c r="Q168" s="130"/>
      <c r="R168" s="130"/>
      <c r="S168" s="130"/>
      <c r="T168" s="130"/>
      <c r="U168" s="130"/>
      <c r="V168" s="130"/>
      <c r="W168" s="130"/>
      <c r="X168" s="130"/>
      <c r="Y168" s="130"/>
      <c r="Z168" s="130"/>
      <c r="AA168" s="130"/>
      <c r="AB168" s="130"/>
      <c r="AC168" s="130"/>
      <c r="AD168" s="130"/>
      <c r="AE168" s="130"/>
      <c r="AF168" s="129"/>
      <c r="AG168" s="64">
        <f t="shared" si="25"/>
        <v>0</v>
      </c>
    </row>
    <row r="169" spans="1:34" ht="18.75" x14ac:dyDescent="0.25">
      <c r="A169" s="334" t="s">
        <v>59</v>
      </c>
      <c r="B169" s="269"/>
      <c r="C169" s="130"/>
      <c r="D169" s="130"/>
      <c r="E169" s="130"/>
      <c r="F169" s="130"/>
      <c r="G169" s="130"/>
      <c r="H169" s="130"/>
      <c r="I169" s="130"/>
      <c r="J169" s="130"/>
      <c r="K169" s="130"/>
      <c r="L169" s="130"/>
      <c r="M169" s="130"/>
      <c r="N169" s="130"/>
      <c r="O169" s="130"/>
      <c r="P169" s="130"/>
      <c r="Q169" s="130"/>
      <c r="R169" s="130"/>
      <c r="S169" s="130"/>
      <c r="T169" s="130"/>
      <c r="U169" s="130"/>
      <c r="V169" s="130"/>
      <c r="W169" s="130"/>
      <c r="X169" s="130"/>
      <c r="Y169" s="130"/>
      <c r="Z169" s="130"/>
      <c r="AA169" s="130"/>
      <c r="AB169" s="130"/>
      <c r="AC169" s="130"/>
      <c r="AD169" s="130"/>
      <c r="AE169" s="130"/>
      <c r="AF169" s="129"/>
      <c r="AG169" s="64">
        <f t="shared" si="25"/>
        <v>0</v>
      </c>
    </row>
    <row r="170" spans="1:34" ht="18.75" x14ac:dyDescent="0.25">
      <c r="A170" s="334" t="s">
        <v>58</v>
      </c>
      <c r="B170" s="269"/>
      <c r="C170" s="130"/>
      <c r="D170" s="130"/>
      <c r="E170" s="130"/>
      <c r="F170" s="130"/>
      <c r="G170" s="130"/>
      <c r="H170" s="130"/>
      <c r="I170" s="130"/>
      <c r="J170" s="130"/>
      <c r="K170" s="130"/>
      <c r="L170" s="130"/>
      <c r="M170" s="130"/>
      <c r="N170" s="130"/>
      <c r="O170" s="130"/>
      <c r="P170" s="130"/>
      <c r="Q170" s="130"/>
      <c r="R170" s="130"/>
      <c r="S170" s="130"/>
      <c r="T170" s="130"/>
      <c r="U170" s="130"/>
      <c r="V170" s="130"/>
      <c r="W170" s="130"/>
      <c r="X170" s="130"/>
      <c r="Y170" s="130"/>
      <c r="Z170" s="130"/>
      <c r="AA170" s="130"/>
      <c r="AB170" s="130"/>
      <c r="AC170" s="130"/>
      <c r="AD170" s="130"/>
      <c r="AE170" s="130"/>
      <c r="AF170" s="129"/>
      <c r="AG170" s="64">
        <f t="shared" si="25"/>
        <v>0</v>
      </c>
    </row>
    <row r="171" spans="1:34" ht="19.5" thickBot="1" x14ac:dyDescent="0.3">
      <c r="A171" s="335" t="s">
        <v>57</v>
      </c>
      <c r="B171" s="270"/>
      <c r="C171" s="127"/>
      <c r="D171" s="127"/>
      <c r="E171" s="127"/>
      <c r="F171" s="127"/>
      <c r="G171" s="127"/>
      <c r="H171" s="127"/>
      <c r="I171" s="127"/>
      <c r="J171" s="127"/>
      <c r="K171" s="127"/>
      <c r="L171" s="127"/>
      <c r="M171" s="127"/>
      <c r="N171" s="127"/>
      <c r="O171" s="127"/>
      <c r="P171" s="127"/>
      <c r="Q171" s="127"/>
      <c r="R171" s="127"/>
      <c r="S171" s="127"/>
      <c r="T171" s="127"/>
      <c r="U171" s="127"/>
      <c r="V171" s="127"/>
      <c r="W171" s="127"/>
      <c r="X171" s="127"/>
      <c r="Y171" s="127"/>
      <c r="Z171" s="127"/>
      <c r="AA171" s="127"/>
      <c r="AB171" s="127"/>
      <c r="AC171" s="127"/>
      <c r="AD171" s="127"/>
      <c r="AE171" s="127"/>
      <c r="AF171" s="126"/>
      <c r="AG171" s="10">
        <f t="shared" si="25"/>
        <v>0</v>
      </c>
    </row>
    <row r="172" spans="1:34" ht="19.5" thickBot="1" x14ac:dyDescent="0.3">
      <c r="A172" s="336" t="s">
        <v>56</v>
      </c>
      <c r="B172" s="273"/>
      <c r="C172" s="124"/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  <c r="S172" s="124"/>
      <c r="T172" s="124"/>
      <c r="U172" s="124"/>
      <c r="V172" s="124"/>
      <c r="W172" s="124"/>
      <c r="X172" s="124"/>
      <c r="Y172" s="124"/>
      <c r="Z172" s="124"/>
      <c r="AA172" s="124"/>
      <c r="AB172" s="124"/>
      <c r="AC172" s="124"/>
      <c r="AD172" s="124"/>
      <c r="AE172" s="124"/>
      <c r="AF172" s="123"/>
      <c r="AG172" s="122">
        <f t="shared" si="25"/>
        <v>0</v>
      </c>
    </row>
    <row r="173" spans="1:34" ht="19.5" thickBot="1" x14ac:dyDescent="0.3">
      <c r="A173" s="299" t="s">
        <v>55</v>
      </c>
      <c r="B173" s="247">
        <f>SUM(B174:B176)</f>
        <v>0</v>
      </c>
      <c r="C173" s="120">
        <f t="shared" ref="C173:AF173" si="29">SUM(C174:C176)</f>
        <v>0</v>
      </c>
      <c r="D173" s="120">
        <f t="shared" si="29"/>
        <v>0</v>
      </c>
      <c r="E173" s="120">
        <f t="shared" si="29"/>
        <v>0</v>
      </c>
      <c r="F173" s="120">
        <f t="shared" si="29"/>
        <v>0</v>
      </c>
      <c r="G173" s="120">
        <f t="shared" si="29"/>
        <v>0</v>
      </c>
      <c r="H173" s="120">
        <f t="shared" si="29"/>
        <v>0</v>
      </c>
      <c r="I173" s="120">
        <f t="shared" si="29"/>
        <v>0</v>
      </c>
      <c r="J173" s="120">
        <f t="shared" si="29"/>
        <v>0</v>
      </c>
      <c r="K173" s="120">
        <f t="shared" si="29"/>
        <v>0</v>
      </c>
      <c r="L173" s="120">
        <f t="shared" si="29"/>
        <v>0</v>
      </c>
      <c r="M173" s="120">
        <f t="shared" si="29"/>
        <v>0</v>
      </c>
      <c r="N173" s="120">
        <f t="shared" si="29"/>
        <v>0</v>
      </c>
      <c r="O173" s="120">
        <f t="shared" si="29"/>
        <v>0</v>
      </c>
      <c r="P173" s="120">
        <f t="shared" si="29"/>
        <v>0</v>
      </c>
      <c r="Q173" s="120">
        <f t="shared" si="29"/>
        <v>0</v>
      </c>
      <c r="R173" s="120">
        <f t="shared" si="29"/>
        <v>0</v>
      </c>
      <c r="S173" s="120">
        <f t="shared" si="29"/>
        <v>0</v>
      </c>
      <c r="T173" s="120">
        <f t="shared" si="29"/>
        <v>0</v>
      </c>
      <c r="U173" s="120">
        <f t="shared" si="29"/>
        <v>0</v>
      </c>
      <c r="V173" s="120">
        <f t="shared" si="29"/>
        <v>0</v>
      </c>
      <c r="W173" s="120">
        <f t="shared" si="29"/>
        <v>0</v>
      </c>
      <c r="X173" s="120">
        <f t="shared" si="29"/>
        <v>0</v>
      </c>
      <c r="Y173" s="120">
        <f t="shared" si="29"/>
        <v>0</v>
      </c>
      <c r="Z173" s="120">
        <f t="shared" si="29"/>
        <v>0</v>
      </c>
      <c r="AA173" s="120">
        <f t="shared" si="29"/>
        <v>0</v>
      </c>
      <c r="AB173" s="120">
        <f t="shared" si="29"/>
        <v>0</v>
      </c>
      <c r="AC173" s="120">
        <f t="shared" si="29"/>
        <v>0</v>
      </c>
      <c r="AD173" s="120">
        <f t="shared" si="29"/>
        <v>0</v>
      </c>
      <c r="AE173" s="120">
        <f t="shared" si="29"/>
        <v>0</v>
      </c>
      <c r="AF173" s="119">
        <f t="shared" si="29"/>
        <v>0</v>
      </c>
      <c r="AG173" s="118">
        <f t="shared" si="25"/>
        <v>0</v>
      </c>
      <c r="AH173" s="98" t="s">
        <v>54</v>
      </c>
    </row>
    <row r="174" spans="1:34" ht="18.75" x14ac:dyDescent="0.25">
      <c r="A174" s="337" t="s">
        <v>53</v>
      </c>
      <c r="B174" s="274"/>
      <c r="C174" s="116"/>
      <c r="D174" s="116"/>
      <c r="E174" s="116"/>
      <c r="F174" s="116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6"/>
      <c r="V174" s="116"/>
      <c r="W174" s="116"/>
      <c r="X174" s="116"/>
      <c r="Y174" s="116"/>
      <c r="Z174" s="116"/>
      <c r="AA174" s="116"/>
      <c r="AB174" s="116"/>
      <c r="AC174" s="116"/>
      <c r="AD174" s="116"/>
      <c r="AE174" s="116"/>
      <c r="AF174" s="115"/>
      <c r="AG174" s="114">
        <f t="shared" si="25"/>
        <v>0</v>
      </c>
      <c r="AH174" s="98"/>
    </row>
    <row r="175" spans="1:34" ht="18.75" x14ac:dyDescent="0.25">
      <c r="A175" s="338" t="s">
        <v>52</v>
      </c>
      <c r="B175" s="275"/>
      <c r="C175" s="112"/>
      <c r="D175" s="112"/>
      <c r="E175" s="112"/>
      <c r="F175" s="112"/>
      <c r="G175" s="112"/>
      <c r="H175" s="112"/>
      <c r="I175" s="112"/>
      <c r="J175" s="112"/>
      <c r="K175" s="112"/>
      <c r="L175" s="112"/>
      <c r="M175" s="112"/>
      <c r="N175" s="112"/>
      <c r="O175" s="112"/>
      <c r="P175" s="112"/>
      <c r="Q175" s="112"/>
      <c r="R175" s="112"/>
      <c r="S175" s="112"/>
      <c r="T175" s="112"/>
      <c r="U175" s="112"/>
      <c r="V175" s="112"/>
      <c r="W175" s="112"/>
      <c r="X175" s="112"/>
      <c r="Y175" s="112"/>
      <c r="Z175" s="112"/>
      <c r="AA175" s="112"/>
      <c r="AB175" s="112"/>
      <c r="AC175" s="112"/>
      <c r="AD175" s="112"/>
      <c r="AE175" s="112"/>
      <c r="AF175" s="111"/>
      <c r="AG175" s="110">
        <f t="shared" si="25"/>
        <v>0</v>
      </c>
      <c r="AH175" s="98"/>
    </row>
    <row r="176" spans="1:34" ht="19.5" thickBot="1" x14ac:dyDescent="0.3">
      <c r="A176" s="371" t="s">
        <v>168</v>
      </c>
      <c r="B176" s="372"/>
      <c r="C176" s="373"/>
      <c r="D176" s="373"/>
      <c r="E176" s="373"/>
      <c r="F176" s="373"/>
      <c r="G176" s="373"/>
      <c r="H176" s="373"/>
      <c r="I176" s="373"/>
      <c r="J176" s="373"/>
      <c r="K176" s="373"/>
      <c r="L176" s="373"/>
      <c r="M176" s="373"/>
      <c r="N176" s="373"/>
      <c r="O176" s="373"/>
      <c r="P176" s="373"/>
      <c r="Q176" s="373"/>
      <c r="R176" s="373"/>
      <c r="S176" s="373"/>
      <c r="T176" s="373"/>
      <c r="U176" s="373"/>
      <c r="V176" s="373"/>
      <c r="W176" s="373"/>
      <c r="X176" s="373"/>
      <c r="Y176" s="373"/>
      <c r="Z176" s="373"/>
      <c r="AA176" s="373"/>
      <c r="AB176" s="373"/>
      <c r="AC176" s="373"/>
      <c r="AD176" s="373"/>
      <c r="AE176" s="373"/>
      <c r="AF176" s="374"/>
      <c r="AG176" s="375">
        <f t="shared" si="25"/>
        <v>0</v>
      </c>
      <c r="AH176" s="98"/>
    </row>
    <row r="177" spans="1:34" ht="19.5" thickBot="1" x14ac:dyDescent="0.3">
      <c r="A177" s="312" t="s">
        <v>51</v>
      </c>
      <c r="B177" s="376">
        <f t="shared" ref="B177:AF177" si="30">SUM(B178:B179)</f>
        <v>0</v>
      </c>
      <c r="C177" s="377">
        <f t="shared" si="30"/>
        <v>0</v>
      </c>
      <c r="D177" s="377">
        <f t="shared" si="30"/>
        <v>0</v>
      </c>
      <c r="E177" s="377">
        <f t="shared" si="30"/>
        <v>0</v>
      </c>
      <c r="F177" s="377">
        <f t="shared" si="30"/>
        <v>0</v>
      </c>
      <c r="G177" s="377">
        <f t="shared" si="30"/>
        <v>0</v>
      </c>
      <c r="H177" s="377">
        <f t="shared" si="30"/>
        <v>0</v>
      </c>
      <c r="I177" s="377">
        <f t="shared" si="30"/>
        <v>0</v>
      </c>
      <c r="J177" s="377">
        <f t="shared" si="30"/>
        <v>0</v>
      </c>
      <c r="K177" s="377">
        <f t="shared" si="30"/>
        <v>0</v>
      </c>
      <c r="L177" s="377">
        <f t="shared" si="30"/>
        <v>0</v>
      </c>
      <c r="M177" s="377">
        <f t="shared" si="30"/>
        <v>0</v>
      </c>
      <c r="N177" s="377">
        <f t="shared" si="30"/>
        <v>0</v>
      </c>
      <c r="O177" s="377">
        <f t="shared" si="30"/>
        <v>0</v>
      </c>
      <c r="P177" s="377">
        <f t="shared" si="30"/>
        <v>0</v>
      </c>
      <c r="Q177" s="377">
        <f t="shared" si="30"/>
        <v>0</v>
      </c>
      <c r="R177" s="377">
        <f t="shared" si="30"/>
        <v>0</v>
      </c>
      <c r="S177" s="377">
        <f t="shared" si="30"/>
        <v>0</v>
      </c>
      <c r="T177" s="377">
        <f t="shared" si="30"/>
        <v>0</v>
      </c>
      <c r="U177" s="377">
        <f t="shared" si="30"/>
        <v>0</v>
      </c>
      <c r="V177" s="377">
        <f t="shared" si="30"/>
        <v>0</v>
      </c>
      <c r="W177" s="377">
        <f t="shared" si="30"/>
        <v>0</v>
      </c>
      <c r="X177" s="377">
        <f t="shared" si="30"/>
        <v>0</v>
      </c>
      <c r="Y177" s="377">
        <f t="shared" si="30"/>
        <v>0</v>
      </c>
      <c r="Z177" s="377">
        <f t="shared" si="30"/>
        <v>0</v>
      </c>
      <c r="AA177" s="377">
        <f t="shared" si="30"/>
        <v>0</v>
      </c>
      <c r="AB177" s="377">
        <f t="shared" si="30"/>
        <v>0</v>
      </c>
      <c r="AC177" s="377">
        <f t="shared" si="30"/>
        <v>0</v>
      </c>
      <c r="AD177" s="377">
        <f t="shared" si="30"/>
        <v>0</v>
      </c>
      <c r="AE177" s="377">
        <f t="shared" si="30"/>
        <v>0</v>
      </c>
      <c r="AF177" s="378">
        <f t="shared" si="30"/>
        <v>0</v>
      </c>
      <c r="AG177" s="379">
        <f t="shared" si="25"/>
        <v>0</v>
      </c>
      <c r="AH177" s="98" t="s">
        <v>48</v>
      </c>
    </row>
    <row r="178" spans="1:34" ht="18.75" x14ac:dyDescent="0.25">
      <c r="A178" s="340" t="s">
        <v>50</v>
      </c>
      <c r="B178" s="277"/>
      <c r="C178" s="105"/>
      <c r="D178" s="105"/>
      <c r="E178" s="105"/>
      <c r="F178" s="105"/>
      <c r="G178" s="105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  <c r="AA178" s="105"/>
      <c r="AB178" s="105"/>
      <c r="AC178" s="105"/>
      <c r="AD178" s="105"/>
      <c r="AE178" s="105"/>
      <c r="AF178" s="104"/>
      <c r="AG178" s="103">
        <f t="shared" si="25"/>
        <v>0</v>
      </c>
      <c r="AH178" s="98" t="s">
        <v>48</v>
      </c>
    </row>
    <row r="179" spans="1:34" ht="19.5" thickBot="1" x14ac:dyDescent="0.3">
      <c r="A179" s="313" t="s">
        <v>49</v>
      </c>
      <c r="B179" s="278"/>
      <c r="C179" s="101"/>
      <c r="D179" s="101"/>
      <c r="E179" s="101"/>
      <c r="F179" s="101"/>
      <c r="G179" s="101"/>
      <c r="H179" s="101"/>
      <c r="I179" s="101"/>
      <c r="J179" s="101"/>
      <c r="K179" s="101"/>
      <c r="L179" s="101"/>
      <c r="M179" s="101"/>
      <c r="N179" s="101"/>
      <c r="O179" s="101"/>
      <c r="P179" s="101"/>
      <c r="Q179" s="101"/>
      <c r="R179" s="101"/>
      <c r="S179" s="101"/>
      <c r="T179" s="101"/>
      <c r="U179" s="101"/>
      <c r="V179" s="101"/>
      <c r="W179" s="101"/>
      <c r="X179" s="101"/>
      <c r="Y179" s="101"/>
      <c r="Z179" s="101"/>
      <c r="AA179" s="101"/>
      <c r="AB179" s="101"/>
      <c r="AC179" s="101"/>
      <c r="AD179" s="101"/>
      <c r="AE179" s="101"/>
      <c r="AF179" s="100"/>
      <c r="AG179" s="99">
        <f t="shared" si="25"/>
        <v>0</v>
      </c>
      <c r="AH179" s="98" t="s">
        <v>48</v>
      </c>
    </row>
    <row r="180" spans="1:34" ht="18.75" x14ac:dyDescent="0.25">
      <c r="A180" s="341" t="s">
        <v>47</v>
      </c>
      <c r="B180" s="279"/>
      <c r="C180" s="96"/>
      <c r="D180" s="96"/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  <c r="AA180" s="96"/>
      <c r="AB180" s="96"/>
      <c r="AC180" s="96"/>
      <c r="AD180" s="96"/>
      <c r="AE180" s="96"/>
      <c r="AF180" s="95"/>
      <c r="AG180" s="94">
        <f t="shared" ref="AG180:AG211" si="31">SUM(B180:AF180)</f>
        <v>0</v>
      </c>
    </row>
    <row r="181" spans="1:34" ht="19.5" thickBot="1" x14ac:dyDescent="0.3">
      <c r="A181" s="342" t="s">
        <v>46</v>
      </c>
      <c r="B181" s="280"/>
      <c r="C181" s="92"/>
      <c r="D181" s="92"/>
      <c r="E181" s="92"/>
      <c r="F181" s="92"/>
      <c r="G181" s="92"/>
      <c r="H181" s="92"/>
      <c r="I181" s="92"/>
      <c r="J181" s="92"/>
      <c r="K181" s="92"/>
      <c r="L181" s="92"/>
      <c r="M181" s="92"/>
      <c r="N181" s="92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2"/>
      <c r="AA181" s="92"/>
      <c r="AB181" s="92"/>
      <c r="AC181" s="92"/>
      <c r="AD181" s="92"/>
      <c r="AE181" s="92"/>
      <c r="AF181" s="91"/>
      <c r="AG181" s="90">
        <f t="shared" si="31"/>
        <v>0</v>
      </c>
    </row>
    <row r="182" spans="1:34" ht="19.5" thickBot="1" x14ac:dyDescent="0.3">
      <c r="A182" s="343" t="s">
        <v>45</v>
      </c>
      <c r="B182" s="281">
        <f t="shared" ref="B182:AF182" si="32">SUM(B183:B208)</f>
        <v>0</v>
      </c>
      <c r="C182" s="88">
        <f t="shared" si="32"/>
        <v>0</v>
      </c>
      <c r="D182" s="88">
        <f t="shared" si="32"/>
        <v>0</v>
      </c>
      <c r="E182" s="88">
        <f t="shared" si="32"/>
        <v>0</v>
      </c>
      <c r="F182" s="88">
        <f t="shared" si="32"/>
        <v>0</v>
      </c>
      <c r="G182" s="88">
        <f t="shared" si="32"/>
        <v>0</v>
      </c>
      <c r="H182" s="88">
        <f t="shared" si="32"/>
        <v>0</v>
      </c>
      <c r="I182" s="88">
        <f t="shared" si="32"/>
        <v>0</v>
      </c>
      <c r="J182" s="88">
        <f t="shared" si="32"/>
        <v>0</v>
      </c>
      <c r="K182" s="88">
        <f t="shared" si="32"/>
        <v>0</v>
      </c>
      <c r="L182" s="88">
        <f t="shared" si="32"/>
        <v>0</v>
      </c>
      <c r="M182" s="88">
        <f t="shared" si="32"/>
        <v>0</v>
      </c>
      <c r="N182" s="88">
        <f t="shared" si="32"/>
        <v>0</v>
      </c>
      <c r="O182" s="88">
        <f t="shared" si="32"/>
        <v>0</v>
      </c>
      <c r="P182" s="88">
        <f t="shared" si="32"/>
        <v>0</v>
      </c>
      <c r="Q182" s="88">
        <f t="shared" si="32"/>
        <v>0</v>
      </c>
      <c r="R182" s="88">
        <f t="shared" si="32"/>
        <v>0</v>
      </c>
      <c r="S182" s="88">
        <f t="shared" si="32"/>
        <v>0</v>
      </c>
      <c r="T182" s="88">
        <f t="shared" si="32"/>
        <v>0</v>
      </c>
      <c r="U182" s="88">
        <f t="shared" si="32"/>
        <v>0</v>
      </c>
      <c r="V182" s="88">
        <f t="shared" si="32"/>
        <v>0</v>
      </c>
      <c r="W182" s="88">
        <f t="shared" si="32"/>
        <v>0</v>
      </c>
      <c r="X182" s="88">
        <f t="shared" si="32"/>
        <v>0</v>
      </c>
      <c r="Y182" s="88">
        <f t="shared" si="32"/>
        <v>0</v>
      </c>
      <c r="Z182" s="88">
        <f t="shared" si="32"/>
        <v>0</v>
      </c>
      <c r="AA182" s="88">
        <f t="shared" si="32"/>
        <v>0</v>
      </c>
      <c r="AB182" s="88">
        <f t="shared" si="32"/>
        <v>0</v>
      </c>
      <c r="AC182" s="88">
        <f t="shared" si="32"/>
        <v>0</v>
      </c>
      <c r="AD182" s="88">
        <f t="shared" si="32"/>
        <v>0</v>
      </c>
      <c r="AE182" s="88">
        <f t="shared" si="32"/>
        <v>0</v>
      </c>
      <c r="AF182" s="87">
        <f t="shared" si="32"/>
        <v>0</v>
      </c>
      <c r="AG182" s="86">
        <f t="shared" si="31"/>
        <v>0</v>
      </c>
      <c r="AH182" s="85"/>
    </row>
    <row r="183" spans="1:34" ht="18.75" x14ac:dyDescent="0.25">
      <c r="A183" s="76" t="s">
        <v>44</v>
      </c>
      <c r="B183" s="282"/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  <c r="AA183" s="83"/>
      <c r="AB183" s="83"/>
      <c r="AC183" s="83"/>
      <c r="AD183" s="83"/>
      <c r="AE183" s="83"/>
      <c r="AF183" s="82"/>
      <c r="AG183" s="11">
        <f t="shared" si="31"/>
        <v>0</v>
      </c>
    </row>
    <row r="184" spans="1:34" ht="18.75" x14ac:dyDescent="0.25">
      <c r="A184" s="76" t="s">
        <v>43</v>
      </c>
      <c r="B184" s="283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  <c r="AA184" s="68"/>
      <c r="AB184" s="68"/>
      <c r="AC184" s="68"/>
      <c r="AD184" s="68"/>
      <c r="AE184" s="68"/>
      <c r="AF184" s="67"/>
      <c r="AG184" s="64">
        <f t="shared" si="31"/>
        <v>0</v>
      </c>
    </row>
    <row r="185" spans="1:34" ht="18.75" x14ac:dyDescent="0.25">
      <c r="A185" s="76" t="s">
        <v>42</v>
      </c>
      <c r="B185" s="283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  <c r="AB185" s="68"/>
      <c r="AC185" s="68"/>
      <c r="AD185" s="68"/>
      <c r="AE185" s="68"/>
      <c r="AF185" s="67"/>
      <c r="AG185" s="64">
        <f t="shared" si="31"/>
        <v>0</v>
      </c>
    </row>
    <row r="186" spans="1:34" ht="18.75" x14ac:dyDescent="0.25">
      <c r="A186" s="76" t="s">
        <v>41</v>
      </c>
      <c r="B186" s="283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  <c r="AA186" s="68"/>
      <c r="AB186" s="68"/>
      <c r="AC186" s="68"/>
      <c r="AD186" s="68"/>
      <c r="AE186" s="68"/>
      <c r="AF186" s="67"/>
      <c r="AG186" s="64">
        <f t="shared" si="31"/>
        <v>0</v>
      </c>
    </row>
    <row r="187" spans="1:34" s="77" customFormat="1" ht="18.75" x14ac:dyDescent="0.25">
      <c r="A187" s="81" t="s">
        <v>40</v>
      </c>
      <c r="B187" s="284"/>
      <c r="C187" s="80"/>
      <c r="D187" s="80"/>
      <c r="E187" s="80"/>
      <c r="F187" s="80"/>
      <c r="G187" s="80"/>
      <c r="H187" s="80"/>
      <c r="I187" s="80"/>
      <c r="J187" s="80"/>
      <c r="K187" s="80"/>
      <c r="L187" s="80"/>
      <c r="M187" s="80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  <c r="AA187" s="79"/>
      <c r="AB187" s="79"/>
      <c r="AC187" s="79"/>
      <c r="AD187" s="79"/>
      <c r="AE187" s="79"/>
      <c r="AF187" s="78"/>
      <c r="AG187" s="21">
        <f t="shared" si="31"/>
        <v>0</v>
      </c>
    </row>
    <row r="188" spans="1:34" ht="18.75" x14ac:dyDescent="0.25">
      <c r="A188" s="76" t="s">
        <v>39</v>
      </c>
      <c r="B188" s="283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  <c r="AA188" s="68"/>
      <c r="AB188" s="68"/>
      <c r="AC188" s="68"/>
      <c r="AD188" s="68"/>
      <c r="AE188" s="68"/>
      <c r="AF188" s="67"/>
      <c r="AG188" s="64">
        <f t="shared" si="31"/>
        <v>0</v>
      </c>
    </row>
    <row r="189" spans="1:34" ht="18.75" x14ac:dyDescent="0.25">
      <c r="A189" s="76" t="s">
        <v>38</v>
      </c>
      <c r="B189" s="283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  <c r="AA189" s="68"/>
      <c r="AB189" s="68"/>
      <c r="AC189" s="68"/>
      <c r="AD189" s="68"/>
      <c r="AE189" s="68"/>
      <c r="AF189" s="67"/>
      <c r="AG189" s="64">
        <f t="shared" si="31"/>
        <v>0</v>
      </c>
    </row>
    <row r="190" spans="1:34" ht="18.75" x14ac:dyDescent="0.25">
      <c r="A190" s="76" t="s">
        <v>37</v>
      </c>
      <c r="B190" s="283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  <c r="AA190" s="68"/>
      <c r="AB190" s="68"/>
      <c r="AC190" s="68"/>
      <c r="AD190" s="68"/>
      <c r="AE190" s="68"/>
      <c r="AF190" s="67"/>
      <c r="AG190" s="64">
        <f t="shared" si="31"/>
        <v>0</v>
      </c>
    </row>
    <row r="191" spans="1:34" ht="18.75" x14ac:dyDescent="0.25">
      <c r="A191" s="76" t="s">
        <v>36</v>
      </c>
      <c r="B191" s="283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  <c r="AA191" s="68"/>
      <c r="AB191" s="68"/>
      <c r="AC191" s="68"/>
      <c r="AD191" s="68"/>
      <c r="AE191" s="68"/>
      <c r="AF191" s="67"/>
      <c r="AG191" s="64">
        <f t="shared" si="31"/>
        <v>0</v>
      </c>
    </row>
    <row r="192" spans="1:34" ht="18.75" x14ac:dyDescent="0.25">
      <c r="A192" s="66" t="s">
        <v>35</v>
      </c>
      <c r="B192" s="283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  <c r="AA192" s="68"/>
      <c r="AB192" s="68"/>
      <c r="AC192" s="68"/>
      <c r="AD192" s="68"/>
      <c r="AE192" s="68"/>
      <c r="AF192" s="67"/>
      <c r="AG192" s="64">
        <f t="shared" si="31"/>
        <v>0</v>
      </c>
    </row>
    <row r="193" spans="1:33" ht="18.75" x14ac:dyDescent="0.25">
      <c r="A193" s="66" t="s">
        <v>34</v>
      </c>
      <c r="B193" s="283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  <c r="AA193" s="68"/>
      <c r="AB193" s="68"/>
      <c r="AC193" s="68"/>
      <c r="AD193" s="68"/>
      <c r="AE193" s="68"/>
      <c r="AF193" s="67"/>
      <c r="AG193" s="64">
        <f t="shared" si="31"/>
        <v>0</v>
      </c>
    </row>
    <row r="194" spans="1:33" ht="18.75" x14ac:dyDescent="0.25">
      <c r="A194" s="66" t="s">
        <v>33</v>
      </c>
      <c r="B194" s="283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  <c r="AA194" s="68"/>
      <c r="AB194" s="68"/>
      <c r="AC194" s="68"/>
      <c r="AD194" s="68"/>
      <c r="AE194" s="68"/>
      <c r="AF194" s="67"/>
      <c r="AG194" s="64">
        <f t="shared" si="31"/>
        <v>0</v>
      </c>
    </row>
    <row r="195" spans="1:33" ht="18.75" x14ac:dyDescent="0.25">
      <c r="A195" s="66" t="s">
        <v>32</v>
      </c>
      <c r="B195" s="283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  <c r="AA195" s="68"/>
      <c r="AB195" s="68"/>
      <c r="AC195" s="68"/>
      <c r="AD195" s="68"/>
      <c r="AE195" s="68"/>
      <c r="AF195" s="67"/>
      <c r="AG195" s="64">
        <f t="shared" si="31"/>
        <v>0</v>
      </c>
    </row>
    <row r="196" spans="1:33" ht="18.75" x14ac:dyDescent="0.25">
      <c r="A196" s="75" t="s">
        <v>31</v>
      </c>
      <c r="B196" s="285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  <c r="AA196" s="73"/>
      <c r="AB196" s="73"/>
      <c r="AC196" s="73"/>
      <c r="AD196" s="73"/>
      <c r="AE196" s="73"/>
      <c r="AF196" s="72"/>
      <c r="AG196" s="71">
        <f t="shared" si="31"/>
        <v>0</v>
      </c>
    </row>
    <row r="197" spans="1:33" ht="18.75" x14ac:dyDescent="0.25">
      <c r="A197" s="70" t="s">
        <v>30</v>
      </c>
      <c r="B197" s="283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  <c r="AA197" s="68"/>
      <c r="AB197" s="68"/>
      <c r="AC197" s="68"/>
      <c r="AD197" s="68"/>
      <c r="AE197" s="68"/>
      <c r="AF197" s="67"/>
      <c r="AG197" s="64">
        <f t="shared" si="31"/>
        <v>0</v>
      </c>
    </row>
    <row r="198" spans="1:33" ht="18.75" x14ac:dyDescent="0.25">
      <c r="A198" s="70" t="s">
        <v>29</v>
      </c>
      <c r="B198" s="283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  <c r="AA198" s="68"/>
      <c r="AB198" s="68"/>
      <c r="AC198" s="68"/>
      <c r="AD198" s="68"/>
      <c r="AE198" s="68"/>
      <c r="AF198" s="67"/>
      <c r="AG198" s="64">
        <f t="shared" si="31"/>
        <v>0</v>
      </c>
    </row>
    <row r="199" spans="1:33" ht="18.75" x14ac:dyDescent="0.25">
      <c r="A199" s="70" t="s">
        <v>28</v>
      </c>
      <c r="B199" s="283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  <c r="AA199" s="68"/>
      <c r="AB199" s="68"/>
      <c r="AC199" s="68"/>
      <c r="AD199" s="68"/>
      <c r="AE199" s="68"/>
      <c r="AF199" s="67"/>
      <c r="AG199" s="64">
        <f t="shared" si="31"/>
        <v>0</v>
      </c>
    </row>
    <row r="200" spans="1:33" ht="18.75" x14ac:dyDescent="0.25">
      <c r="A200" s="70" t="s">
        <v>27</v>
      </c>
      <c r="B200" s="283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  <c r="AA200" s="68"/>
      <c r="AB200" s="68"/>
      <c r="AC200" s="68"/>
      <c r="AD200" s="68"/>
      <c r="AE200" s="68"/>
      <c r="AF200" s="67"/>
      <c r="AG200" s="64">
        <f t="shared" si="31"/>
        <v>0</v>
      </c>
    </row>
    <row r="201" spans="1:33" ht="18.75" x14ac:dyDescent="0.25">
      <c r="A201" s="70" t="s">
        <v>26</v>
      </c>
      <c r="B201" s="283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  <c r="AA201" s="68"/>
      <c r="AB201" s="68"/>
      <c r="AC201" s="68"/>
      <c r="AD201" s="68"/>
      <c r="AE201" s="68"/>
      <c r="AF201" s="67"/>
      <c r="AG201" s="64">
        <f t="shared" si="31"/>
        <v>0</v>
      </c>
    </row>
    <row r="202" spans="1:33" ht="18.75" x14ac:dyDescent="0.25">
      <c r="A202" s="70" t="s">
        <v>25</v>
      </c>
      <c r="B202" s="283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  <c r="AA202" s="68"/>
      <c r="AB202" s="68"/>
      <c r="AC202" s="68"/>
      <c r="AD202" s="68"/>
      <c r="AE202" s="68"/>
      <c r="AF202" s="67"/>
      <c r="AG202" s="64">
        <f t="shared" si="31"/>
        <v>0</v>
      </c>
    </row>
    <row r="203" spans="1:33" ht="18.75" x14ac:dyDescent="0.25">
      <c r="A203" s="66" t="s">
        <v>24</v>
      </c>
      <c r="B203" s="283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  <c r="AA203" s="68"/>
      <c r="AB203" s="68"/>
      <c r="AC203" s="68"/>
      <c r="AD203" s="68"/>
      <c r="AE203" s="68"/>
      <c r="AF203" s="67"/>
      <c r="AG203" s="64">
        <f t="shared" si="31"/>
        <v>0</v>
      </c>
    </row>
    <row r="204" spans="1:33" ht="18.75" x14ac:dyDescent="0.25">
      <c r="A204" s="66" t="s">
        <v>23</v>
      </c>
      <c r="B204" s="283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  <c r="AA204" s="68"/>
      <c r="AB204" s="68"/>
      <c r="AC204" s="68"/>
      <c r="AD204" s="68"/>
      <c r="AE204" s="68"/>
      <c r="AF204" s="67"/>
      <c r="AG204" s="64">
        <f t="shared" si="31"/>
        <v>0</v>
      </c>
    </row>
    <row r="205" spans="1:33" ht="18.75" x14ac:dyDescent="0.25">
      <c r="A205" s="66" t="s">
        <v>22</v>
      </c>
      <c r="B205" s="283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  <c r="AA205" s="68"/>
      <c r="AB205" s="68"/>
      <c r="AC205" s="68"/>
      <c r="AD205" s="68"/>
      <c r="AE205" s="68"/>
      <c r="AF205" s="67"/>
      <c r="AG205" s="64">
        <f t="shared" si="31"/>
        <v>0</v>
      </c>
    </row>
    <row r="206" spans="1:33" ht="18.75" x14ac:dyDescent="0.25">
      <c r="A206" s="66" t="s">
        <v>21</v>
      </c>
      <c r="B206" s="286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B206" s="61"/>
      <c r="AC206" s="61"/>
      <c r="AD206" s="61"/>
      <c r="AE206" s="61"/>
      <c r="AF206" s="60"/>
      <c r="AG206" s="64">
        <f t="shared" si="31"/>
        <v>0</v>
      </c>
    </row>
    <row r="207" spans="1:33" ht="18.75" x14ac:dyDescent="0.25">
      <c r="A207" s="65" t="s">
        <v>20</v>
      </c>
      <c r="B207" s="286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  <c r="AB207" s="61"/>
      <c r="AC207" s="61"/>
      <c r="AD207" s="61"/>
      <c r="AE207" s="61"/>
      <c r="AF207" s="60"/>
      <c r="AG207" s="64">
        <f t="shared" si="31"/>
        <v>0</v>
      </c>
    </row>
    <row r="208" spans="1:33" ht="19.5" thickBot="1" x14ac:dyDescent="0.3">
      <c r="A208" s="63" t="s">
        <v>19</v>
      </c>
      <c r="B208" s="286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  <c r="AA208" s="61"/>
      <c r="AB208" s="61"/>
      <c r="AC208" s="61"/>
      <c r="AD208" s="61"/>
      <c r="AE208" s="61"/>
      <c r="AF208" s="60"/>
      <c r="AG208" s="10">
        <f t="shared" si="31"/>
        <v>0</v>
      </c>
    </row>
    <row r="209" spans="1:34" ht="19.5" thickBot="1" x14ac:dyDescent="0.3">
      <c r="A209" s="59" t="s">
        <v>18</v>
      </c>
      <c r="B209" s="287">
        <f t="shared" ref="B209:AF209" si="33">SUM(B210:B214)</f>
        <v>0</v>
      </c>
      <c r="C209" s="57">
        <f t="shared" si="33"/>
        <v>0</v>
      </c>
      <c r="D209" s="57">
        <f t="shared" si="33"/>
        <v>0</v>
      </c>
      <c r="E209" s="57">
        <f t="shared" si="33"/>
        <v>0</v>
      </c>
      <c r="F209" s="57">
        <f t="shared" si="33"/>
        <v>0</v>
      </c>
      <c r="G209" s="57">
        <f t="shared" si="33"/>
        <v>0</v>
      </c>
      <c r="H209" s="57">
        <f t="shared" si="33"/>
        <v>0</v>
      </c>
      <c r="I209" s="57">
        <f t="shared" si="33"/>
        <v>0</v>
      </c>
      <c r="J209" s="57">
        <f t="shared" si="33"/>
        <v>0</v>
      </c>
      <c r="K209" s="57">
        <f t="shared" si="33"/>
        <v>0</v>
      </c>
      <c r="L209" s="57">
        <f t="shared" si="33"/>
        <v>0</v>
      </c>
      <c r="M209" s="57">
        <f t="shared" si="33"/>
        <v>0</v>
      </c>
      <c r="N209" s="56">
        <f t="shared" si="33"/>
        <v>0</v>
      </c>
      <c r="O209" s="56">
        <f t="shared" si="33"/>
        <v>0</v>
      </c>
      <c r="P209" s="56">
        <f t="shared" si="33"/>
        <v>0</v>
      </c>
      <c r="Q209" s="56">
        <f t="shared" si="33"/>
        <v>0</v>
      </c>
      <c r="R209" s="56">
        <f t="shared" si="33"/>
        <v>0</v>
      </c>
      <c r="S209" s="56">
        <f t="shared" si="33"/>
        <v>0</v>
      </c>
      <c r="T209" s="56">
        <f t="shared" si="33"/>
        <v>0</v>
      </c>
      <c r="U209" s="56">
        <f t="shared" si="33"/>
        <v>0</v>
      </c>
      <c r="V209" s="56">
        <f t="shared" si="33"/>
        <v>0</v>
      </c>
      <c r="W209" s="56">
        <f t="shared" si="33"/>
        <v>0</v>
      </c>
      <c r="X209" s="56">
        <f t="shared" si="33"/>
        <v>0</v>
      </c>
      <c r="Y209" s="56">
        <f t="shared" si="33"/>
        <v>0</v>
      </c>
      <c r="Z209" s="56">
        <f t="shared" si="33"/>
        <v>0</v>
      </c>
      <c r="AA209" s="56">
        <f t="shared" si="33"/>
        <v>0</v>
      </c>
      <c r="AB209" s="56">
        <f t="shared" si="33"/>
        <v>0</v>
      </c>
      <c r="AC209" s="56">
        <f t="shared" si="33"/>
        <v>0</v>
      </c>
      <c r="AD209" s="56">
        <f t="shared" si="33"/>
        <v>0</v>
      </c>
      <c r="AE209" s="56">
        <f t="shared" si="33"/>
        <v>0</v>
      </c>
      <c r="AF209" s="55">
        <f t="shared" si="33"/>
        <v>0</v>
      </c>
      <c r="AG209" s="54">
        <f t="shared" si="31"/>
        <v>0</v>
      </c>
      <c r="AH209" s="53" t="str">
        <f>IF(AG209&lt;&gt;AG93,"X","")</f>
        <v/>
      </c>
    </row>
    <row r="210" spans="1:34" ht="18.75" x14ac:dyDescent="0.25">
      <c r="A210" s="344" t="s">
        <v>17</v>
      </c>
      <c r="B210" s="288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0"/>
      <c r="AB210" s="50"/>
      <c r="AC210" s="50"/>
      <c r="AD210" s="50"/>
      <c r="AE210" s="50"/>
      <c r="AF210" s="49"/>
      <c r="AG210" s="48">
        <f t="shared" si="31"/>
        <v>0</v>
      </c>
    </row>
    <row r="211" spans="1:34" ht="18.75" x14ac:dyDescent="0.25">
      <c r="A211" s="345" t="s">
        <v>16</v>
      </c>
      <c r="B211" s="289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4"/>
      <c r="AG211" s="43">
        <f t="shared" si="31"/>
        <v>0</v>
      </c>
    </row>
    <row r="212" spans="1:34" ht="18.75" x14ac:dyDescent="0.25">
      <c r="A212" s="345" t="s">
        <v>15</v>
      </c>
      <c r="B212" s="289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4"/>
      <c r="AG212" s="43">
        <f t="shared" ref="AG212:AG223" si="34">SUM(B212:AF212)</f>
        <v>0</v>
      </c>
    </row>
    <row r="213" spans="1:34" ht="18.75" x14ac:dyDescent="0.25">
      <c r="A213" s="345" t="s">
        <v>14</v>
      </c>
      <c r="B213" s="289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4"/>
      <c r="AG213" s="43">
        <f t="shared" si="34"/>
        <v>0</v>
      </c>
    </row>
    <row r="214" spans="1:34" ht="19.5" thickBot="1" x14ac:dyDescent="0.3">
      <c r="A214" s="346" t="s">
        <v>13</v>
      </c>
      <c r="B214" s="290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39"/>
      <c r="AG214" s="38">
        <f t="shared" si="34"/>
        <v>0</v>
      </c>
    </row>
    <row r="215" spans="1:34" ht="19.5" thickBot="1" x14ac:dyDescent="0.3">
      <c r="A215" s="333" t="s">
        <v>12</v>
      </c>
      <c r="B215" s="291">
        <f t="shared" ref="B215:AF215" si="35">SUM(B216:B219)</f>
        <v>0</v>
      </c>
      <c r="C215" s="36">
        <f t="shared" si="35"/>
        <v>0</v>
      </c>
      <c r="D215" s="36">
        <f t="shared" si="35"/>
        <v>0</v>
      </c>
      <c r="E215" s="36">
        <f t="shared" si="35"/>
        <v>0</v>
      </c>
      <c r="F215" s="36">
        <f t="shared" si="35"/>
        <v>0</v>
      </c>
      <c r="G215" s="36">
        <f t="shared" si="35"/>
        <v>0</v>
      </c>
      <c r="H215" s="36">
        <f t="shared" si="35"/>
        <v>0</v>
      </c>
      <c r="I215" s="36">
        <f t="shared" si="35"/>
        <v>0</v>
      </c>
      <c r="J215" s="36">
        <f t="shared" si="35"/>
        <v>0</v>
      </c>
      <c r="K215" s="36">
        <f t="shared" si="35"/>
        <v>0</v>
      </c>
      <c r="L215" s="36">
        <f t="shared" si="35"/>
        <v>0</v>
      </c>
      <c r="M215" s="36">
        <f t="shared" si="35"/>
        <v>0</v>
      </c>
      <c r="N215" s="35">
        <f t="shared" si="35"/>
        <v>0</v>
      </c>
      <c r="O215" s="35">
        <f t="shared" si="35"/>
        <v>0</v>
      </c>
      <c r="P215" s="35">
        <f t="shared" si="35"/>
        <v>0</v>
      </c>
      <c r="Q215" s="35">
        <f t="shared" si="35"/>
        <v>0</v>
      </c>
      <c r="R215" s="35">
        <f t="shared" si="35"/>
        <v>0</v>
      </c>
      <c r="S215" s="35">
        <f t="shared" si="35"/>
        <v>0</v>
      </c>
      <c r="T215" s="35">
        <f t="shared" si="35"/>
        <v>0</v>
      </c>
      <c r="U215" s="35">
        <f t="shared" si="35"/>
        <v>0</v>
      </c>
      <c r="V215" s="35">
        <f t="shared" si="35"/>
        <v>0</v>
      </c>
      <c r="W215" s="35">
        <f t="shared" si="35"/>
        <v>0</v>
      </c>
      <c r="X215" s="35">
        <f t="shared" si="35"/>
        <v>0</v>
      </c>
      <c r="Y215" s="35">
        <f t="shared" si="35"/>
        <v>0</v>
      </c>
      <c r="Z215" s="35">
        <f t="shared" si="35"/>
        <v>0</v>
      </c>
      <c r="AA215" s="35">
        <f t="shared" si="35"/>
        <v>0</v>
      </c>
      <c r="AB215" s="35">
        <f t="shared" si="35"/>
        <v>0</v>
      </c>
      <c r="AC215" s="35">
        <f t="shared" si="35"/>
        <v>0</v>
      </c>
      <c r="AD215" s="35">
        <f t="shared" si="35"/>
        <v>0</v>
      </c>
      <c r="AE215" s="35">
        <f t="shared" si="35"/>
        <v>0</v>
      </c>
      <c r="AF215" s="34">
        <f t="shared" si="35"/>
        <v>0</v>
      </c>
      <c r="AG215" s="33">
        <f t="shared" si="34"/>
        <v>0</v>
      </c>
    </row>
    <row r="216" spans="1:34" ht="18.75" x14ac:dyDescent="0.25">
      <c r="A216" s="81" t="s">
        <v>7</v>
      </c>
      <c r="B216" s="292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29"/>
      <c r="AG216" s="28">
        <f t="shared" si="34"/>
        <v>0</v>
      </c>
    </row>
    <row r="217" spans="1:34" ht="18.75" x14ac:dyDescent="0.25">
      <c r="A217" s="347" t="s">
        <v>11</v>
      </c>
      <c r="B217" s="293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3"/>
      <c r="AG217" s="21">
        <f t="shared" si="34"/>
        <v>0</v>
      </c>
    </row>
    <row r="218" spans="1:34" ht="18.75" x14ac:dyDescent="0.25">
      <c r="A218" s="348" t="s">
        <v>169</v>
      </c>
      <c r="B218" s="293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3"/>
      <c r="AG218" s="21">
        <f t="shared" si="34"/>
        <v>0</v>
      </c>
    </row>
    <row r="219" spans="1:34" ht="19.5" thickBot="1" x14ac:dyDescent="0.3">
      <c r="A219" s="348" t="s">
        <v>8</v>
      </c>
      <c r="B219" s="293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3"/>
      <c r="AG219" s="21">
        <f t="shared" si="34"/>
        <v>0</v>
      </c>
    </row>
    <row r="220" spans="1:34" ht="19.5" thickBot="1" x14ac:dyDescent="0.3">
      <c r="A220" s="327" t="s">
        <v>164</v>
      </c>
      <c r="B220" s="266">
        <f t="shared" ref="B220:AF220" si="36">SUM(B221:B223)</f>
        <v>0</v>
      </c>
      <c r="C220" s="143">
        <f t="shared" si="36"/>
        <v>0</v>
      </c>
      <c r="D220" s="143">
        <f t="shared" si="36"/>
        <v>0</v>
      </c>
      <c r="E220" s="143">
        <f t="shared" si="36"/>
        <v>0</v>
      </c>
      <c r="F220" s="143">
        <f t="shared" si="36"/>
        <v>0</v>
      </c>
      <c r="G220" s="143">
        <f t="shared" si="36"/>
        <v>0</v>
      </c>
      <c r="H220" s="143">
        <f t="shared" si="36"/>
        <v>0</v>
      </c>
      <c r="I220" s="143">
        <f t="shared" si="36"/>
        <v>0</v>
      </c>
      <c r="J220" s="143">
        <f t="shared" si="36"/>
        <v>0</v>
      </c>
      <c r="K220" s="143">
        <f t="shared" si="36"/>
        <v>0</v>
      </c>
      <c r="L220" s="143">
        <f t="shared" si="36"/>
        <v>0</v>
      </c>
      <c r="M220" s="143">
        <f t="shared" si="36"/>
        <v>0</v>
      </c>
      <c r="N220" s="143">
        <f t="shared" si="36"/>
        <v>0</v>
      </c>
      <c r="O220" s="143">
        <f t="shared" si="36"/>
        <v>0</v>
      </c>
      <c r="P220" s="143">
        <f t="shared" si="36"/>
        <v>0</v>
      </c>
      <c r="Q220" s="143">
        <f t="shared" si="36"/>
        <v>0</v>
      </c>
      <c r="R220" s="143">
        <f t="shared" si="36"/>
        <v>0</v>
      </c>
      <c r="S220" s="143">
        <f t="shared" si="36"/>
        <v>0</v>
      </c>
      <c r="T220" s="143">
        <f t="shared" si="36"/>
        <v>0</v>
      </c>
      <c r="U220" s="143">
        <f t="shared" si="36"/>
        <v>0</v>
      </c>
      <c r="V220" s="143">
        <f t="shared" si="36"/>
        <v>0</v>
      </c>
      <c r="W220" s="143">
        <f t="shared" si="36"/>
        <v>0</v>
      </c>
      <c r="X220" s="143">
        <f t="shared" si="36"/>
        <v>0</v>
      </c>
      <c r="Y220" s="143">
        <f t="shared" si="36"/>
        <v>0</v>
      </c>
      <c r="Z220" s="143">
        <f t="shared" si="36"/>
        <v>0</v>
      </c>
      <c r="AA220" s="143">
        <f t="shared" si="36"/>
        <v>0</v>
      </c>
      <c r="AB220" s="143">
        <f t="shared" si="36"/>
        <v>0</v>
      </c>
      <c r="AC220" s="143">
        <f t="shared" si="36"/>
        <v>0</v>
      </c>
      <c r="AD220" s="143">
        <f t="shared" si="36"/>
        <v>0</v>
      </c>
      <c r="AE220" s="143">
        <f t="shared" si="36"/>
        <v>0</v>
      </c>
      <c r="AF220" s="143">
        <f t="shared" si="36"/>
        <v>0</v>
      </c>
      <c r="AG220" s="86">
        <f t="shared" si="34"/>
        <v>0</v>
      </c>
    </row>
    <row r="221" spans="1:34" ht="18.75" x14ac:dyDescent="0.25">
      <c r="A221" s="349" t="s">
        <v>165</v>
      </c>
      <c r="B221" s="355"/>
      <c r="C221" s="218"/>
      <c r="D221" s="218"/>
      <c r="E221" s="218"/>
      <c r="F221" s="218"/>
      <c r="G221" s="218"/>
      <c r="H221" s="218"/>
      <c r="I221" s="218"/>
      <c r="J221" s="218"/>
      <c r="K221" s="218"/>
      <c r="L221" s="218"/>
      <c r="M221" s="218"/>
      <c r="N221" s="218"/>
      <c r="O221" s="218"/>
      <c r="P221" s="218"/>
      <c r="Q221" s="218"/>
      <c r="R221" s="218"/>
      <c r="S221" s="218"/>
      <c r="T221" s="218"/>
      <c r="U221" s="218"/>
      <c r="V221" s="218"/>
      <c r="W221" s="218"/>
      <c r="X221" s="218"/>
      <c r="Y221" s="218"/>
      <c r="Z221" s="218"/>
      <c r="AA221" s="218"/>
      <c r="AB221" s="218"/>
      <c r="AC221" s="218"/>
      <c r="AD221" s="218"/>
      <c r="AE221" s="218"/>
      <c r="AF221" s="218"/>
      <c r="AG221" s="225">
        <f t="shared" si="34"/>
        <v>0</v>
      </c>
    </row>
    <row r="222" spans="1:34" ht="18.75" x14ac:dyDescent="0.25">
      <c r="A222" s="350" t="s">
        <v>166</v>
      </c>
      <c r="B222" s="273"/>
      <c r="C222" s="124"/>
      <c r="D222" s="124"/>
      <c r="E222" s="124"/>
      <c r="F222" s="124"/>
      <c r="G222" s="124"/>
      <c r="H222" s="124"/>
      <c r="I222" s="124"/>
      <c r="J222" s="124"/>
      <c r="K222" s="124"/>
      <c r="L222" s="124"/>
      <c r="M222" s="124"/>
      <c r="N222" s="124"/>
      <c r="O222" s="124"/>
      <c r="P222" s="124"/>
      <c r="Q222" s="124"/>
      <c r="R222" s="124"/>
      <c r="S222" s="124"/>
      <c r="T222" s="124"/>
      <c r="U222" s="124"/>
      <c r="V222" s="124"/>
      <c r="W222" s="124"/>
      <c r="X222" s="124"/>
      <c r="Y222" s="124"/>
      <c r="Z222" s="124"/>
      <c r="AA222" s="124"/>
      <c r="AB222" s="124"/>
      <c r="AC222" s="124"/>
      <c r="AD222" s="124"/>
      <c r="AE222" s="124"/>
      <c r="AF222" s="124"/>
      <c r="AG222" s="122">
        <f t="shared" si="34"/>
        <v>0</v>
      </c>
    </row>
    <row r="223" spans="1:34" ht="19.5" thickBot="1" x14ac:dyDescent="0.3">
      <c r="A223" s="324" t="s">
        <v>167</v>
      </c>
      <c r="B223" s="263"/>
      <c r="C223" s="140"/>
      <c r="D223" s="140"/>
      <c r="E223" s="140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40"/>
      <c r="Y223" s="140"/>
      <c r="Z223" s="140"/>
      <c r="AA223" s="140"/>
      <c r="AB223" s="140"/>
      <c r="AC223" s="140"/>
      <c r="AD223" s="140"/>
      <c r="AE223" s="140"/>
      <c r="AF223" s="140"/>
      <c r="AG223" s="138">
        <f t="shared" si="34"/>
        <v>0</v>
      </c>
    </row>
    <row r="224" spans="1:34" ht="18.75" x14ac:dyDescent="0.25">
      <c r="A224" s="351" t="s">
        <v>4</v>
      </c>
      <c r="B224" s="265">
        <f t="shared" ref="B224:AF224" si="37">SUM(B225:B227)</f>
        <v>0</v>
      </c>
      <c r="C224" s="8">
        <f t="shared" si="37"/>
        <v>0</v>
      </c>
      <c r="D224" s="8">
        <f t="shared" si="37"/>
        <v>0</v>
      </c>
      <c r="E224" s="8">
        <f t="shared" si="37"/>
        <v>0</v>
      </c>
      <c r="F224" s="8">
        <f t="shared" si="37"/>
        <v>0</v>
      </c>
      <c r="G224" s="8">
        <f t="shared" si="37"/>
        <v>0</v>
      </c>
      <c r="H224" s="8">
        <f t="shared" si="37"/>
        <v>0</v>
      </c>
      <c r="I224" s="8">
        <f t="shared" si="37"/>
        <v>0</v>
      </c>
      <c r="J224" s="8">
        <f t="shared" si="37"/>
        <v>0</v>
      </c>
      <c r="K224" s="8">
        <f t="shared" si="37"/>
        <v>0</v>
      </c>
      <c r="L224" s="8">
        <f t="shared" si="37"/>
        <v>0</v>
      </c>
      <c r="M224" s="8">
        <f t="shared" si="37"/>
        <v>0</v>
      </c>
      <c r="N224" s="8">
        <f t="shared" si="37"/>
        <v>0</v>
      </c>
      <c r="O224" s="8">
        <f t="shared" si="37"/>
        <v>0</v>
      </c>
      <c r="P224" s="8">
        <f t="shared" si="37"/>
        <v>0</v>
      </c>
      <c r="Q224" s="8">
        <f t="shared" si="37"/>
        <v>0</v>
      </c>
      <c r="R224" s="8">
        <f t="shared" si="37"/>
        <v>0</v>
      </c>
      <c r="S224" s="8">
        <f t="shared" si="37"/>
        <v>0</v>
      </c>
      <c r="T224" s="8">
        <f t="shared" si="37"/>
        <v>0</v>
      </c>
      <c r="U224" s="8">
        <f t="shared" si="37"/>
        <v>0</v>
      </c>
      <c r="V224" s="8">
        <f t="shared" si="37"/>
        <v>0</v>
      </c>
      <c r="W224" s="8">
        <f t="shared" si="37"/>
        <v>0</v>
      </c>
      <c r="X224" s="8">
        <f t="shared" si="37"/>
        <v>0</v>
      </c>
      <c r="Y224" s="8">
        <f t="shared" si="37"/>
        <v>0</v>
      </c>
      <c r="Z224" s="8">
        <f t="shared" si="37"/>
        <v>0</v>
      </c>
      <c r="AA224" s="8">
        <f t="shared" si="37"/>
        <v>0</v>
      </c>
      <c r="AB224" s="8">
        <f t="shared" si="37"/>
        <v>0</v>
      </c>
      <c r="AC224" s="8">
        <f t="shared" si="37"/>
        <v>0</v>
      </c>
      <c r="AD224" s="8">
        <f t="shared" si="37"/>
        <v>0</v>
      </c>
      <c r="AE224" s="8">
        <f t="shared" si="37"/>
        <v>0</v>
      </c>
      <c r="AF224" s="8">
        <f t="shared" si="37"/>
        <v>0</v>
      </c>
      <c r="AG224" s="7">
        <f t="shared" ref="AG224:AG227" si="38">SUM(B224:AF224)</f>
        <v>0</v>
      </c>
      <c r="AH224" s="406" t="s">
        <v>3</v>
      </c>
    </row>
    <row r="225" spans="1:34" ht="18.75" x14ac:dyDescent="0.25">
      <c r="A225" s="352" t="s">
        <v>2</v>
      </c>
      <c r="B225" s="5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5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4"/>
      <c r="AA225" s="3"/>
      <c r="AB225" s="3"/>
      <c r="AC225" s="3"/>
      <c r="AD225" s="3"/>
      <c r="AE225" s="3"/>
      <c r="AF225" s="2"/>
      <c r="AG225" s="1">
        <f t="shared" si="38"/>
        <v>0</v>
      </c>
      <c r="AH225" s="407"/>
    </row>
    <row r="226" spans="1:34" ht="18.75" x14ac:dyDescent="0.25">
      <c r="A226" s="352" t="s">
        <v>1</v>
      </c>
      <c r="B226" s="5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5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4"/>
      <c r="AA226" s="3"/>
      <c r="AB226" s="3"/>
      <c r="AC226" s="3"/>
      <c r="AD226" s="3"/>
      <c r="AE226" s="3"/>
      <c r="AF226" s="2"/>
      <c r="AG226" s="1">
        <f t="shared" si="38"/>
        <v>0</v>
      </c>
      <c r="AH226" s="407"/>
    </row>
    <row r="227" spans="1:34" ht="19.5" thickBot="1" x14ac:dyDescent="0.3">
      <c r="A227" s="353" t="s">
        <v>0</v>
      </c>
      <c r="B227" s="297"/>
      <c r="C227" s="240"/>
      <c r="D227" s="240"/>
      <c r="E227" s="240"/>
      <c r="F227" s="240"/>
      <c r="G227" s="240"/>
      <c r="H227" s="240"/>
      <c r="I227" s="240"/>
      <c r="J227" s="240"/>
      <c r="K227" s="241"/>
      <c r="L227" s="241"/>
      <c r="M227" s="241"/>
      <c r="N227" s="242"/>
      <c r="O227" s="243"/>
      <c r="P227" s="243"/>
      <c r="Q227" s="243"/>
      <c r="R227" s="243"/>
      <c r="S227" s="243"/>
      <c r="T227" s="243"/>
      <c r="U227" s="243"/>
      <c r="V227" s="243"/>
      <c r="W227" s="243"/>
      <c r="X227" s="243"/>
      <c r="Y227" s="243"/>
      <c r="Z227" s="243"/>
      <c r="AA227" s="243"/>
      <c r="AB227" s="243"/>
      <c r="AC227" s="243"/>
      <c r="AD227" s="243"/>
      <c r="AE227" s="243"/>
      <c r="AF227" s="244"/>
      <c r="AG227" s="10">
        <f t="shared" si="38"/>
        <v>0</v>
      </c>
      <c r="AH227" s="408"/>
    </row>
    <row r="247" ht="18.75" customHeight="1" x14ac:dyDescent="0.25"/>
    <row r="248" ht="18.75" customHeight="1" x14ac:dyDescent="0.25"/>
    <row r="249" ht="18.75" customHeight="1" x14ac:dyDescent="0.25"/>
    <row r="250" ht="18.75" customHeight="1" x14ac:dyDescent="0.25"/>
    <row r="251" ht="18.75" customHeight="1" x14ac:dyDescent="0.25"/>
    <row r="252" ht="18.75" customHeight="1" x14ac:dyDescent="0.25"/>
    <row r="253" ht="18.75" customHeight="1" x14ac:dyDescent="0.25"/>
    <row r="254" ht="18.75" customHeight="1" x14ac:dyDescent="0.25"/>
    <row r="255" ht="18.75" customHeight="1" x14ac:dyDescent="0.25"/>
    <row r="256" ht="18.75" customHeight="1" x14ac:dyDescent="0.25"/>
    <row r="257" ht="18.75" customHeight="1" x14ac:dyDescent="0.25"/>
    <row r="258" ht="19.5" customHeight="1" x14ac:dyDescent="0.25"/>
    <row r="260" ht="18.75" customHeight="1" x14ac:dyDescent="0.25"/>
    <row r="263" ht="18.75" customHeight="1" x14ac:dyDescent="0.25"/>
  </sheetData>
  <dataConsolidate link="1"/>
  <mergeCells count="3">
    <mergeCell ref="A1:AG1"/>
    <mergeCell ref="AI84:AI86"/>
    <mergeCell ref="AH224:AH227"/>
  </mergeCells>
  <conditionalFormatting sqref="B29:AF52">
    <cfRule type="cellIs" dxfId="138" priority="6" operator="lessThan">
      <formula>0</formula>
    </cfRule>
  </conditionalFormatting>
  <conditionalFormatting sqref="D54:D77">
    <cfRule type="cellIs" dxfId="137" priority="2" operator="lessThan">
      <formula>0</formula>
    </cfRule>
  </conditionalFormatting>
  <conditionalFormatting sqref="G54:G77">
    <cfRule type="cellIs" dxfId="136" priority="1" operator="lessThan">
      <formula>0</formula>
    </cfRule>
  </conditionalFormatting>
  <conditionalFormatting sqref="AH81">
    <cfRule type="cellIs" dxfId="135" priority="4" operator="equal">
      <formula>"*"</formula>
    </cfRule>
  </conditionalFormatting>
  <conditionalFormatting sqref="AH84 AH87">
    <cfRule type="cellIs" dxfId="134" priority="5" operator="equal">
      <formula>"*"</formula>
    </cfRule>
  </conditionalFormatting>
  <conditionalFormatting sqref="AH93">
    <cfRule type="cellIs" dxfId="133" priority="10" operator="equal">
      <formula>"*"</formula>
    </cfRule>
  </conditionalFormatting>
  <conditionalFormatting sqref="AH130">
    <cfRule type="cellIs" dxfId="132" priority="8" operator="equal">
      <formula>"*"</formula>
    </cfRule>
  </conditionalFormatting>
  <conditionalFormatting sqref="AH144:AH145">
    <cfRule type="cellIs" dxfId="131" priority="9" operator="equal">
      <formula>"*"</formula>
    </cfRule>
  </conditionalFormatting>
  <conditionalFormatting sqref="AH182">
    <cfRule type="cellIs" dxfId="130" priority="7" operator="equal">
      <formula>"*"</formula>
    </cfRule>
  </conditionalFormatting>
  <conditionalFormatting sqref="AH209">
    <cfRule type="cellIs" dxfId="129" priority="3" operator="equal">
      <formula>"X"</formula>
    </cfRule>
  </conditionalFormatting>
  <dataValidations disablePrompts="1" count="1">
    <dataValidation type="whole" allowBlank="1" showInputMessage="1" showErrorMessage="1" errorTitle="ERROR" error="Por favor ingrese solo Números" sqref="A98:A99 A101:A115" xr:uid="{00000000-0002-0000-0000-000000000000}">
      <formula1>0</formula1>
      <formula2>1000000000</formula2>
    </dataValidation>
  </dataValidation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54BFB-A078-48A2-9B0B-5CE6782BF078}">
  <sheetPr codeName="Hoja2"/>
  <dimension ref="A1:P263"/>
  <sheetViews>
    <sheetView tabSelected="1" zoomScale="80" zoomScaleNormal="80" workbookViewId="0">
      <pane xSplit="1" ySplit="3" topLeftCell="B68" activePane="bottomRight" state="frozen"/>
      <selection activeCell="AG3" sqref="AG3"/>
      <selection pane="topRight" activeCell="AG3" sqref="AG3"/>
      <selection pane="bottomLeft" activeCell="AG3" sqref="AG3"/>
      <selection pane="bottomRight" activeCell="L84" sqref="L84"/>
    </sheetView>
  </sheetViews>
  <sheetFormatPr baseColWidth="10" defaultRowHeight="15" x14ac:dyDescent="0.25"/>
  <cols>
    <col min="1" max="1" width="34.7109375" customWidth="1"/>
    <col min="2" max="13" width="10.7109375" customWidth="1"/>
    <col min="14" max="14" width="11.140625" customWidth="1"/>
    <col min="15" max="15" width="12.42578125" customWidth="1"/>
  </cols>
  <sheetData>
    <row r="1" spans="1:14" ht="21.75" thickBot="1" x14ac:dyDescent="0.3">
      <c r="A1" s="400"/>
      <c r="B1" s="401"/>
      <c r="C1" s="401"/>
      <c r="D1" s="401"/>
      <c r="E1" s="401"/>
      <c r="F1" s="401"/>
      <c r="G1" s="401"/>
      <c r="H1" s="401"/>
      <c r="I1" s="401"/>
      <c r="J1" s="401"/>
      <c r="K1" s="401"/>
      <c r="L1" s="401"/>
      <c r="M1" s="401"/>
      <c r="N1" s="402"/>
    </row>
    <row r="2" spans="1:14" ht="32.25" thickBot="1" x14ac:dyDescent="0.3">
      <c r="A2" s="216">
        <v>2021</v>
      </c>
      <c r="B2" s="215" t="s">
        <v>151</v>
      </c>
      <c r="C2" s="215" t="s">
        <v>152</v>
      </c>
      <c r="D2" s="215" t="s">
        <v>153</v>
      </c>
      <c r="E2" s="215" t="s">
        <v>155</v>
      </c>
      <c r="F2" s="215" t="s">
        <v>156</v>
      </c>
      <c r="G2" s="215" t="s">
        <v>157</v>
      </c>
      <c r="H2" s="215" t="s">
        <v>158</v>
      </c>
      <c r="I2" s="215" t="s">
        <v>159</v>
      </c>
      <c r="J2" s="215" t="s">
        <v>160</v>
      </c>
      <c r="K2" s="215" t="s">
        <v>161</v>
      </c>
      <c r="L2" s="215" t="s">
        <v>162</v>
      </c>
      <c r="M2" s="215" t="s">
        <v>163</v>
      </c>
      <c r="N2" s="214" t="s">
        <v>148</v>
      </c>
    </row>
    <row r="3" spans="1:14" ht="19.5" thickBot="1" x14ac:dyDescent="0.3">
      <c r="A3" s="121" t="s">
        <v>147</v>
      </c>
      <c r="B3" s="120">
        <f>+ENERO!$AG3</f>
        <v>4381</v>
      </c>
      <c r="C3" s="120">
        <f>+FEBRERO!$AG3</f>
        <v>4349</v>
      </c>
      <c r="D3" s="120">
        <f>+MARZO!$AG3</f>
        <v>4712</v>
      </c>
      <c r="E3" s="120">
        <f>+ABRIL!$AG3</f>
        <v>4111</v>
      </c>
      <c r="F3" s="120">
        <f>+MAYO!$AG3</f>
        <v>4600</v>
      </c>
      <c r="G3" s="120">
        <f>+JUNIO!$AG3</f>
        <v>4530</v>
      </c>
      <c r="H3" s="120">
        <f>+JULIO!$AG3</f>
        <v>4477</v>
      </c>
      <c r="I3" s="120">
        <f>+AGOSTO!$AG3</f>
        <v>4539</v>
      </c>
      <c r="J3" s="120">
        <f>+SEPTIEMBRE!$AG3</f>
        <v>4026</v>
      </c>
      <c r="K3" s="120">
        <f>+OCTUBRE!$AG3</f>
        <v>4760</v>
      </c>
      <c r="L3" s="120">
        <f>+NOVIEMBRE!$AG3</f>
        <v>5101</v>
      </c>
      <c r="M3" s="120">
        <f>+DICIEMBRE!$AG3</f>
        <v>1329</v>
      </c>
      <c r="N3" s="118">
        <f t="shared" ref="N3:N34" si="0">SUM(B3:M3)</f>
        <v>50915</v>
      </c>
    </row>
    <row r="4" spans="1:14" ht="18.75" x14ac:dyDescent="0.25">
      <c r="A4" s="207" t="s">
        <v>144</v>
      </c>
      <c r="B4" s="199">
        <f>+ENERO!$AG4</f>
        <v>117</v>
      </c>
      <c r="C4" s="199">
        <f>+FEBRERO!$AG4</f>
        <v>129</v>
      </c>
      <c r="D4" s="199">
        <f>+MARZO!$AG4</f>
        <v>77</v>
      </c>
      <c r="E4" s="199">
        <f>+ABRIL!$AG4</f>
        <v>102</v>
      </c>
      <c r="F4" s="199">
        <f>+MAYO!$AG4</f>
        <v>140</v>
      </c>
      <c r="G4" s="199">
        <f>+JUNIO!$AG4</f>
        <v>138</v>
      </c>
      <c r="H4" s="199">
        <f>+JULIO!$AG4</f>
        <v>100</v>
      </c>
      <c r="I4" s="199">
        <f>+AGOSTO!$AG4</f>
        <v>104</v>
      </c>
      <c r="J4" s="199">
        <f>+SEPTIEMBRE!$AG4</f>
        <v>78</v>
      </c>
      <c r="K4" s="199">
        <f>+OCTUBRE!$AG4</f>
        <v>80</v>
      </c>
      <c r="L4" s="199">
        <f>+NOVIEMBRE!$AG4</f>
        <v>106</v>
      </c>
      <c r="M4" s="199">
        <f>+DICIEMBRE!$AG4</f>
        <v>27</v>
      </c>
      <c r="N4" s="134">
        <f t="shared" si="0"/>
        <v>1198</v>
      </c>
    </row>
    <row r="5" spans="1:14" ht="18.75" x14ac:dyDescent="0.25">
      <c r="A5" s="163" t="s">
        <v>143</v>
      </c>
      <c r="B5" s="162">
        <f>+ENERO!$AG5</f>
        <v>129</v>
      </c>
      <c r="C5" s="162">
        <f>+FEBRERO!$AG5</f>
        <v>181</v>
      </c>
      <c r="D5" s="162">
        <f>+MARZO!$AG5</f>
        <v>137</v>
      </c>
      <c r="E5" s="162">
        <f>+ABRIL!$AG5</f>
        <v>144</v>
      </c>
      <c r="F5" s="162">
        <f>+MAYO!$AG5</f>
        <v>170</v>
      </c>
      <c r="G5" s="162">
        <f>+JUNIO!$AG5</f>
        <v>184</v>
      </c>
      <c r="H5" s="162">
        <f>+JULIO!$AG5</f>
        <v>138</v>
      </c>
      <c r="I5" s="162">
        <f>+AGOSTO!$AG5</f>
        <v>155</v>
      </c>
      <c r="J5" s="162">
        <f>+SEPTIEMBRE!$AG5</f>
        <v>116</v>
      </c>
      <c r="K5" s="162">
        <f>+OCTUBRE!$AG5</f>
        <v>163</v>
      </c>
      <c r="L5" s="162">
        <f>+NOVIEMBRE!$AG5</f>
        <v>139</v>
      </c>
      <c r="M5" s="162">
        <f>+DICIEMBRE!$AG5</f>
        <v>44</v>
      </c>
      <c r="N5" s="64">
        <f t="shared" si="0"/>
        <v>1700</v>
      </c>
    </row>
    <row r="6" spans="1:14" ht="18.75" x14ac:dyDescent="0.25">
      <c r="A6" s="163" t="s">
        <v>142</v>
      </c>
      <c r="B6" s="162">
        <f>+ENERO!$AG6</f>
        <v>186</v>
      </c>
      <c r="C6" s="162">
        <f>+FEBRERO!$AG6</f>
        <v>196</v>
      </c>
      <c r="D6" s="162">
        <f>+MARZO!$AG6</f>
        <v>189</v>
      </c>
      <c r="E6" s="162">
        <f>+ABRIL!$AG6</f>
        <v>169</v>
      </c>
      <c r="F6" s="162">
        <f>+MAYO!$AG6</f>
        <v>173</v>
      </c>
      <c r="G6" s="162">
        <f>+JUNIO!$AG6</f>
        <v>202</v>
      </c>
      <c r="H6" s="162">
        <f>+JULIO!$AG6</f>
        <v>168</v>
      </c>
      <c r="I6" s="162">
        <f>+AGOSTO!$AG6</f>
        <v>166</v>
      </c>
      <c r="J6" s="162">
        <f>+SEPTIEMBRE!$AG6</f>
        <v>134</v>
      </c>
      <c r="K6" s="162">
        <f>+OCTUBRE!$AG6</f>
        <v>142</v>
      </c>
      <c r="L6" s="162">
        <f>+NOVIEMBRE!$AG6</f>
        <v>151</v>
      </c>
      <c r="M6" s="162">
        <f>+DICIEMBRE!$AG6</f>
        <v>43</v>
      </c>
      <c r="N6" s="64">
        <f t="shared" si="0"/>
        <v>1919</v>
      </c>
    </row>
    <row r="7" spans="1:14" ht="18.75" x14ac:dyDescent="0.25">
      <c r="A7" s="163" t="s">
        <v>141</v>
      </c>
      <c r="B7" s="162">
        <f>+ENERO!$AG7</f>
        <v>192</v>
      </c>
      <c r="C7" s="162">
        <f>+FEBRERO!$AG7</f>
        <v>226</v>
      </c>
      <c r="D7" s="162">
        <f>+MARZO!$AG7</f>
        <v>204</v>
      </c>
      <c r="E7" s="162">
        <f>+ABRIL!$AG7</f>
        <v>212</v>
      </c>
      <c r="F7" s="162">
        <f>+MAYO!$AG7</f>
        <v>249</v>
      </c>
      <c r="G7" s="162">
        <f>+JUNIO!$AG7</f>
        <v>226</v>
      </c>
      <c r="H7" s="162">
        <f>+JULIO!$AG7</f>
        <v>199</v>
      </c>
      <c r="I7" s="162">
        <f>+AGOSTO!$AG7</f>
        <v>179</v>
      </c>
      <c r="J7" s="162">
        <f>+SEPTIEMBRE!$AG7</f>
        <v>139</v>
      </c>
      <c r="K7" s="162">
        <f>+OCTUBRE!$AG7</f>
        <v>140</v>
      </c>
      <c r="L7" s="162">
        <f>+NOVIEMBRE!$AG7</f>
        <v>173</v>
      </c>
      <c r="M7" s="162">
        <f>+DICIEMBRE!$AG7</f>
        <v>61</v>
      </c>
      <c r="N7" s="64">
        <f t="shared" si="0"/>
        <v>2200</v>
      </c>
    </row>
    <row r="8" spans="1:14" ht="18.75" x14ac:dyDescent="0.25">
      <c r="A8" s="163" t="s">
        <v>140</v>
      </c>
      <c r="B8" s="162">
        <f>+ENERO!$AG8</f>
        <v>230</v>
      </c>
      <c r="C8" s="162">
        <f>+FEBRERO!$AG8</f>
        <v>240</v>
      </c>
      <c r="D8" s="162">
        <f>+MARZO!$AG8</f>
        <v>213</v>
      </c>
      <c r="E8" s="162">
        <f>+ABRIL!$AG8</f>
        <v>208</v>
      </c>
      <c r="F8" s="162">
        <f>+MAYO!$AG8</f>
        <v>249</v>
      </c>
      <c r="G8" s="162">
        <f>+JUNIO!$AG8</f>
        <v>249</v>
      </c>
      <c r="H8" s="162">
        <f>+JULIO!$AG8</f>
        <v>247</v>
      </c>
      <c r="I8" s="162">
        <f>+AGOSTO!$AG8</f>
        <v>174</v>
      </c>
      <c r="J8" s="162">
        <f>+SEPTIEMBRE!$AG8</f>
        <v>143</v>
      </c>
      <c r="K8" s="162">
        <f>+OCTUBRE!$AG8</f>
        <v>179</v>
      </c>
      <c r="L8" s="162">
        <f>+NOVIEMBRE!$AG8</f>
        <v>187</v>
      </c>
      <c r="M8" s="162">
        <f>+DICIEMBRE!$AG8</f>
        <v>40</v>
      </c>
      <c r="N8" s="64">
        <f t="shared" si="0"/>
        <v>2359</v>
      </c>
    </row>
    <row r="9" spans="1:14" ht="18.75" x14ac:dyDescent="0.25">
      <c r="A9" s="163" t="s">
        <v>139</v>
      </c>
      <c r="B9" s="162">
        <f>+ENERO!$AG9</f>
        <v>197</v>
      </c>
      <c r="C9" s="162">
        <f>+FEBRERO!$AG9</f>
        <v>178</v>
      </c>
      <c r="D9" s="162">
        <f>+MARZO!$AG9</f>
        <v>173</v>
      </c>
      <c r="E9" s="162">
        <f>+ABRIL!$AG9</f>
        <v>196</v>
      </c>
      <c r="F9" s="162">
        <f>+MAYO!$AG9</f>
        <v>233</v>
      </c>
      <c r="G9" s="162">
        <f>+JUNIO!$AG9</f>
        <v>186</v>
      </c>
      <c r="H9" s="162">
        <f>+JULIO!$AG9</f>
        <v>168</v>
      </c>
      <c r="I9" s="162">
        <f>+AGOSTO!$AG9</f>
        <v>162</v>
      </c>
      <c r="J9" s="162">
        <f>+SEPTIEMBRE!$AG9</f>
        <v>132</v>
      </c>
      <c r="K9" s="162">
        <f>+OCTUBRE!$AG9</f>
        <v>151</v>
      </c>
      <c r="L9" s="162">
        <f>+NOVIEMBRE!$AG9</f>
        <v>150</v>
      </c>
      <c r="M9" s="162">
        <f>+DICIEMBRE!$AG9</f>
        <v>42</v>
      </c>
      <c r="N9" s="64">
        <f t="shared" si="0"/>
        <v>1968</v>
      </c>
    </row>
    <row r="10" spans="1:14" ht="18.75" x14ac:dyDescent="0.25">
      <c r="A10" s="163" t="s">
        <v>138</v>
      </c>
      <c r="B10" s="162">
        <f>+ENERO!$AG10</f>
        <v>170</v>
      </c>
      <c r="C10" s="162">
        <f>+FEBRERO!$AG10</f>
        <v>212</v>
      </c>
      <c r="D10" s="162">
        <f>+MARZO!$AG10</f>
        <v>148</v>
      </c>
      <c r="E10" s="162">
        <f>+ABRIL!$AG10</f>
        <v>187</v>
      </c>
      <c r="F10" s="162">
        <f>+MAYO!$AG10</f>
        <v>197</v>
      </c>
      <c r="G10" s="162">
        <f>+JUNIO!$AG10</f>
        <v>184</v>
      </c>
      <c r="H10" s="162">
        <f>+JULIO!$AG10</f>
        <v>155</v>
      </c>
      <c r="I10" s="162">
        <f>+AGOSTO!$AG10</f>
        <v>170</v>
      </c>
      <c r="J10" s="162">
        <f>+SEPTIEMBRE!$AG10</f>
        <v>104</v>
      </c>
      <c r="K10" s="162">
        <f>+OCTUBRE!$AG10</f>
        <v>155</v>
      </c>
      <c r="L10" s="162">
        <f>+NOVIEMBRE!$AG10</f>
        <v>154</v>
      </c>
      <c r="M10" s="162">
        <f>+DICIEMBRE!$AG10</f>
        <v>37</v>
      </c>
      <c r="N10" s="64">
        <f t="shared" si="0"/>
        <v>1873</v>
      </c>
    </row>
    <row r="11" spans="1:14" ht="18.75" x14ac:dyDescent="0.25">
      <c r="A11" s="163" t="s">
        <v>137</v>
      </c>
      <c r="B11" s="162">
        <f>+ENERO!$AG11</f>
        <v>195</v>
      </c>
      <c r="C11" s="162">
        <f>+FEBRERO!$AG11</f>
        <v>218</v>
      </c>
      <c r="D11" s="162">
        <f>+MARZO!$AG11</f>
        <v>191</v>
      </c>
      <c r="E11" s="162">
        <f>+ABRIL!$AG11</f>
        <v>197</v>
      </c>
      <c r="F11" s="162">
        <f>+MAYO!$AG11</f>
        <v>247</v>
      </c>
      <c r="G11" s="162">
        <f>+JUNIO!$AG11</f>
        <v>256</v>
      </c>
      <c r="H11" s="162">
        <f>+JULIO!$AG11</f>
        <v>189</v>
      </c>
      <c r="I11" s="162">
        <f>+AGOSTO!$AG11</f>
        <v>184</v>
      </c>
      <c r="J11" s="162">
        <f>+SEPTIEMBRE!$AG11</f>
        <v>161</v>
      </c>
      <c r="K11" s="162">
        <f>+OCTUBRE!$AG11</f>
        <v>164</v>
      </c>
      <c r="L11" s="162">
        <f>+NOVIEMBRE!$AG11</f>
        <v>211</v>
      </c>
      <c r="M11" s="162">
        <f>+DICIEMBRE!$AG11</f>
        <v>55</v>
      </c>
      <c r="N11" s="64">
        <f t="shared" si="0"/>
        <v>2268</v>
      </c>
    </row>
    <row r="12" spans="1:14" ht="18.75" x14ac:dyDescent="0.25">
      <c r="A12" s="163" t="s">
        <v>136</v>
      </c>
      <c r="B12" s="162">
        <f>+ENERO!$AG12</f>
        <v>271</v>
      </c>
      <c r="C12" s="162">
        <f>+FEBRERO!$AG12</f>
        <v>342</v>
      </c>
      <c r="D12" s="162">
        <f>+MARZO!$AG12</f>
        <v>246</v>
      </c>
      <c r="E12" s="162">
        <f>+ABRIL!$AG12</f>
        <v>232</v>
      </c>
      <c r="F12" s="162">
        <f>+MAYO!$AG12</f>
        <v>298</v>
      </c>
      <c r="G12" s="162">
        <f>+JUNIO!$AG12</f>
        <v>263</v>
      </c>
      <c r="H12" s="162">
        <f>+JULIO!$AG12</f>
        <v>221</v>
      </c>
      <c r="I12" s="162">
        <f>+AGOSTO!$AG12</f>
        <v>237</v>
      </c>
      <c r="J12" s="162">
        <f>+SEPTIEMBRE!$AG12</f>
        <v>176</v>
      </c>
      <c r="K12" s="162">
        <f>+OCTUBRE!$AG12</f>
        <v>226</v>
      </c>
      <c r="L12" s="162">
        <f>+NOVIEMBRE!$AG12</f>
        <v>245</v>
      </c>
      <c r="M12" s="162">
        <f>+DICIEMBRE!$AG12</f>
        <v>63</v>
      </c>
      <c r="N12" s="64">
        <f t="shared" si="0"/>
        <v>2820</v>
      </c>
    </row>
    <row r="13" spans="1:14" ht="18.75" x14ac:dyDescent="0.25">
      <c r="A13" s="163" t="s">
        <v>135</v>
      </c>
      <c r="B13" s="162">
        <f>+ENERO!$AG13</f>
        <v>709</v>
      </c>
      <c r="C13" s="162">
        <f>+FEBRERO!$AG13</f>
        <v>511</v>
      </c>
      <c r="D13" s="162">
        <f>+MARZO!$AG13</f>
        <v>970</v>
      </c>
      <c r="E13" s="162">
        <f>+ABRIL!$AG13</f>
        <v>784</v>
      </c>
      <c r="F13" s="162">
        <f>+MAYO!$AG13</f>
        <v>829</v>
      </c>
      <c r="G13" s="162">
        <f>+JUNIO!$AG13</f>
        <v>890</v>
      </c>
      <c r="H13" s="162">
        <f>+JULIO!$AG13</f>
        <v>890</v>
      </c>
      <c r="I13" s="162">
        <f>+AGOSTO!$AG13</f>
        <v>972</v>
      </c>
      <c r="J13" s="162">
        <f>+SEPTIEMBRE!$AG13</f>
        <v>917</v>
      </c>
      <c r="K13" s="162">
        <f>+OCTUBRE!$AG13</f>
        <v>984</v>
      </c>
      <c r="L13" s="162">
        <f>+NOVIEMBRE!$AG13</f>
        <v>975</v>
      </c>
      <c r="M13" s="162">
        <f>+DICIEMBRE!$AG13</f>
        <v>247</v>
      </c>
      <c r="N13" s="64">
        <f t="shared" si="0"/>
        <v>9678</v>
      </c>
    </row>
    <row r="14" spans="1:14" ht="18.75" x14ac:dyDescent="0.25">
      <c r="A14" s="163" t="s">
        <v>134</v>
      </c>
      <c r="B14" s="162">
        <f>+ENERO!$AG14</f>
        <v>382</v>
      </c>
      <c r="C14" s="162">
        <f>+FEBRERO!$AG14</f>
        <v>358</v>
      </c>
      <c r="D14" s="162">
        <f>+MARZO!$AG14</f>
        <v>399</v>
      </c>
      <c r="E14" s="162">
        <f>+ABRIL!$AG14</f>
        <v>394</v>
      </c>
      <c r="F14" s="162">
        <f>+MAYO!$AG14</f>
        <v>408</v>
      </c>
      <c r="G14" s="162">
        <f>+JUNIO!$AG14</f>
        <v>388</v>
      </c>
      <c r="H14" s="162">
        <f>+JULIO!$AG14</f>
        <v>424</v>
      </c>
      <c r="I14" s="162">
        <f>+AGOSTO!$AG14</f>
        <v>445</v>
      </c>
      <c r="J14" s="162">
        <f>+SEPTIEMBRE!$AG14</f>
        <v>379</v>
      </c>
      <c r="K14" s="162">
        <f>+OCTUBRE!$AG14</f>
        <v>465</v>
      </c>
      <c r="L14" s="162">
        <f>+NOVIEMBRE!$AG14</f>
        <v>520</v>
      </c>
      <c r="M14" s="162">
        <f>+DICIEMBRE!$AG14</f>
        <v>114</v>
      </c>
      <c r="N14" s="64">
        <f t="shared" si="0"/>
        <v>4676</v>
      </c>
    </row>
    <row r="15" spans="1:14" ht="18.75" x14ac:dyDescent="0.25">
      <c r="A15" s="163" t="s">
        <v>133</v>
      </c>
      <c r="B15" s="162">
        <f>+ENERO!$AG15</f>
        <v>348</v>
      </c>
      <c r="C15" s="162">
        <f>+FEBRERO!$AG15</f>
        <v>308</v>
      </c>
      <c r="D15" s="162">
        <f>+MARZO!$AG15</f>
        <v>356</v>
      </c>
      <c r="E15" s="162">
        <f>+ABRIL!$AG15</f>
        <v>301</v>
      </c>
      <c r="F15" s="162">
        <f>+MAYO!$AG15</f>
        <v>297</v>
      </c>
      <c r="G15" s="162">
        <f>+JUNIO!$AG15</f>
        <v>303</v>
      </c>
      <c r="H15" s="162">
        <f>+JULIO!$AG15</f>
        <v>324</v>
      </c>
      <c r="I15" s="162">
        <f>+AGOSTO!$AG15</f>
        <v>372</v>
      </c>
      <c r="J15" s="162">
        <f>+SEPTIEMBRE!$AG15</f>
        <v>313</v>
      </c>
      <c r="K15" s="162">
        <f>+OCTUBRE!$AG15</f>
        <v>422</v>
      </c>
      <c r="L15" s="162">
        <f>+NOVIEMBRE!$AG15</f>
        <v>439</v>
      </c>
      <c r="M15" s="162">
        <f>+DICIEMBRE!$AG15</f>
        <v>96</v>
      </c>
      <c r="N15" s="64">
        <f t="shared" si="0"/>
        <v>3879</v>
      </c>
    </row>
    <row r="16" spans="1:14" ht="18.75" x14ac:dyDescent="0.25">
      <c r="A16" s="163" t="s">
        <v>132</v>
      </c>
      <c r="B16" s="162">
        <f>+ENERO!$AG16</f>
        <v>260</v>
      </c>
      <c r="C16" s="162">
        <f>+FEBRERO!$AG16</f>
        <v>259</v>
      </c>
      <c r="D16" s="162">
        <f>+MARZO!$AG16</f>
        <v>343</v>
      </c>
      <c r="E16" s="162">
        <f>+ABRIL!$AG16</f>
        <v>251</v>
      </c>
      <c r="F16" s="162">
        <f>+MAYO!$AG16</f>
        <v>275</v>
      </c>
      <c r="G16" s="162">
        <f>+JUNIO!$AG16</f>
        <v>269</v>
      </c>
      <c r="H16" s="162">
        <f>+JULIO!$AG16</f>
        <v>298</v>
      </c>
      <c r="I16" s="162">
        <f>+AGOSTO!$AG16</f>
        <v>324</v>
      </c>
      <c r="J16" s="162">
        <f>+SEPTIEMBRE!$AG16</f>
        <v>289</v>
      </c>
      <c r="K16" s="162">
        <f>+OCTUBRE!$AG16</f>
        <v>386</v>
      </c>
      <c r="L16" s="162">
        <f>+NOVIEMBRE!$AG16</f>
        <v>427</v>
      </c>
      <c r="M16" s="162">
        <f>+DICIEMBRE!$AG16</f>
        <v>90</v>
      </c>
      <c r="N16" s="64">
        <f t="shared" si="0"/>
        <v>3471</v>
      </c>
    </row>
    <row r="17" spans="1:14" ht="18.75" x14ac:dyDescent="0.25">
      <c r="A17" s="163" t="s">
        <v>131</v>
      </c>
      <c r="B17" s="162">
        <f>+ENERO!$AG17</f>
        <v>287</v>
      </c>
      <c r="C17" s="162">
        <f>+FEBRERO!$AG17</f>
        <v>297</v>
      </c>
      <c r="D17" s="162">
        <f>+MARZO!$AG17</f>
        <v>306</v>
      </c>
      <c r="E17" s="162">
        <f>+ABRIL!$AG17</f>
        <v>201</v>
      </c>
      <c r="F17" s="162">
        <f>+MAYO!$AG17</f>
        <v>216</v>
      </c>
      <c r="G17" s="162">
        <f>+JUNIO!$AG17</f>
        <v>227</v>
      </c>
      <c r="H17" s="162">
        <f>+JULIO!$AG17</f>
        <v>271</v>
      </c>
      <c r="I17" s="162">
        <f>+AGOSTO!$AG17</f>
        <v>289</v>
      </c>
      <c r="J17" s="162">
        <f>+SEPTIEMBRE!$AG17</f>
        <v>288</v>
      </c>
      <c r="K17" s="162">
        <f>+OCTUBRE!$AG17</f>
        <v>282</v>
      </c>
      <c r="L17" s="162">
        <f>+NOVIEMBRE!$AG17</f>
        <v>386</v>
      </c>
      <c r="M17" s="162">
        <f>+DICIEMBRE!$AG17</f>
        <v>105</v>
      </c>
      <c r="N17" s="64">
        <f t="shared" si="0"/>
        <v>3155</v>
      </c>
    </row>
    <row r="18" spans="1:14" ht="18.75" x14ac:dyDescent="0.25">
      <c r="A18" s="163" t="s">
        <v>130</v>
      </c>
      <c r="B18" s="162">
        <f>+ENERO!$AG18</f>
        <v>223</v>
      </c>
      <c r="C18" s="162">
        <f>+FEBRERO!$AG18</f>
        <v>241</v>
      </c>
      <c r="D18" s="162">
        <f>+MARZO!$AG18</f>
        <v>246</v>
      </c>
      <c r="E18" s="162">
        <f>+ABRIL!$AG18</f>
        <v>129</v>
      </c>
      <c r="F18" s="162">
        <f>+MAYO!$AG18</f>
        <v>169</v>
      </c>
      <c r="G18" s="162">
        <f>+JUNIO!$AG18</f>
        <v>169</v>
      </c>
      <c r="H18" s="162">
        <f>+JULIO!$AG18</f>
        <v>224</v>
      </c>
      <c r="I18" s="162">
        <f>+AGOSTO!$AG18</f>
        <v>197</v>
      </c>
      <c r="J18" s="162">
        <f>+SEPTIEMBRE!$AG18</f>
        <v>223</v>
      </c>
      <c r="K18" s="162">
        <f>+OCTUBRE!$AG18</f>
        <v>307</v>
      </c>
      <c r="L18" s="162">
        <f>+NOVIEMBRE!$AG18</f>
        <v>298</v>
      </c>
      <c r="M18" s="162">
        <f>+DICIEMBRE!$AG18</f>
        <v>96</v>
      </c>
      <c r="N18" s="64">
        <f t="shared" si="0"/>
        <v>2522</v>
      </c>
    </row>
    <row r="19" spans="1:14" ht="18.75" x14ac:dyDescent="0.25">
      <c r="A19" s="163" t="s">
        <v>129</v>
      </c>
      <c r="B19" s="162">
        <f>+ENERO!$AG19</f>
        <v>154</v>
      </c>
      <c r="C19" s="162">
        <f>+FEBRERO!$AG19</f>
        <v>146</v>
      </c>
      <c r="D19" s="162">
        <f>+MARZO!$AG19</f>
        <v>144</v>
      </c>
      <c r="E19" s="162">
        <f>+ABRIL!$AG19</f>
        <v>112</v>
      </c>
      <c r="F19" s="162">
        <f>+MAYO!$AG19</f>
        <v>119</v>
      </c>
      <c r="G19" s="162">
        <f>+JUNIO!$AG19</f>
        <v>109</v>
      </c>
      <c r="H19" s="162">
        <f>+JULIO!$AG19</f>
        <v>154</v>
      </c>
      <c r="I19" s="162">
        <f>+AGOSTO!$AG19</f>
        <v>129</v>
      </c>
      <c r="J19" s="162">
        <f>+SEPTIEMBRE!$AG19</f>
        <v>157</v>
      </c>
      <c r="K19" s="162">
        <f>+OCTUBRE!$AG19</f>
        <v>174</v>
      </c>
      <c r="L19" s="162">
        <f>+NOVIEMBRE!$AG19</f>
        <v>220</v>
      </c>
      <c r="M19" s="162">
        <f>+DICIEMBRE!$AG19</f>
        <v>66</v>
      </c>
      <c r="N19" s="64">
        <f t="shared" si="0"/>
        <v>1684</v>
      </c>
    </row>
    <row r="20" spans="1:14" ht="18.75" x14ac:dyDescent="0.25">
      <c r="A20" s="163" t="s">
        <v>128</v>
      </c>
      <c r="B20" s="162">
        <f>+ENERO!$AG20</f>
        <v>110</v>
      </c>
      <c r="C20" s="162">
        <f>+FEBRERO!$AG20</f>
        <v>92</v>
      </c>
      <c r="D20" s="162">
        <f>+MARZO!$AG20</f>
        <v>113</v>
      </c>
      <c r="E20" s="162">
        <f>+ABRIL!$AG20</f>
        <v>82</v>
      </c>
      <c r="F20" s="162">
        <f>+MAYO!$AG20</f>
        <v>94</v>
      </c>
      <c r="G20" s="162">
        <f>+JUNIO!$AG20</f>
        <v>85</v>
      </c>
      <c r="H20" s="162">
        <f>+JULIO!$AG20</f>
        <v>88</v>
      </c>
      <c r="I20" s="162">
        <f>+AGOSTO!$AG20</f>
        <v>85</v>
      </c>
      <c r="J20" s="162">
        <f>+SEPTIEMBRE!$AG20</f>
        <v>69</v>
      </c>
      <c r="K20" s="162">
        <f>+OCTUBRE!$AG20</f>
        <v>97</v>
      </c>
      <c r="L20" s="162">
        <f>+NOVIEMBRE!$AG20</f>
        <v>104</v>
      </c>
      <c r="M20" s="162">
        <f>+DICIEMBRE!$AG20</f>
        <v>27</v>
      </c>
      <c r="N20" s="64">
        <f t="shared" si="0"/>
        <v>1046</v>
      </c>
    </row>
    <row r="21" spans="1:14" ht="18.75" x14ac:dyDescent="0.25">
      <c r="A21" s="163" t="s">
        <v>127</v>
      </c>
      <c r="B21" s="162">
        <f>+ENERO!$AG21</f>
        <v>65</v>
      </c>
      <c r="C21" s="162">
        <f>+FEBRERO!$AG21</f>
        <v>49</v>
      </c>
      <c r="D21" s="162">
        <f>+MARZO!$AG21</f>
        <v>81</v>
      </c>
      <c r="E21" s="162">
        <f>+ABRIL!$AG21</f>
        <v>52</v>
      </c>
      <c r="F21" s="162">
        <f>+MAYO!$AG21</f>
        <v>60</v>
      </c>
      <c r="G21" s="162">
        <f>+JUNIO!$AG21</f>
        <v>44</v>
      </c>
      <c r="H21" s="162">
        <f>+JULIO!$AG21</f>
        <v>65</v>
      </c>
      <c r="I21" s="162">
        <f>+AGOSTO!$AG21</f>
        <v>41</v>
      </c>
      <c r="J21" s="162">
        <f>+SEPTIEMBRE!$AG21</f>
        <v>59</v>
      </c>
      <c r="K21" s="162">
        <f>+OCTUBRE!$AG21</f>
        <v>71</v>
      </c>
      <c r="L21" s="162">
        <f>+NOVIEMBRE!$AG21</f>
        <v>79</v>
      </c>
      <c r="M21" s="162">
        <f>+DICIEMBRE!$AG21</f>
        <v>25</v>
      </c>
      <c r="N21" s="64">
        <f t="shared" si="0"/>
        <v>691</v>
      </c>
    </row>
    <row r="22" spans="1:14" ht="18.75" x14ac:dyDescent="0.25">
      <c r="A22" s="163" t="s">
        <v>126</v>
      </c>
      <c r="B22" s="162">
        <f>+ENERO!$AG22</f>
        <v>32</v>
      </c>
      <c r="C22" s="162">
        <f>+FEBRERO!$AG22</f>
        <v>44</v>
      </c>
      <c r="D22" s="162">
        <f>+MARZO!$AG22</f>
        <v>48</v>
      </c>
      <c r="E22" s="162">
        <f>+ABRIL!$AG22</f>
        <v>34</v>
      </c>
      <c r="F22" s="162">
        <f>+MAYO!$AG22</f>
        <v>44</v>
      </c>
      <c r="G22" s="162">
        <f>+JUNIO!$AG22</f>
        <v>34</v>
      </c>
      <c r="H22" s="162">
        <f>+JULIO!$AG22</f>
        <v>41</v>
      </c>
      <c r="I22" s="162">
        <f>+AGOSTO!$AG22</f>
        <v>39</v>
      </c>
      <c r="J22" s="162">
        <f>+SEPTIEMBRE!$AG22</f>
        <v>42</v>
      </c>
      <c r="K22" s="162">
        <f>+OCTUBRE!$AG22</f>
        <v>44</v>
      </c>
      <c r="L22" s="162">
        <f>+NOVIEMBRE!$AG22</f>
        <v>47</v>
      </c>
      <c r="M22" s="162">
        <f>+DICIEMBRE!$AG22</f>
        <v>20</v>
      </c>
      <c r="N22" s="64">
        <f t="shared" si="0"/>
        <v>469</v>
      </c>
    </row>
    <row r="23" spans="1:14" ht="18.75" x14ac:dyDescent="0.25">
      <c r="A23" s="163" t="s">
        <v>125</v>
      </c>
      <c r="B23" s="162">
        <f>+ENERO!$AG23</f>
        <v>26</v>
      </c>
      <c r="C23" s="162">
        <f>+FEBRERO!$AG23</f>
        <v>31</v>
      </c>
      <c r="D23" s="162">
        <f>+MARZO!$AG23</f>
        <v>39</v>
      </c>
      <c r="E23" s="162">
        <f>+ABRIL!$AG23</f>
        <v>31</v>
      </c>
      <c r="F23" s="162">
        <f>+MAYO!$AG23</f>
        <v>33</v>
      </c>
      <c r="G23" s="162">
        <f>+JUNIO!$AG23</f>
        <v>29</v>
      </c>
      <c r="H23" s="162">
        <f>+JULIO!$AG23</f>
        <v>21</v>
      </c>
      <c r="I23" s="162">
        <f>+AGOSTO!$AG23</f>
        <v>20</v>
      </c>
      <c r="J23" s="162">
        <f>+SEPTIEMBRE!$AG23</f>
        <v>40</v>
      </c>
      <c r="K23" s="162">
        <f>+OCTUBRE!$AG23</f>
        <v>33</v>
      </c>
      <c r="L23" s="162">
        <f>+NOVIEMBRE!$AG23</f>
        <v>24</v>
      </c>
      <c r="M23" s="162">
        <f>+DICIEMBRE!$AG23</f>
        <v>9</v>
      </c>
      <c r="N23" s="64">
        <f t="shared" si="0"/>
        <v>336</v>
      </c>
    </row>
    <row r="24" spans="1:14" ht="18.75" x14ac:dyDescent="0.25">
      <c r="A24" s="163" t="s">
        <v>124</v>
      </c>
      <c r="B24" s="162">
        <f>+ENERO!$AG24</f>
        <v>24</v>
      </c>
      <c r="C24" s="162">
        <f>+FEBRERO!$AG24</f>
        <v>28</v>
      </c>
      <c r="D24" s="162">
        <f>+MARZO!$AG24</f>
        <v>17</v>
      </c>
      <c r="E24" s="162">
        <f>+ABRIL!$AG24</f>
        <v>16</v>
      </c>
      <c r="F24" s="162">
        <f>+MAYO!$AG24</f>
        <v>31</v>
      </c>
      <c r="G24" s="162">
        <f>+JUNIO!$AG24</f>
        <v>25</v>
      </c>
      <c r="H24" s="162">
        <f>+JULIO!$AG24</f>
        <v>21</v>
      </c>
      <c r="I24" s="162">
        <f>+AGOSTO!$AG24</f>
        <v>31</v>
      </c>
      <c r="J24" s="162">
        <f>+SEPTIEMBRE!$AG24</f>
        <v>20</v>
      </c>
      <c r="K24" s="162">
        <f>+OCTUBRE!$AG24</f>
        <v>37</v>
      </c>
      <c r="L24" s="162">
        <f>+NOVIEMBRE!$AG24</f>
        <v>25</v>
      </c>
      <c r="M24" s="162">
        <f>+DICIEMBRE!$AG24</f>
        <v>7</v>
      </c>
      <c r="N24" s="64">
        <f t="shared" si="0"/>
        <v>282</v>
      </c>
    </row>
    <row r="25" spans="1:14" ht="18.75" x14ac:dyDescent="0.25">
      <c r="A25" s="163" t="s">
        <v>123</v>
      </c>
      <c r="B25" s="162">
        <f>+ENERO!$AG25</f>
        <v>16</v>
      </c>
      <c r="C25" s="162">
        <f>+FEBRERO!$AG25</f>
        <v>15</v>
      </c>
      <c r="D25" s="162">
        <f>+MARZO!$AG25</f>
        <v>27</v>
      </c>
      <c r="E25" s="162">
        <f>+ABRIL!$AG25</f>
        <v>27</v>
      </c>
      <c r="F25" s="162">
        <f>+MAYO!$AG25</f>
        <v>21</v>
      </c>
      <c r="G25" s="162">
        <f>+JUNIO!$AG25</f>
        <v>22</v>
      </c>
      <c r="H25" s="162">
        <f>+JULIO!$AG25</f>
        <v>22</v>
      </c>
      <c r="I25" s="162">
        <f>+AGOSTO!$AG25</f>
        <v>24</v>
      </c>
      <c r="J25" s="162">
        <f>+SEPTIEMBRE!$AG25</f>
        <v>18</v>
      </c>
      <c r="K25" s="162">
        <f>+OCTUBRE!$AG25</f>
        <v>17</v>
      </c>
      <c r="L25" s="162">
        <f>+NOVIEMBRE!$AG25</f>
        <v>17</v>
      </c>
      <c r="M25" s="162">
        <f>+DICIEMBRE!$AG25</f>
        <v>8</v>
      </c>
      <c r="N25" s="64">
        <f t="shared" si="0"/>
        <v>234</v>
      </c>
    </row>
    <row r="26" spans="1:14" ht="18.75" x14ac:dyDescent="0.25">
      <c r="A26" s="163" t="s">
        <v>122</v>
      </c>
      <c r="B26" s="162">
        <f>+ENERO!$AG26</f>
        <v>35</v>
      </c>
      <c r="C26" s="162">
        <f>+FEBRERO!$AG26</f>
        <v>30</v>
      </c>
      <c r="D26" s="162">
        <f>+MARZO!$AG26</f>
        <v>21</v>
      </c>
      <c r="E26" s="162">
        <f>+ABRIL!$AG26</f>
        <v>23</v>
      </c>
      <c r="F26" s="162">
        <f>+MAYO!$AG26</f>
        <v>20</v>
      </c>
      <c r="G26" s="162">
        <f>+JUNIO!$AG26</f>
        <v>24</v>
      </c>
      <c r="H26" s="162">
        <f>+JULIO!$AG26</f>
        <v>29</v>
      </c>
      <c r="I26" s="162">
        <f>+AGOSTO!$AG26</f>
        <v>30</v>
      </c>
      <c r="J26" s="162">
        <f>+SEPTIEMBRE!$AG26</f>
        <v>20</v>
      </c>
      <c r="K26" s="162">
        <f>+OCTUBRE!$AG26</f>
        <v>24</v>
      </c>
      <c r="L26" s="162">
        <f>+NOVIEMBRE!$AG26</f>
        <v>14</v>
      </c>
      <c r="M26" s="162">
        <f>+DICIEMBRE!$AG26</f>
        <v>3</v>
      </c>
      <c r="N26" s="64">
        <f t="shared" si="0"/>
        <v>273</v>
      </c>
    </row>
    <row r="27" spans="1:14" ht="19.5" thickBot="1" x14ac:dyDescent="0.3">
      <c r="A27" s="213" t="s">
        <v>121</v>
      </c>
      <c r="B27" s="212">
        <f>+ENERO!$AG27</f>
        <v>23</v>
      </c>
      <c r="C27" s="212">
        <f>+FEBRERO!$AG27</f>
        <v>18</v>
      </c>
      <c r="D27" s="212">
        <f>+MARZO!$AG27</f>
        <v>24</v>
      </c>
      <c r="E27" s="212">
        <f>+ABRIL!$AG27</f>
        <v>27</v>
      </c>
      <c r="F27" s="212">
        <f>+MAYO!$AG27</f>
        <v>28</v>
      </c>
      <c r="G27" s="212">
        <f>+JUNIO!$AG27</f>
        <v>24</v>
      </c>
      <c r="H27" s="212">
        <f>+JULIO!$AG27</f>
        <v>20</v>
      </c>
      <c r="I27" s="212">
        <f>+AGOSTO!$AG27</f>
        <v>10</v>
      </c>
      <c r="J27" s="212">
        <f>+SEPTIEMBRE!$AG27</f>
        <v>9</v>
      </c>
      <c r="K27" s="212">
        <f>+OCTUBRE!$AG27</f>
        <v>17</v>
      </c>
      <c r="L27" s="212">
        <f>+NOVIEMBRE!$AG27</f>
        <v>10</v>
      </c>
      <c r="M27" s="212">
        <f>+DICIEMBRE!$AG27</f>
        <v>4</v>
      </c>
      <c r="N27" s="64">
        <f t="shared" si="0"/>
        <v>214</v>
      </c>
    </row>
    <row r="28" spans="1:14" ht="18.75" x14ac:dyDescent="0.25">
      <c r="A28" s="210" t="s">
        <v>146</v>
      </c>
      <c r="B28" s="209">
        <f>+ENERO!$AG28</f>
        <v>4102</v>
      </c>
      <c r="C28" s="209">
        <f>+FEBRERO!$AG28</f>
        <v>4159</v>
      </c>
      <c r="D28" s="209">
        <f>+MARZO!$AG28</f>
        <v>4448</v>
      </c>
      <c r="E28" s="209">
        <f>+ABRIL!$AG28</f>
        <v>3879</v>
      </c>
      <c r="F28" s="209">
        <f>+MAYO!$AG28</f>
        <v>4360</v>
      </c>
      <c r="G28" s="209">
        <f>+JUNIO!$AG28</f>
        <v>4348</v>
      </c>
      <c r="H28" s="209">
        <f>+JULIO!$AG28</f>
        <v>4318</v>
      </c>
      <c r="I28" s="209">
        <f>+AGOSTO!$AG28</f>
        <v>4336</v>
      </c>
      <c r="J28" s="209">
        <f>+SEPTIEMBRE!$AG28</f>
        <v>3845</v>
      </c>
      <c r="K28" s="209">
        <f>+OCTUBRE!$AG28</f>
        <v>4549</v>
      </c>
      <c r="L28" s="209">
        <f>+NOVIEMBRE!$AG28</f>
        <v>4767</v>
      </c>
      <c r="M28" s="209">
        <f>+DICIEMBRE!$AG28</f>
        <v>1296</v>
      </c>
      <c r="N28" s="164">
        <f t="shared" si="0"/>
        <v>48407</v>
      </c>
    </row>
    <row r="29" spans="1:14" ht="18.75" x14ac:dyDescent="0.25">
      <c r="A29" s="163" t="s">
        <v>144</v>
      </c>
      <c r="B29" s="162">
        <f>+ENERO!$AG29</f>
        <v>55</v>
      </c>
      <c r="C29" s="162">
        <f>+FEBRERO!$AG29</f>
        <v>66</v>
      </c>
      <c r="D29" s="162">
        <f>+MARZO!$AG29</f>
        <v>34</v>
      </c>
      <c r="E29" s="162">
        <f>+ABRIL!$AG29</f>
        <v>58</v>
      </c>
      <c r="F29" s="162">
        <f>+MAYO!$AG29</f>
        <v>62</v>
      </c>
      <c r="G29" s="162">
        <f>+JUNIO!$AG29</f>
        <v>56</v>
      </c>
      <c r="H29" s="162">
        <f>+JULIO!$AG29</f>
        <v>46</v>
      </c>
      <c r="I29" s="162">
        <f>+AGOSTO!$AG29</f>
        <v>52</v>
      </c>
      <c r="J29" s="162">
        <f>+SEPTIEMBRE!$AG29</f>
        <v>46</v>
      </c>
      <c r="K29" s="162">
        <f>+OCTUBRE!$AG29</f>
        <v>44</v>
      </c>
      <c r="L29" s="162">
        <f>+NOVIEMBRE!$AG29</f>
        <v>45</v>
      </c>
      <c r="M29" s="162">
        <f>+DICIEMBRE!$AG29</f>
        <v>12</v>
      </c>
      <c r="N29" s="64">
        <f t="shared" si="0"/>
        <v>576</v>
      </c>
    </row>
    <row r="30" spans="1:14" ht="18.75" x14ac:dyDescent="0.25">
      <c r="A30" s="163" t="s">
        <v>143</v>
      </c>
      <c r="B30" s="162">
        <f>+ENERO!$AG30</f>
        <v>111</v>
      </c>
      <c r="C30" s="162">
        <f>+FEBRERO!$AG30</f>
        <v>142</v>
      </c>
      <c r="D30" s="162">
        <f>+MARZO!$AG30</f>
        <v>125</v>
      </c>
      <c r="E30" s="162">
        <f>+ABRIL!$AG30</f>
        <v>118</v>
      </c>
      <c r="F30" s="162">
        <f>+MAYO!$AG30</f>
        <v>159</v>
      </c>
      <c r="G30" s="162">
        <f>+JUNIO!$AG30</f>
        <v>167</v>
      </c>
      <c r="H30" s="162">
        <f>+JULIO!$AG30</f>
        <v>116</v>
      </c>
      <c r="I30" s="162">
        <f>+AGOSTO!$AG30</f>
        <v>127</v>
      </c>
      <c r="J30" s="162">
        <f>+SEPTIEMBRE!$AG30</f>
        <v>94</v>
      </c>
      <c r="K30" s="162">
        <f>+OCTUBRE!$AG30</f>
        <v>115</v>
      </c>
      <c r="L30" s="162">
        <f>+NOVIEMBRE!$AG30</f>
        <v>125</v>
      </c>
      <c r="M30" s="162">
        <f>+DICIEMBRE!$AG30</f>
        <v>42</v>
      </c>
      <c r="N30" s="64">
        <f t="shared" si="0"/>
        <v>1441</v>
      </c>
    </row>
    <row r="31" spans="1:14" ht="18.75" x14ac:dyDescent="0.25">
      <c r="A31" s="163" t="s">
        <v>142</v>
      </c>
      <c r="B31" s="162">
        <f>+ENERO!$AG31</f>
        <v>149</v>
      </c>
      <c r="C31" s="162">
        <f>+FEBRERO!$AG31</f>
        <v>179</v>
      </c>
      <c r="D31" s="162">
        <f>+MARZO!$AG31</f>
        <v>135</v>
      </c>
      <c r="E31" s="162">
        <f>+ABRIL!$AG31</f>
        <v>157</v>
      </c>
      <c r="F31" s="162">
        <f>+MAYO!$AG31</f>
        <v>161</v>
      </c>
      <c r="G31" s="162">
        <f>+JUNIO!$AG31</f>
        <v>193</v>
      </c>
      <c r="H31" s="162">
        <f>+JULIO!$AG31</f>
        <v>149</v>
      </c>
      <c r="I31" s="162">
        <f>+AGOSTO!$AG31</f>
        <v>162</v>
      </c>
      <c r="J31" s="162">
        <f>+SEPTIEMBRE!$AG31</f>
        <v>128</v>
      </c>
      <c r="K31" s="162">
        <f>+OCTUBRE!$AG31</f>
        <v>153</v>
      </c>
      <c r="L31" s="162">
        <f>+NOVIEMBRE!$AG31</f>
        <v>154</v>
      </c>
      <c r="M31" s="162">
        <f>+DICIEMBRE!$AG31</f>
        <v>41</v>
      </c>
      <c r="N31" s="64">
        <f t="shared" si="0"/>
        <v>1761</v>
      </c>
    </row>
    <row r="32" spans="1:14" ht="18.75" x14ac:dyDescent="0.25">
      <c r="A32" s="163" t="s">
        <v>141</v>
      </c>
      <c r="B32" s="162">
        <f>+ENERO!$AG32</f>
        <v>173</v>
      </c>
      <c r="C32" s="162">
        <f>+FEBRERO!$AG32</f>
        <v>182</v>
      </c>
      <c r="D32" s="162">
        <f>+MARZO!$AG32</f>
        <v>164</v>
      </c>
      <c r="E32" s="162">
        <f>+ABRIL!$AG32</f>
        <v>159</v>
      </c>
      <c r="F32" s="162">
        <f>+MAYO!$AG32</f>
        <v>188</v>
      </c>
      <c r="G32" s="162">
        <f>+JUNIO!$AG32</f>
        <v>196</v>
      </c>
      <c r="H32" s="162">
        <f>+JULIO!$AG32</f>
        <v>178</v>
      </c>
      <c r="I32" s="162">
        <f>+AGOSTO!$AG32</f>
        <v>168</v>
      </c>
      <c r="J32" s="162">
        <f>+SEPTIEMBRE!$AG32</f>
        <v>135</v>
      </c>
      <c r="K32" s="162">
        <f>+OCTUBRE!$AG32</f>
        <v>155</v>
      </c>
      <c r="L32" s="162">
        <f>+NOVIEMBRE!$AG32</f>
        <v>137</v>
      </c>
      <c r="M32" s="162">
        <f>+DICIEMBRE!$AG32</f>
        <v>42</v>
      </c>
      <c r="N32" s="64">
        <f t="shared" si="0"/>
        <v>1877</v>
      </c>
    </row>
    <row r="33" spans="1:14" ht="18.75" x14ac:dyDescent="0.25">
      <c r="A33" s="163" t="s">
        <v>140</v>
      </c>
      <c r="B33" s="162">
        <f>+ENERO!$AG33</f>
        <v>189</v>
      </c>
      <c r="C33" s="162">
        <f>+FEBRERO!$AG33</f>
        <v>221</v>
      </c>
      <c r="D33" s="162">
        <f>+MARZO!$AG33</f>
        <v>190</v>
      </c>
      <c r="E33" s="162">
        <f>+ABRIL!$AG33</f>
        <v>181</v>
      </c>
      <c r="F33" s="162">
        <f>+MAYO!$AG33</f>
        <v>210</v>
      </c>
      <c r="G33" s="162">
        <f>+JUNIO!$AG33</f>
        <v>214</v>
      </c>
      <c r="H33" s="162">
        <f>+JULIO!$AG33</f>
        <v>233</v>
      </c>
      <c r="I33" s="162">
        <f>+AGOSTO!$AG33</f>
        <v>157</v>
      </c>
      <c r="J33" s="162">
        <f>+SEPTIEMBRE!$AG33</f>
        <v>120</v>
      </c>
      <c r="K33" s="162">
        <f>+OCTUBRE!$AG33</f>
        <v>149</v>
      </c>
      <c r="L33" s="162">
        <f>+NOVIEMBRE!$AG33</f>
        <v>161</v>
      </c>
      <c r="M33" s="162">
        <f>+DICIEMBRE!$AG33</f>
        <v>51</v>
      </c>
      <c r="N33" s="64">
        <f t="shared" si="0"/>
        <v>2076</v>
      </c>
    </row>
    <row r="34" spans="1:14" ht="18.75" x14ac:dyDescent="0.25">
      <c r="A34" s="163" t="s">
        <v>139</v>
      </c>
      <c r="B34" s="162">
        <f>+ENERO!$AG34</f>
        <v>159</v>
      </c>
      <c r="C34" s="162">
        <f>+FEBRERO!$AG34</f>
        <v>181</v>
      </c>
      <c r="D34" s="162">
        <f>+MARZO!$AG34</f>
        <v>163</v>
      </c>
      <c r="E34" s="162">
        <f>+ABRIL!$AG34</f>
        <v>159</v>
      </c>
      <c r="F34" s="162">
        <f>+MAYO!$AG34</f>
        <v>200</v>
      </c>
      <c r="G34" s="162">
        <f>+JUNIO!$AG34</f>
        <v>185</v>
      </c>
      <c r="H34" s="162">
        <f>+JULIO!$AG34</f>
        <v>173</v>
      </c>
      <c r="I34" s="162">
        <f>+AGOSTO!$AG34</f>
        <v>153</v>
      </c>
      <c r="J34" s="162">
        <f>+SEPTIEMBRE!$AG34</f>
        <v>121</v>
      </c>
      <c r="K34" s="162">
        <f>+OCTUBRE!$AG34</f>
        <v>132</v>
      </c>
      <c r="L34" s="162">
        <f>+NOVIEMBRE!$AG34</f>
        <v>152</v>
      </c>
      <c r="M34" s="162">
        <f>+DICIEMBRE!$AG34</f>
        <v>43</v>
      </c>
      <c r="N34" s="64">
        <f t="shared" si="0"/>
        <v>1821</v>
      </c>
    </row>
    <row r="35" spans="1:14" ht="18.75" x14ac:dyDescent="0.25">
      <c r="A35" s="163" t="s">
        <v>138</v>
      </c>
      <c r="B35" s="162">
        <f>+ENERO!$AG35</f>
        <v>191</v>
      </c>
      <c r="C35" s="162">
        <f>+FEBRERO!$AG35</f>
        <v>179</v>
      </c>
      <c r="D35" s="162">
        <f>+MARZO!$AG35</f>
        <v>155</v>
      </c>
      <c r="E35" s="162">
        <f>+ABRIL!$AG35</f>
        <v>200</v>
      </c>
      <c r="F35" s="162">
        <f>+MAYO!$AG35</f>
        <v>218</v>
      </c>
      <c r="G35" s="162">
        <f>+JUNIO!$AG35</f>
        <v>169</v>
      </c>
      <c r="H35" s="162">
        <f>+JULIO!$AG35</f>
        <v>170</v>
      </c>
      <c r="I35" s="162">
        <f>+AGOSTO!$AG35</f>
        <v>153</v>
      </c>
      <c r="J35" s="162">
        <f>+SEPTIEMBRE!$AG35</f>
        <v>109</v>
      </c>
      <c r="K35" s="162">
        <f>+OCTUBRE!$AG35</f>
        <v>156</v>
      </c>
      <c r="L35" s="162">
        <f>+NOVIEMBRE!$AG35</f>
        <v>140</v>
      </c>
      <c r="M35" s="162">
        <f>+DICIEMBRE!$AG35</f>
        <v>38</v>
      </c>
      <c r="N35" s="64">
        <f t="shared" ref="N35:N66" si="1">SUM(B35:M35)</f>
        <v>1878</v>
      </c>
    </row>
    <row r="36" spans="1:14" ht="18.75" x14ac:dyDescent="0.25">
      <c r="A36" s="163" t="s">
        <v>137</v>
      </c>
      <c r="B36" s="162">
        <f>+ENERO!$AG36</f>
        <v>181</v>
      </c>
      <c r="C36" s="162">
        <f>+FEBRERO!$AG36</f>
        <v>227</v>
      </c>
      <c r="D36" s="162">
        <f>+MARZO!$AG36</f>
        <v>189</v>
      </c>
      <c r="E36" s="162">
        <f>+ABRIL!$AG36</f>
        <v>205</v>
      </c>
      <c r="F36" s="162">
        <f>+MAYO!$AG36</f>
        <v>215</v>
      </c>
      <c r="G36" s="162">
        <f>+JUNIO!$AG36</f>
        <v>242</v>
      </c>
      <c r="H36" s="162">
        <f>+JULIO!$AG36</f>
        <v>179</v>
      </c>
      <c r="I36" s="162">
        <f>+AGOSTO!$AG36</f>
        <v>195</v>
      </c>
      <c r="J36" s="162">
        <f>+SEPTIEMBRE!$AG36</f>
        <v>126</v>
      </c>
      <c r="K36" s="162">
        <f>+OCTUBRE!$AG36</f>
        <v>168</v>
      </c>
      <c r="L36" s="162">
        <f>+NOVIEMBRE!$AG36</f>
        <v>178</v>
      </c>
      <c r="M36" s="162">
        <f>+DICIEMBRE!$AG36</f>
        <v>48</v>
      </c>
      <c r="N36" s="64">
        <f t="shared" si="1"/>
        <v>2153</v>
      </c>
    </row>
    <row r="37" spans="1:14" ht="18.75" x14ac:dyDescent="0.25">
      <c r="A37" s="163" t="s">
        <v>136</v>
      </c>
      <c r="B37" s="162">
        <f>+ENERO!$AG37</f>
        <v>227</v>
      </c>
      <c r="C37" s="162">
        <f>+FEBRERO!$AG37</f>
        <v>254</v>
      </c>
      <c r="D37" s="162">
        <f>+MARZO!$AG37</f>
        <v>212</v>
      </c>
      <c r="E37" s="162">
        <f>+ABRIL!$AG37</f>
        <v>200</v>
      </c>
      <c r="F37" s="162">
        <f>+MAYO!$AG37</f>
        <v>252</v>
      </c>
      <c r="G37" s="162">
        <f>+JUNIO!$AG37</f>
        <v>246</v>
      </c>
      <c r="H37" s="162">
        <f>+JULIO!$AG37</f>
        <v>192</v>
      </c>
      <c r="I37" s="162">
        <f>+AGOSTO!$AG37</f>
        <v>187</v>
      </c>
      <c r="J37" s="162">
        <f>+SEPTIEMBRE!$AG37</f>
        <v>171</v>
      </c>
      <c r="K37" s="162">
        <f>+OCTUBRE!$AG37</f>
        <v>182</v>
      </c>
      <c r="L37" s="162">
        <f>+NOVIEMBRE!$AG37</f>
        <v>210</v>
      </c>
      <c r="M37" s="162">
        <f>+DICIEMBRE!$AG37</f>
        <v>51</v>
      </c>
      <c r="N37" s="64">
        <f t="shared" si="1"/>
        <v>2384</v>
      </c>
    </row>
    <row r="38" spans="1:14" ht="18.75" x14ac:dyDescent="0.25">
      <c r="A38" s="163" t="s">
        <v>135</v>
      </c>
      <c r="B38" s="162">
        <f>+ENERO!$AG38</f>
        <v>295</v>
      </c>
      <c r="C38" s="162">
        <f>+FEBRERO!$AG38</f>
        <v>238</v>
      </c>
      <c r="D38" s="162">
        <f>+MARZO!$AG38</f>
        <v>274</v>
      </c>
      <c r="E38" s="162">
        <f>+ABRIL!$AG38</f>
        <v>248</v>
      </c>
      <c r="F38" s="162">
        <f>+MAYO!$AG38</f>
        <v>275</v>
      </c>
      <c r="G38" s="162">
        <f>+JUNIO!$AG38</f>
        <v>267</v>
      </c>
      <c r="H38" s="162">
        <f>+JULIO!$AG38</f>
        <v>313</v>
      </c>
      <c r="I38" s="162">
        <f>+AGOSTO!$AG38</f>
        <v>281</v>
      </c>
      <c r="J38" s="162">
        <f>+SEPTIEMBRE!$AG38</f>
        <v>197</v>
      </c>
      <c r="K38" s="162">
        <f>+OCTUBRE!$AG38</f>
        <v>299</v>
      </c>
      <c r="L38" s="162">
        <f>+NOVIEMBRE!$AG38</f>
        <v>246</v>
      </c>
      <c r="M38" s="162">
        <f>+DICIEMBRE!$AG38</f>
        <v>82</v>
      </c>
      <c r="N38" s="64">
        <f t="shared" si="1"/>
        <v>3015</v>
      </c>
    </row>
    <row r="39" spans="1:14" ht="18.75" x14ac:dyDescent="0.25">
      <c r="A39" s="163" t="s">
        <v>134</v>
      </c>
      <c r="B39" s="162">
        <f>+ENERO!$AG39</f>
        <v>368</v>
      </c>
      <c r="C39" s="162">
        <f>+FEBRERO!$AG39</f>
        <v>367</v>
      </c>
      <c r="D39" s="162">
        <f>+MARZO!$AG39</f>
        <v>446</v>
      </c>
      <c r="E39" s="162">
        <f>+ABRIL!$AG39</f>
        <v>426</v>
      </c>
      <c r="F39" s="162">
        <f>+MAYO!$AG39</f>
        <v>458</v>
      </c>
      <c r="G39" s="162">
        <f>+JUNIO!$AG39</f>
        <v>513</v>
      </c>
      <c r="H39" s="162">
        <f>+JULIO!$AG39</f>
        <v>479</v>
      </c>
      <c r="I39" s="162">
        <f>+AGOSTO!$AG39</f>
        <v>567</v>
      </c>
      <c r="J39" s="162">
        <f>+SEPTIEMBRE!$AG39</f>
        <v>475</v>
      </c>
      <c r="K39" s="162">
        <f>+OCTUBRE!$AG39</f>
        <v>532</v>
      </c>
      <c r="L39" s="162">
        <f>+NOVIEMBRE!$AG39</f>
        <v>504</v>
      </c>
      <c r="M39" s="162">
        <f>+DICIEMBRE!$AG39</f>
        <v>145</v>
      </c>
      <c r="N39" s="64">
        <f t="shared" si="1"/>
        <v>5280</v>
      </c>
    </row>
    <row r="40" spans="1:14" ht="18.75" x14ac:dyDescent="0.25">
      <c r="A40" s="163" t="s">
        <v>133</v>
      </c>
      <c r="B40" s="162">
        <f>+ENERO!$AG40</f>
        <v>422</v>
      </c>
      <c r="C40" s="162">
        <f>+FEBRERO!$AG40</f>
        <v>414</v>
      </c>
      <c r="D40" s="162">
        <f>+MARZO!$AG40</f>
        <v>512</v>
      </c>
      <c r="E40" s="162">
        <f>+ABRIL!$AG40</f>
        <v>471</v>
      </c>
      <c r="F40" s="162">
        <f>+MAYO!$AG40</f>
        <v>494</v>
      </c>
      <c r="G40" s="162">
        <f>+JUNIO!$AG40</f>
        <v>513</v>
      </c>
      <c r="H40" s="162">
        <f>+JULIO!$AG40</f>
        <v>501</v>
      </c>
      <c r="I40" s="162">
        <f>+AGOSTO!$AG40</f>
        <v>566</v>
      </c>
      <c r="J40" s="162">
        <f>+SEPTIEMBRE!$AG40</f>
        <v>500</v>
      </c>
      <c r="K40" s="162">
        <f>+OCTUBRE!$AG40</f>
        <v>545</v>
      </c>
      <c r="L40" s="162">
        <f>+NOVIEMBRE!$AG40</f>
        <v>547</v>
      </c>
      <c r="M40" s="162">
        <f>+DICIEMBRE!$AG40</f>
        <v>141</v>
      </c>
      <c r="N40" s="64">
        <f t="shared" si="1"/>
        <v>5626</v>
      </c>
    </row>
    <row r="41" spans="1:14" ht="18.75" x14ac:dyDescent="0.25">
      <c r="A41" s="163" t="s">
        <v>132</v>
      </c>
      <c r="B41" s="162">
        <f>+ENERO!$AG41</f>
        <v>382</v>
      </c>
      <c r="C41" s="162">
        <f>+FEBRERO!$AG41</f>
        <v>361</v>
      </c>
      <c r="D41" s="162">
        <f>+MARZO!$AG41</f>
        <v>468</v>
      </c>
      <c r="E41" s="162">
        <f>+ABRIL!$AG41</f>
        <v>405</v>
      </c>
      <c r="F41" s="162">
        <f>+MAYO!$AG41</f>
        <v>432</v>
      </c>
      <c r="G41" s="162">
        <f>+JUNIO!$AG41</f>
        <v>409</v>
      </c>
      <c r="H41" s="162">
        <f>+JULIO!$AG41</f>
        <v>434</v>
      </c>
      <c r="I41" s="162">
        <f>+AGOSTO!$AG41</f>
        <v>446</v>
      </c>
      <c r="J41" s="162">
        <f>+SEPTIEMBRE!$AG41</f>
        <v>425</v>
      </c>
      <c r="K41" s="162">
        <f>+OCTUBRE!$AG41</f>
        <v>438</v>
      </c>
      <c r="L41" s="162">
        <f>+NOVIEMBRE!$AG41</f>
        <v>488</v>
      </c>
      <c r="M41" s="162">
        <f>+DICIEMBRE!$AG41</f>
        <v>118</v>
      </c>
      <c r="N41" s="64">
        <f t="shared" si="1"/>
        <v>4806</v>
      </c>
    </row>
    <row r="42" spans="1:14" ht="18.75" x14ac:dyDescent="0.25">
      <c r="A42" s="163" t="s">
        <v>131</v>
      </c>
      <c r="B42" s="162">
        <f>+ENERO!$AG42</f>
        <v>293</v>
      </c>
      <c r="C42" s="162">
        <f>+FEBRERO!$AG42</f>
        <v>321</v>
      </c>
      <c r="D42" s="162">
        <f>+MARZO!$AG42</f>
        <v>403</v>
      </c>
      <c r="E42" s="162">
        <f>+ABRIL!$AG42</f>
        <v>285</v>
      </c>
      <c r="F42" s="162">
        <f>+MAYO!$AG42</f>
        <v>276</v>
      </c>
      <c r="G42" s="162">
        <f>+JUNIO!$AG42</f>
        <v>322</v>
      </c>
      <c r="H42" s="162">
        <f>+JULIO!$AG42</f>
        <v>327</v>
      </c>
      <c r="I42" s="162">
        <f>+AGOSTO!$AG42</f>
        <v>324</v>
      </c>
      <c r="J42" s="162">
        <f>+SEPTIEMBRE!$AG42</f>
        <v>360</v>
      </c>
      <c r="K42" s="162">
        <f>+OCTUBRE!$AG42</f>
        <v>406</v>
      </c>
      <c r="L42" s="162">
        <f>+NOVIEMBRE!$AG42</f>
        <v>479</v>
      </c>
      <c r="M42" s="162">
        <f>+DICIEMBRE!$AG42</f>
        <v>113</v>
      </c>
      <c r="N42" s="64">
        <f t="shared" si="1"/>
        <v>3909</v>
      </c>
    </row>
    <row r="43" spans="1:14" ht="18.75" x14ac:dyDescent="0.25">
      <c r="A43" s="163" t="s">
        <v>130</v>
      </c>
      <c r="B43" s="162">
        <f>+ENERO!$AG43</f>
        <v>275</v>
      </c>
      <c r="C43" s="162">
        <f>+FEBRERO!$AG43</f>
        <v>279</v>
      </c>
      <c r="D43" s="162">
        <f>+MARZO!$AG43</f>
        <v>335</v>
      </c>
      <c r="E43" s="162">
        <f>+ABRIL!$AG43</f>
        <v>192</v>
      </c>
      <c r="F43" s="162">
        <f>+MAYO!$AG43</f>
        <v>273</v>
      </c>
      <c r="G43" s="162">
        <f>+JUNIO!$AG43</f>
        <v>203</v>
      </c>
      <c r="H43" s="162">
        <f>+JULIO!$AG43</f>
        <v>296</v>
      </c>
      <c r="I43" s="162">
        <f>+AGOSTO!$AG43</f>
        <v>304</v>
      </c>
      <c r="J43" s="162">
        <f>+SEPTIEMBRE!$AG43</f>
        <v>280</v>
      </c>
      <c r="K43" s="162">
        <f>+OCTUBRE!$AG43</f>
        <v>336</v>
      </c>
      <c r="L43" s="162">
        <f>+NOVIEMBRE!$AG43</f>
        <v>402</v>
      </c>
      <c r="M43" s="162">
        <f>+DICIEMBRE!$AG43</f>
        <v>103</v>
      </c>
      <c r="N43" s="64">
        <f t="shared" si="1"/>
        <v>3278</v>
      </c>
    </row>
    <row r="44" spans="1:14" ht="18.75" x14ac:dyDescent="0.25">
      <c r="A44" s="163" t="s">
        <v>129</v>
      </c>
      <c r="B44" s="162">
        <f>+ENERO!$AG44</f>
        <v>203</v>
      </c>
      <c r="C44" s="162">
        <f>+FEBRERO!$AG44</f>
        <v>184</v>
      </c>
      <c r="D44" s="162">
        <f>+MARZO!$AG44</f>
        <v>215</v>
      </c>
      <c r="E44" s="162">
        <f>+ABRIL!$AG44</f>
        <v>111</v>
      </c>
      <c r="F44" s="162">
        <f>+MAYO!$AG44</f>
        <v>134</v>
      </c>
      <c r="G44" s="162">
        <f>+JUNIO!$AG44</f>
        <v>138</v>
      </c>
      <c r="H44" s="162">
        <f>+JULIO!$AG44</f>
        <v>166</v>
      </c>
      <c r="I44" s="162">
        <f>+AGOSTO!$AG44</f>
        <v>157</v>
      </c>
      <c r="J44" s="162">
        <f>+SEPTIEMBRE!$AG44</f>
        <v>166</v>
      </c>
      <c r="K44" s="162">
        <f>+OCTUBRE!$AG44</f>
        <v>223</v>
      </c>
      <c r="L44" s="162">
        <f>+NOVIEMBRE!$AG44</f>
        <v>284</v>
      </c>
      <c r="M44" s="162">
        <f>+DICIEMBRE!$AG44</f>
        <v>88</v>
      </c>
      <c r="N44" s="64">
        <f t="shared" si="1"/>
        <v>2069</v>
      </c>
    </row>
    <row r="45" spans="1:14" ht="18.75" x14ac:dyDescent="0.25">
      <c r="A45" s="163" t="s">
        <v>128</v>
      </c>
      <c r="B45" s="162">
        <f>+ENERO!$AG45</f>
        <v>175</v>
      </c>
      <c r="C45" s="162">
        <f>+FEBRERO!$AG45</f>
        <v>121</v>
      </c>
      <c r="D45" s="162">
        <f>+MARZO!$AG45</f>
        <v>142</v>
      </c>
      <c r="E45" s="162">
        <f>+ABRIL!$AG45</f>
        <v>91</v>
      </c>
      <c r="F45" s="162">
        <f>+MAYO!$AG45</f>
        <v>90</v>
      </c>
      <c r="G45" s="162">
        <f>+JUNIO!$AG45</f>
        <v>95</v>
      </c>
      <c r="H45" s="162">
        <f>+JULIO!$AG45</f>
        <v>129</v>
      </c>
      <c r="I45" s="162">
        <f>+AGOSTO!$AG45</f>
        <v>97</v>
      </c>
      <c r="J45" s="162">
        <f>+SEPTIEMBRE!$AG45</f>
        <v>134</v>
      </c>
      <c r="K45" s="162">
        <f>+OCTUBRE!$AG45</f>
        <v>197</v>
      </c>
      <c r="L45" s="162">
        <f>+NOVIEMBRE!$AG45</f>
        <v>194</v>
      </c>
      <c r="M45" s="162">
        <f>+DICIEMBRE!$AG45</f>
        <v>48</v>
      </c>
      <c r="N45" s="64">
        <f t="shared" si="1"/>
        <v>1513</v>
      </c>
    </row>
    <row r="46" spans="1:14" ht="18.75" x14ac:dyDescent="0.25">
      <c r="A46" s="163" t="s">
        <v>127</v>
      </c>
      <c r="B46" s="162">
        <f>+ENERO!$AG46</f>
        <v>94</v>
      </c>
      <c r="C46" s="162">
        <f>+FEBRERO!$AG46</f>
        <v>71</v>
      </c>
      <c r="D46" s="162">
        <f>+MARZO!$AG46</f>
        <v>112</v>
      </c>
      <c r="E46" s="162">
        <f>+ABRIL!$AG46</f>
        <v>65</v>
      </c>
      <c r="F46" s="162">
        <f>+MAYO!$AG46</f>
        <v>91</v>
      </c>
      <c r="G46" s="162">
        <f>+JUNIO!$AG46</f>
        <v>71</v>
      </c>
      <c r="H46" s="162">
        <f>+JULIO!$AG46</f>
        <v>72</v>
      </c>
      <c r="I46" s="162">
        <f>+AGOSTO!$AG46</f>
        <v>79</v>
      </c>
      <c r="J46" s="162">
        <f>+SEPTIEMBRE!$AG46</f>
        <v>86</v>
      </c>
      <c r="K46" s="162">
        <f>+OCTUBRE!$AG46</f>
        <v>115</v>
      </c>
      <c r="L46" s="162">
        <f>+NOVIEMBRE!$AG46</f>
        <v>138</v>
      </c>
      <c r="M46" s="162">
        <f>+DICIEMBRE!$AG46</f>
        <v>32</v>
      </c>
      <c r="N46" s="64">
        <f t="shared" si="1"/>
        <v>1026</v>
      </c>
    </row>
    <row r="47" spans="1:14" ht="18.75" x14ac:dyDescent="0.25">
      <c r="A47" s="163" t="s">
        <v>126</v>
      </c>
      <c r="B47" s="162">
        <f>+ENERO!$AG47</f>
        <v>47</v>
      </c>
      <c r="C47" s="162">
        <f>+FEBRERO!$AG47</f>
        <v>49</v>
      </c>
      <c r="D47" s="162">
        <f>+MARZO!$AG47</f>
        <v>50</v>
      </c>
      <c r="E47" s="162">
        <f>+ABRIL!$AG47</f>
        <v>35</v>
      </c>
      <c r="F47" s="162">
        <f>+MAYO!$AG47</f>
        <v>54</v>
      </c>
      <c r="G47" s="162">
        <f>+JUNIO!$AG47</f>
        <v>32</v>
      </c>
      <c r="H47" s="162">
        <f>+JULIO!$AG47</f>
        <v>54</v>
      </c>
      <c r="I47" s="162">
        <f>+AGOSTO!$AG47</f>
        <v>37</v>
      </c>
      <c r="J47" s="162">
        <f>+SEPTIEMBRE!$AG47</f>
        <v>61</v>
      </c>
      <c r="K47" s="162">
        <f>+OCTUBRE!$AG47</f>
        <v>76</v>
      </c>
      <c r="L47" s="162">
        <f>+NOVIEMBRE!$AG47</f>
        <v>73</v>
      </c>
      <c r="M47" s="162">
        <f>+DICIEMBRE!$AG47</f>
        <v>20</v>
      </c>
      <c r="N47" s="64">
        <f t="shared" si="1"/>
        <v>588</v>
      </c>
    </row>
    <row r="48" spans="1:14" ht="18.75" x14ac:dyDescent="0.25">
      <c r="A48" s="163" t="s">
        <v>125</v>
      </c>
      <c r="B48" s="162">
        <f>+ENERO!$AG48</f>
        <v>22</v>
      </c>
      <c r="C48" s="162">
        <f>+FEBRERO!$AG48</f>
        <v>30</v>
      </c>
      <c r="D48" s="162">
        <f>+MARZO!$AG48</f>
        <v>38</v>
      </c>
      <c r="E48" s="162">
        <f>+ABRIL!$AG48</f>
        <v>29</v>
      </c>
      <c r="F48" s="162">
        <f>+MAYO!$AG48</f>
        <v>23</v>
      </c>
      <c r="G48" s="162">
        <f>+JUNIO!$AG48</f>
        <v>28</v>
      </c>
      <c r="H48" s="162">
        <f>+JULIO!$AG48</f>
        <v>24</v>
      </c>
      <c r="I48" s="162">
        <f>+AGOSTO!$AG48</f>
        <v>27</v>
      </c>
      <c r="J48" s="162">
        <f>+SEPTIEMBRE!$AG48</f>
        <v>42</v>
      </c>
      <c r="K48" s="162">
        <f>+OCTUBRE!$AG48</f>
        <v>34</v>
      </c>
      <c r="L48" s="162">
        <f>+NOVIEMBRE!$AG48</f>
        <v>37</v>
      </c>
      <c r="M48" s="162">
        <f>+DICIEMBRE!$AG48</f>
        <v>16</v>
      </c>
      <c r="N48" s="64">
        <f t="shared" si="1"/>
        <v>350</v>
      </c>
    </row>
    <row r="49" spans="1:14" ht="18.75" x14ac:dyDescent="0.25">
      <c r="A49" s="163" t="s">
        <v>124</v>
      </c>
      <c r="B49" s="162">
        <f>+ENERO!$AG49</f>
        <v>21</v>
      </c>
      <c r="C49" s="162">
        <f>+FEBRERO!$AG49</f>
        <v>27</v>
      </c>
      <c r="D49" s="162">
        <f>+MARZO!$AG49</f>
        <v>21</v>
      </c>
      <c r="E49" s="162">
        <f>+ABRIL!$AG49</f>
        <v>19</v>
      </c>
      <c r="F49" s="162">
        <f>+MAYO!$AG49</f>
        <v>40</v>
      </c>
      <c r="G49" s="162">
        <f>+JUNIO!$AG49</f>
        <v>27</v>
      </c>
      <c r="H49" s="162">
        <f>+JULIO!$AG49</f>
        <v>22</v>
      </c>
      <c r="I49" s="162">
        <f>+AGOSTO!$AG49</f>
        <v>28</v>
      </c>
      <c r="J49" s="162">
        <f>+SEPTIEMBRE!$AG49</f>
        <v>25</v>
      </c>
      <c r="K49" s="162">
        <f>+OCTUBRE!$AG49</f>
        <v>41</v>
      </c>
      <c r="L49" s="162">
        <f>+NOVIEMBRE!$AG49</f>
        <v>32</v>
      </c>
      <c r="M49" s="162">
        <f>+DICIEMBRE!$AG49</f>
        <v>8</v>
      </c>
      <c r="N49" s="64">
        <f t="shared" si="1"/>
        <v>311</v>
      </c>
    </row>
    <row r="50" spans="1:14" ht="18.75" x14ac:dyDescent="0.25">
      <c r="A50" s="163" t="s">
        <v>123</v>
      </c>
      <c r="B50" s="162">
        <f>+ENERO!$AG50</f>
        <v>20</v>
      </c>
      <c r="C50" s="162">
        <f>+FEBRERO!$AG50</f>
        <v>22</v>
      </c>
      <c r="D50" s="162">
        <f>+MARZO!$AG50</f>
        <v>28</v>
      </c>
      <c r="E50" s="162">
        <f>+ABRIL!$AG50</f>
        <v>24</v>
      </c>
      <c r="F50" s="162">
        <f>+MAYO!$AG50</f>
        <v>15</v>
      </c>
      <c r="G50" s="162">
        <f>+JUNIO!$AG50</f>
        <v>16</v>
      </c>
      <c r="H50" s="162">
        <f>+JULIO!$AG50</f>
        <v>24</v>
      </c>
      <c r="I50" s="162">
        <f>+AGOSTO!$AG50</f>
        <v>23</v>
      </c>
      <c r="J50" s="162">
        <f>+SEPTIEMBRE!$AG50</f>
        <v>15</v>
      </c>
      <c r="K50" s="162">
        <f>+OCTUBRE!$AG50</f>
        <v>18</v>
      </c>
      <c r="L50" s="162">
        <f>+NOVIEMBRE!$AG50</f>
        <v>14</v>
      </c>
      <c r="M50" s="162">
        <f>+DICIEMBRE!$AG50</f>
        <v>5</v>
      </c>
      <c r="N50" s="64">
        <f t="shared" si="1"/>
        <v>224</v>
      </c>
    </row>
    <row r="51" spans="1:14" ht="18.75" x14ac:dyDescent="0.25">
      <c r="A51" s="163" t="s">
        <v>122</v>
      </c>
      <c r="B51" s="162">
        <f>+ENERO!$AG51</f>
        <v>29</v>
      </c>
      <c r="C51" s="162">
        <f>+FEBRERO!$AG51</f>
        <v>18</v>
      </c>
      <c r="D51" s="162">
        <f>+MARZO!$AG51</f>
        <v>12</v>
      </c>
      <c r="E51" s="162">
        <f>+ABRIL!$AG51</f>
        <v>19</v>
      </c>
      <c r="F51" s="162">
        <f>+MAYO!$AG51</f>
        <v>22</v>
      </c>
      <c r="G51" s="162">
        <f>+JUNIO!$AG51</f>
        <v>29</v>
      </c>
      <c r="H51" s="162">
        <f>+JULIO!$AG51</f>
        <v>15</v>
      </c>
      <c r="I51" s="162">
        <f>+AGOSTO!$AG51</f>
        <v>21</v>
      </c>
      <c r="J51" s="162">
        <f>+SEPTIEMBRE!$AG51</f>
        <v>15</v>
      </c>
      <c r="K51" s="162">
        <f>+OCTUBRE!$AG51</f>
        <v>18</v>
      </c>
      <c r="L51" s="162">
        <f>+NOVIEMBRE!$AG51</f>
        <v>14</v>
      </c>
      <c r="M51" s="162">
        <f>+DICIEMBRE!$AG51</f>
        <v>6</v>
      </c>
      <c r="N51" s="64">
        <f t="shared" si="1"/>
        <v>218</v>
      </c>
    </row>
    <row r="52" spans="1:14" ht="19.5" thickBot="1" x14ac:dyDescent="0.3">
      <c r="A52" s="208" t="s">
        <v>121</v>
      </c>
      <c r="B52" s="181">
        <f>+ENERO!$AG52</f>
        <v>21</v>
      </c>
      <c r="C52" s="181">
        <f>+FEBRERO!$AG52</f>
        <v>26</v>
      </c>
      <c r="D52" s="181">
        <f>+MARZO!$AG52</f>
        <v>25</v>
      </c>
      <c r="E52" s="181">
        <f>+ABRIL!$AG52</f>
        <v>22</v>
      </c>
      <c r="F52" s="181">
        <f>+MAYO!$AG52</f>
        <v>18</v>
      </c>
      <c r="G52" s="181">
        <f>+JUNIO!$AG52</f>
        <v>17</v>
      </c>
      <c r="H52" s="181">
        <f>+JULIO!$AG52</f>
        <v>26</v>
      </c>
      <c r="I52" s="181">
        <f>+AGOSTO!$AG52</f>
        <v>25</v>
      </c>
      <c r="J52" s="181">
        <f>+SEPTIEMBRE!$AG52</f>
        <v>14</v>
      </c>
      <c r="K52" s="181">
        <f>+OCTUBRE!$AG52</f>
        <v>17</v>
      </c>
      <c r="L52" s="181">
        <f>+NOVIEMBRE!$AG52</f>
        <v>13</v>
      </c>
      <c r="M52" s="181">
        <f>+DICIEMBRE!$AG52</f>
        <v>3</v>
      </c>
      <c r="N52" s="160">
        <f t="shared" si="1"/>
        <v>227</v>
      </c>
    </row>
    <row r="53" spans="1:14" ht="19.5" thickBot="1" x14ac:dyDescent="0.3">
      <c r="A53" s="121" t="s">
        <v>145</v>
      </c>
      <c r="B53" s="120">
        <f>+ENERO!$AG53</f>
        <v>279</v>
      </c>
      <c r="C53" s="120">
        <f>+FEBRERO!$AG53</f>
        <v>190</v>
      </c>
      <c r="D53" s="120">
        <f>+MARZO!$AG53</f>
        <v>263</v>
      </c>
      <c r="E53" s="120">
        <f>+ABRIL!$AG53</f>
        <v>235</v>
      </c>
      <c r="F53" s="120">
        <f>+MAYO!$AG53</f>
        <v>240</v>
      </c>
      <c r="G53" s="120">
        <f>+JUNIO!$AG53</f>
        <v>182</v>
      </c>
      <c r="H53" s="120">
        <f>+JULIO!$AG53</f>
        <v>159</v>
      </c>
      <c r="I53" s="120">
        <f>+AGOSTO!$AG53</f>
        <v>203</v>
      </c>
      <c r="J53" s="120">
        <f>+SEPTIEMBRE!$AG53</f>
        <v>181</v>
      </c>
      <c r="K53" s="120">
        <f>+OCTUBRE!$AG53</f>
        <v>210</v>
      </c>
      <c r="L53" s="120">
        <f>+NOVIEMBRE!$AG53</f>
        <v>334</v>
      </c>
      <c r="M53" s="120">
        <f>+DICIEMBRE!$AG53</f>
        <v>33</v>
      </c>
      <c r="N53" s="157">
        <f t="shared" si="1"/>
        <v>2509</v>
      </c>
    </row>
    <row r="54" spans="1:14" ht="18.75" x14ac:dyDescent="0.25">
      <c r="A54" s="207" t="s">
        <v>144</v>
      </c>
      <c r="B54" s="199">
        <f>+ENERO!$AG54</f>
        <v>5</v>
      </c>
      <c r="C54" s="199">
        <f>+FEBRERO!$AG54</f>
        <v>3</v>
      </c>
      <c r="D54" s="199">
        <f>+MARZO!$AG54</f>
        <v>0</v>
      </c>
      <c r="E54" s="199">
        <f>+ABRIL!$AG54</f>
        <v>2</v>
      </c>
      <c r="F54" s="199">
        <f>+MAYO!$AG54</f>
        <v>4</v>
      </c>
      <c r="G54" s="199">
        <f>+JUNIO!$AG54</f>
        <v>2</v>
      </c>
      <c r="H54" s="199">
        <f>+JULIO!$AG54</f>
        <v>3</v>
      </c>
      <c r="I54" s="199">
        <f>+AGOSTO!$AG54</f>
        <v>0</v>
      </c>
      <c r="J54" s="199">
        <f>+SEPTIEMBRE!$AG54</f>
        <v>1</v>
      </c>
      <c r="K54" s="199">
        <f>+OCTUBRE!$AG54</f>
        <v>1</v>
      </c>
      <c r="L54" s="199">
        <f>+NOVIEMBRE!$AG54</f>
        <v>0</v>
      </c>
      <c r="M54" s="199">
        <f>+DICIEMBRE!$AG54</f>
        <v>0</v>
      </c>
      <c r="N54" s="134">
        <f t="shared" si="1"/>
        <v>21</v>
      </c>
    </row>
    <row r="55" spans="1:14" ht="18.75" x14ac:dyDescent="0.25">
      <c r="A55" s="163" t="s">
        <v>143</v>
      </c>
      <c r="B55" s="162">
        <f>+ENERO!$AG55</f>
        <v>2</v>
      </c>
      <c r="C55" s="162">
        <f>+FEBRERO!$AG55</f>
        <v>11</v>
      </c>
      <c r="D55" s="162">
        <f>+MARZO!$AG55</f>
        <v>1</v>
      </c>
      <c r="E55" s="162">
        <f>+ABRIL!$AG55</f>
        <v>8</v>
      </c>
      <c r="F55" s="162">
        <f>+MAYO!$AG55</f>
        <v>8</v>
      </c>
      <c r="G55" s="162">
        <f>+JUNIO!$AG55</f>
        <v>4</v>
      </c>
      <c r="H55" s="162">
        <f>+JULIO!$AG55</f>
        <v>3</v>
      </c>
      <c r="I55" s="162">
        <f>+AGOSTO!$AG55</f>
        <v>2</v>
      </c>
      <c r="J55" s="162">
        <f>+SEPTIEMBRE!$AG55</f>
        <v>0</v>
      </c>
      <c r="K55" s="162">
        <f>+OCTUBRE!$AG55</f>
        <v>2</v>
      </c>
      <c r="L55" s="162">
        <f>+NOVIEMBRE!$AG55</f>
        <v>6</v>
      </c>
      <c r="M55" s="162">
        <f>+DICIEMBRE!$AG55</f>
        <v>0</v>
      </c>
      <c r="N55" s="64">
        <f t="shared" si="1"/>
        <v>47</v>
      </c>
    </row>
    <row r="56" spans="1:14" ht="18.75" x14ac:dyDescent="0.25">
      <c r="A56" s="163" t="s">
        <v>142</v>
      </c>
      <c r="B56" s="162">
        <f>+ENERO!$AG56</f>
        <v>5</v>
      </c>
      <c r="C56" s="162">
        <f>+FEBRERO!$AG56</f>
        <v>6</v>
      </c>
      <c r="D56" s="162">
        <f>+MARZO!$AG56</f>
        <v>9</v>
      </c>
      <c r="E56" s="162">
        <f>+ABRIL!$AG56</f>
        <v>2</v>
      </c>
      <c r="F56" s="162">
        <f>+MAYO!$AG56</f>
        <v>2</v>
      </c>
      <c r="G56" s="162">
        <f>+JUNIO!$AG56</f>
        <v>1</v>
      </c>
      <c r="H56" s="162">
        <f>+JULIO!$AG56</f>
        <v>4</v>
      </c>
      <c r="I56" s="162">
        <f>+AGOSTO!$AG56</f>
        <v>4</v>
      </c>
      <c r="J56" s="162">
        <f>+SEPTIEMBRE!$AG56</f>
        <v>0</v>
      </c>
      <c r="K56" s="162">
        <f>+OCTUBRE!$AG56</f>
        <v>2</v>
      </c>
      <c r="L56" s="162">
        <f>+NOVIEMBRE!$AG56</f>
        <v>1</v>
      </c>
      <c r="M56" s="162">
        <f>+DICIEMBRE!$AG56</f>
        <v>2</v>
      </c>
      <c r="N56" s="64">
        <f t="shared" si="1"/>
        <v>38</v>
      </c>
    </row>
    <row r="57" spans="1:14" ht="18.75" x14ac:dyDescent="0.25">
      <c r="A57" s="163" t="s">
        <v>141</v>
      </c>
      <c r="B57" s="162">
        <f>+ENERO!$AG57</f>
        <v>3</v>
      </c>
      <c r="C57" s="162">
        <f>+FEBRERO!$AG57</f>
        <v>11</v>
      </c>
      <c r="D57" s="162">
        <f>+MARZO!$AG57</f>
        <v>4</v>
      </c>
      <c r="E57" s="162">
        <f>+ABRIL!$AG57</f>
        <v>10</v>
      </c>
      <c r="F57" s="162">
        <f>+MAYO!$AG57</f>
        <v>7</v>
      </c>
      <c r="G57" s="162">
        <f>+JUNIO!$AG57</f>
        <v>2</v>
      </c>
      <c r="H57" s="162">
        <f>+JULIO!$AG57</f>
        <v>6</v>
      </c>
      <c r="I57" s="162">
        <f>+AGOSTO!$AG57</f>
        <v>5</v>
      </c>
      <c r="J57" s="162">
        <f>+SEPTIEMBRE!$AG57</f>
        <v>2</v>
      </c>
      <c r="K57" s="162">
        <f>+OCTUBRE!$AG57</f>
        <v>2</v>
      </c>
      <c r="L57" s="162">
        <f>+NOVIEMBRE!$AG57</f>
        <v>3</v>
      </c>
      <c r="M57" s="162">
        <f>+DICIEMBRE!$AG57</f>
        <v>1</v>
      </c>
      <c r="N57" s="64">
        <f t="shared" si="1"/>
        <v>56</v>
      </c>
    </row>
    <row r="58" spans="1:14" ht="18.75" x14ac:dyDescent="0.25">
      <c r="A58" s="163" t="s">
        <v>140</v>
      </c>
      <c r="B58" s="162">
        <f>+ENERO!$AG58</f>
        <v>11</v>
      </c>
      <c r="C58" s="162">
        <f>+FEBRERO!$AG58</f>
        <v>10</v>
      </c>
      <c r="D58" s="162">
        <f>+MARZO!$AG58</f>
        <v>4</v>
      </c>
      <c r="E58" s="162">
        <f>+ABRIL!$AG58</f>
        <v>2</v>
      </c>
      <c r="F58" s="162">
        <f>+MAYO!$AG58</f>
        <v>8</v>
      </c>
      <c r="G58" s="162">
        <f>+JUNIO!$AG58</f>
        <v>12</v>
      </c>
      <c r="H58" s="162">
        <f>+JULIO!$AG58</f>
        <v>3</v>
      </c>
      <c r="I58" s="162">
        <f>+AGOSTO!$AG58</f>
        <v>2</v>
      </c>
      <c r="J58" s="162">
        <f>+SEPTIEMBRE!$AG58</f>
        <v>5</v>
      </c>
      <c r="K58" s="162">
        <f>+OCTUBRE!$AG58</f>
        <v>8</v>
      </c>
      <c r="L58" s="162">
        <f>+NOVIEMBRE!$AG58</f>
        <v>5</v>
      </c>
      <c r="M58" s="162">
        <f>+DICIEMBRE!$AG58</f>
        <v>1</v>
      </c>
      <c r="N58" s="64">
        <f t="shared" si="1"/>
        <v>71</v>
      </c>
    </row>
    <row r="59" spans="1:14" ht="18.75" x14ac:dyDescent="0.25">
      <c r="A59" s="163" t="s">
        <v>139</v>
      </c>
      <c r="B59" s="162">
        <f>+ENERO!$AG59</f>
        <v>5</v>
      </c>
      <c r="C59" s="162">
        <f>+FEBRERO!$AG59</f>
        <v>16</v>
      </c>
      <c r="D59" s="162">
        <f>+MARZO!$AG59</f>
        <v>4</v>
      </c>
      <c r="E59" s="162">
        <f>+ABRIL!$AG59</f>
        <v>16</v>
      </c>
      <c r="F59" s="162">
        <f>+MAYO!$AG59</f>
        <v>9</v>
      </c>
      <c r="G59" s="162">
        <f>+JUNIO!$AG59</f>
        <v>6</v>
      </c>
      <c r="H59" s="162">
        <f>+JULIO!$AG59</f>
        <v>3</v>
      </c>
      <c r="I59" s="162">
        <f>+AGOSTO!$AG59</f>
        <v>6</v>
      </c>
      <c r="J59" s="162">
        <f>+SEPTIEMBRE!$AG59</f>
        <v>9</v>
      </c>
      <c r="K59" s="162">
        <f>+OCTUBRE!$AG59</f>
        <v>0</v>
      </c>
      <c r="L59" s="162">
        <f>+NOVIEMBRE!$AG59</f>
        <v>5</v>
      </c>
      <c r="M59" s="162">
        <f>+DICIEMBRE!$AG59</f>
        <v>1</v>
      </c>
      <c r="N59" s="64">
        <f t="shared" si="1"/>
        <v>80</v>
      </c>
    </row>
    <row r="60" spans="1:14" ht="18.75" x14ac:dyDescent="0.25">
      <c r="A60" s="163" t="s">
        <v>138</v>
      </c>
      <c r="B60" s="162">
        <f>+ENERO!$AG60</f>
        <v>10</v>
      </c>
      <c r="C60" s="162">
        <f>+FEBRERO!$AG60</f>
        <v>12</v>
      </c>
      <c r="D60" s="162">
        <f>+MARZO!$AG60</f>
        <v>3</v>
      </c>
      <c r="E60" s="162">
        <f>+ABRIL!$AG60</f>
        <v>9</v>
      </c>
      <c r="F60" s="162">
        <f>+MAYO!$AG60</f>
        <v>6</v>
      </c>
      <c r="G60" s="162">
        <f>+JUNIO!$AG60</f>
        <v>4</v>
      </c>
      <c r="H60" s="162">
        <f>+JULIO!$AG60</f>
        <v>5</v>
      </c>
      <c r="I60" s="162">
        <f>+AGOSTO!$AG60</f>
        <v>4</v>
      </c>
      <c r="J60" s="162">
        <f>+SEPTIEMBRE!$AG60</f>
        <v>5</v>
      </c>
      <c r="K60" s="162">
        <f>+OCTUBRE!$AG60</f>
        <v>3</v>
      </c>
      <c r="L60" s="162">
        <f>+NOVIEMBRE!$AG60</f>
        <v>2</v>
      </c>
      <c r="M60" s="162">
        <f>+DICIEMBRE!$AG60</f>
        <v>1</v>
      </c>
      <c r="N60" s="64">
        <f t="shared" si="1"/>
        <v>64</v>
      </c>
    </row>
    <row r="61" spans="1:14" ht="18.75" x14ac:dyDescent="0.25">
      <c r="A61" s="163" t="s">
        <v>137</v>
      </c>
      <c r="B61" s="162">
        <f>+ENERO!$AG61</f>
        <v>8</v>
      </c>
      <c r="C61" s="162">
        <f>+FEBRERO!$AG61</f>
        <v>11</v>
      </c>
      <c r="D61" s="162">
        <f>+MARZO!$AG61</f>
        <v>4</v>
      </c>
      <c r="E61" s="162">
        <f>+ABRIL!$AG61</f>
        <v>7</v>
      </c>
      <c r="F61" s="162">
        <f>+MAYO!$AG61</f>
        <v>12</v>
      </c>
      <c r="G61" s="162">
        <f>+JUNIO!$AG61</f>
        <v>14</v>
      </c>
      <c r="H61" s="162">
        <f>+JULIO!$AG61</f>
        <v>4</v>
      </c>
      <c r="I61" s="162">
        <f>+AGOSTO!$AG61</f>
        <v>5</v>
      </c>
      <c r="J61" s="162">
        <f>+SEPTIEMBRE!$AG61</f>
        <v>1</v>
      </c>
      <c r="K61" s="162">
        <f>+OCTUBRE!$AG61</f>
        <v>1</v>
      </c>
      <c r="L61" s="162">
        <f>+NOVIEMBRE!$AG61</f>
        <v>5</v>
      </c>
      <c r="M61" s="162">
        <f>+DICIEMBRE!$AG61</f>
        <v>0</v>
      </c>
      <c r="N61" s="64">
        <f t="shared" si="1"/>
        <v>72</v>
      </c>
    </row>
    <row r="62" spans="1:14" ht="18.75" x14ac:dyDescent="0.25">
      <c r="A62" s="163" t="s">
        <v>136</v>
      </c>
      <c r="B62" s="162">
        <f>+ENERO!$AG62</f>
        <v>5</v>
      </c>
      <c r="C62" s="162">
        <f>+FEBRERO!$AG62</f>
        <v>12</v>
      </c>
      <c r="D62" s="162">
        <f>+MARZO!$AG62</f>
        <v>9</v>
      </c>
      <c r="E62" s="162">
        <f>+ABRIL!$AG62</f>
        <v>11</v>
      </c>
      <c r="F62" s="162">
        <f>+MAYO!$AG62</f>
        <v>20</v>
      </c>
      <c r="G62" s="162">
        <f>+JUNIO!$AG62</f>
        <v>10</v>
      </c>
      <c r="H62" s="162">
        <f>+JULIO!$AG62</f>
        <v>4</v>
      </c>
      <c r="I62" s="162">
        <f>+AGOSTO!$AG62</f>
        <v>6</v>
      </c>
      <c r="J62" s="162">
        <f>+SEPTIEMBRE!$AG62</f>
        <v>3</v>
      </c>
      <c r="K62" s="162">
        <f>+OCTUBRE!$AG62</f>
        <v>3</v>
      </c>
      <c r="L62" s="162">
        <f>+NOVIEMBRE!$AG62</f>
        <v>6</v>
      </c>
      <c r="M62" s="162">
        <f>+DICIEMBRE!$AG62</f>
        <v>1</v>
      </c>
      <c r="N62" s="64">
        <f t="shared" si="1"/>
        <v>90</v>
      </c>
    </row>
    <row r="63" spans="1:14" ht="18.75" x14ac:dyDescent="0.25">
      <c r="A63" s="163" t="s">
        <v>135</v>
      </c>
      <c r="B63" s="162">
        <f>+ENERO!$AG63</f>
        <v>21</v>
      </c>
      <c r="C63" s="162">
        <f>+FEBRERO!$AG63</f>
        <v>7</v>
      </c>
      <c r="D63" s="162">
        <f>+MARZO!$AG63</f>
        <v>12</v>
      </c>
      <c r="E63" s="162">
        <f>+ABRIL!$AG63</f>
        <v>20</v>
      </c>
      <c r="F63" s="162">
        <f>+MAYO!$AG63</f>
        <v>17</v>
      </c>
      <c r="G63" s="162">
        <f>+JUNIO!$AG63</f>
        <v>10</v>
      </c>
      <c r="H63" s="162">
        <f>+JULIO!$AG63</f>
        <v>12</v>
      </c>
      <c r="I63" s="162">
        <f>+AGOSTO!$AG63</f>
        <v>11</v>
      </c>
      <c r="J63" s="162">
        <f>+SEPTIEMBRE!$AG63</f>
        <v>12</v>
      </c>
      <c r="K63" s="162">
        <f>+OCTUBRE!$AG63</f>
        <v>9</v>
      </c>
      <c r="L63" s="162">
        <f>+NOVIEMBRE!$AG63</f>
        <v>16</v>
      </c>
      <c r="M63" s="162">
        <f>+DICIEMBRE!$AG63</f>
        <v>1</v>
      </c>
      <c r="N63" s="64">
        <f t="shared" si="1"/>
        <v>148</v>
      </c>
    </row>
    <row r="64" spans="1:14" ht="18.75" x14ac:dyDescent="0.25">
      <c r="A64" s="163" t="s">
        <v>134</v>
      </c>
      <c r="B64" s="162">
        <f>+ENERO!$AG64</f>
        <v>31</v>
      </c>
      <c r="C64" s="162">
        <f>+FEBRERO!$AG64</f>
        <v>16</v>
      </c>
      <c r="D64" s="162">
        <f>+MARZO!$AG64</f>
        <v>40</v>
      </c>
      <c r="E64" s="162">
        <f>+ABRIL!$AG64</f>
        <v>24</v>
      </c>
      <c r="F64" s="162">
        <f>+MAYO!$AG64</f>
        <v>27</v>
      </c>
      <c r="G64" s="162">
        <f>+JUNIO!$AG64</f>
        <v>15</v>
      </c>
      <c r="H64" s="162">
        <f>+JULIO!$AG64</f>
        <v>18</v>
      </c>
      <c r="I64" s="162">
        <f>+AGOSTO!$AG64</f>
        <v>33</v>
      </c>
      <c r="J64" s="162">
        <f>+SEPTIEMBRE!$AG64</f>
        <v>16</v>
      </c>
      <c r="K64" s="162">
        <f>+OCTUBRE!$AG64</f>
        <v>22</v>
      </c>
      <c r="L64" s="162">
        <f>+NOVIEMBRE!$AG64</f>
        <v>34</v>
      </c>
      <c r="M64" s="162">
        <f>+DICIEMBRE!$AG64</f>
        <v>4</v>
      </c>
      <c r="N64" s="64">
        <f t="shared" si="1"/>
        <v>280</v>
      </c>
    </row>
    <row r="65" spans="1:14" ht="18.75" x14ac:dyDescent="0.25">
      <c r="A65" s="163" t="s">
        <v>133</v>
      </c>
      <c r="B65" s="162">
        <f>+ENERO!$AG65</f>
        <v>25</v>
      </c>
      <c r="C65" s="162">
        <f>+FEBRERO!$AG65</f>
        <v>13</v>
      </c>
      <c r="D65" s="162">
        <f>+MARZO!$AG65</f>
        <v>43</v>
      </c>
      <c r="E65" s="162">
        <f>+ABRIL!$AG65</f>
        <v>42</v>
      </c>
      <c r="F65" s="162">
        <f>+MAYO!$AG65</f>
        <v>47</v>
      </c>
      <c r="G65" s="162">
        <f>+JUNIO!$AG65</f>
        <v>44</v>
      </c>
      <c r="H65" s="162">
        <f>+JULIO!$AG65</f>
        <v>44</v>
      </c>
      <c r="I65" s="162">
        <f>+AGOSTO!$AG65</f>
        <v>36</v>
      </c>
      <c r="J65" s="162">
        <f>+SEPTIEMBRE!$AG65</f>
        <v>36</v>
      </c>
      <c r="K65" s="162">
        <f>+OCTUBRE!$AG65</f>
        <v>36</v>
      </c>
      <c r="L65" s="162">
        <f>+NOVIEMBRE!$AG65</f>
        <v>45</v>
      </c>
      <c r="M65" s="162">
        <f>+DICIEMBRE!$AG65</f>
        <v>3</v>
      </c>
      <c r="N65" s="64">
        <f t="shared" si="1"/>
        <v>414</v>
      </c>
    </row>
    <row r="66" spans="1:14" ht="18.75" x14ac:dyDescent="0.25">
      <c r="A66" s="163" t="s">
        <v>132</v>
      </c>
      <c r="B66" s="162">
        <f>+ENERO!$AG66</f>
        <v>32</v>
      </c>
      <c r="C66" s="162">
        <f>+FEBRERO!$AG66</f>
        <v>11</v>
      </c>
      <c r="D66" s="162">
        <f>+MARZO!$AG66</f>
        <v>43</v>
      </c>
      <c r="E66" s="162">
        <f>+ABRIL!$AG66</f>
        <v>38</v>
      </c>
      <c r="F66" s="162">
        <f>+MAYO!$AG66</f>
        <v>27</v>
      </c>
      <c r="G66" s="162">
        <f>+JUNIO!$AG66</f>
        <v>17</v>
      </c>
      <c r="H66" s="162">
        <f>+JULIO!$AG66</f>
        <v>27</v>
      </c>
      <c r="I66" s="162">
        <f>+AGOSTO!$AG66</f>
        <v>46</v>
      </c>
      <c r="J66" s="162">
        <f>+SEPTIEMBRE!$AG66</f>
        <v>24</v>
      </c>
      <c r="K66" s="162">
        <f>+OCTUBRE!$AG66</f>
        <v>38</v>
      </c>
      <c r="L66" s="162">
        <f>+NOVIEMBRE!$AG66</f>
        <v>53</v>
      </c>
      <c r="M66" s="162">
        <f>+DICIEMBRE!$AG66</f>
        <v>3</v>
      </c>
      <c r="N66" s="64">
        <f t="shared" si="1"/>
        <v>359</v>
      </c>
    </row>
    <row r="67" spans="1:14" ht="18.75" x14ac:dyDescent="0.25">
      <c r="A67" s="163" t="s">
        <v>131</v>
      </c>
      <c r="B67" s="162">
        <f>+ENERO!$AG67</f>
        <v>33</v>
      </c>
      <c r="C67" s="162">
        <f>+FEBRERO!$AG67</f>
        <v>18</v>
      </c>
      <c r="D67" s="162">
        <f>+MARZO!$AG67</f>
        <v>39</v>
      </c>
      <c r="E67" s="162">
        <f>+ABRIL!$AG67</f>
        <v>17</v>
      </c>
      <c r="F67" s="162">
        <f>+MAYO!$AG67</f>
        <v>18</v>
      </c>
      <c r="G67" s="162">
        <f>+JUNIO!$AG67</f>
        <v>23</v>
      </c>
      <c r="H67" s="162">
        <f>+JULIO!$AG67</f>
        <v>9</v>
      </c>
      <c r="I67" s="162">
        <f>+AGOSTO!$AG67</f>
        <v>18</v>
      </c>
      <c r="J67" s="162">
        <f>+SEPTIEMBRE!$AG67</f>
        <v>23</v>
      </c>
      <c r="K67" s="162">
        <f>+OCTUBRE!$AG67</f>
        <v>28</v>
      </c>
      <c r="L67" s="162">
        <f>+NOVIEMBRE!$AG67</f>
        <v>54</v>
      </c>
      <c r="M67" s="162">
        <f>+DICIEMBRE!$AG67</f>
        <v>7</v>
      </c>
      <c r="N67" s="64">
        <f t="shared" ref="N67:N98" si="2">SUM(B67:M67)</f>
        <v>287</v>
      </c>
    </row>
    <row r="68" spans="1:14" ht="18.75" x14ac:dyDescent="0.25">
      <c r="A68" s="163" t="s">
        <v>130</v>
      </c>
      <c r="B68" s="162">
        <f>+ENERO!$AG68</f>
        <v>22</v>
      </c>
      <c r="C68" s="162">
        <f>+FEBRERO!$AG68</f>
        <v>11</v>
      </c>
      <c r="D68" s="162">
        <f>+MARZO!$AG68</f>
        <v>28</v>
      </c>
      <c r="E68" s="162">
        <f>+ABRIL!$AG68</f>
        <v>5</v>
      </c>
      <c r="F68" s="162">
        <f>+MAYO!$AG68</f>
        <v>10</v>
      </c>
      <c r="G68" s="162">
        <f>+JUNIO!$AG68</f>
        <v>9</v>
      </c>
      <c r="H68" s="162">
        <f>+JULIO!$AG68</f>
        <v>5</v>
      </c>
      <c r="I68" s="162">
        <f>+AGOSTO!$AG68</f>
        <v>12</v>
      </c>
      <c r="J68" s="162">
        <f>+SEPTIEMBRE!$AG68</f>
        <v>9</v>
      </c>
      <c r="K68" s="162">
        <f>+OCTUBRE!$AG68</f>
        <v>15</v>
      </c>
      <c r="L68" s="162">
        <f>+NOVIEMBRE!$AG68</f>
        <v>32</v>
      </c>
      <c r="M68" s="162">
        <f>+DICIEMBRE!$AG68</f>
        <v>1</v>
      </c>
      <c r="N68" s="64">
        <f t="shared" si="2"/>
        <v>159</v>
      </c>
    </row>
    <row r="69" spans="1:14" ht="18.75" x14ac:dyDescent="0.25">
      <c r="A69" s="163" t="s">
        <v>129</v>
      </c>
      <c r="B69" s="162">
        <f>+ENERO!$AG69</f>
        <v>29</v>
      </c>
      <c r="C69" s="162">
        <f>+FEBRERO!$AG69</f>
        <v>9</v>
      </c>
      <c r="D69" s="162">
        <f>+MARZO!$AG69</f>
        <v>8</v>
      </c>
      <c r="E69" s="162">
        <f>+ABRIL!$AG69</f>
        <v>0</v>
      </c>
      <c r="F69" s="162">
        <f>+MAYO!$AG69</f>
        <v>5</v>
      </c>
      <c r="G69" s="162">
        <f>+JUNIO!$AG69</f>
        <v>3</v>
      </c>
      <c r="H69" s="162">
        <f>+JULIO!$AG69</f>
        <v>4</v>
      </c>
      <c r="I69" s="162">
        <f>+AGOSTO!$AG69</f>
        <v>5</v>
      </c>
      <c r="J69" s="162">
        <f>+SEPTIEMBRE!$AG69</f>
        <v>12</v>
      </c>
      <c r="K69" s="162">
        <f>+OCTUBRE!$AG69</f>
        <v>14</v>
      </c>
      <c r="L69" s="162">
        <f>+NOVIEMBRE!$AG69</f>
        <v>22</v>
      </c>
      <c r="M69" s="162">
        <f>+DICIEMBRE!$AG69</f>
        <v>1</v>
      </c>
      <c r="N69" s="64">
        <f t="shared" si="2"/>
        <v>112</v>
      </c>
    </row>
    <row r="70" spans="1:14" ht="18.75" x14ac:dyDescent="0.25">
      <c r="A70" s="163" t="s">
        <v>128</v>
      </c>
      <c r="B70" s="199">
        <f>+ENERO!$AG70</f>
        <v>22</v>
      </c>
      <c r="C70" s="199">
        <f>+FEBRERO!$AG70</f>
        <v>7</v>
      </c>
      <c r="D70" s="199">
        <f>+MARZO!$AG70</f>
        <v>2</v>
      </c>
      <c r="E70" s="199">
        <f>+ABRIL!$AG70</f>
        <v>13</v>
      </c>
      <c r="F70" s="199">
        <f>+MAYO!$AG70</f>
        <v>5</v>
      </c>
      <c r="G70" s="199">
        <f>+JUNIO!$AG70</f>
        <v>0</v>
      </c>
      <c r="H70" s="199">
        <f>+JULIO!$AG70</f>
        <v>2</v>
      </c>
      <c r="I70" s="199">
        <f>+AGOSTO!$AG70</f>
        <v>1</v>
      </c>
      <c r="J70" s="199">
        <f>+SEPTIEMBRE!$AG70</f>
        <v>5</v>
      </c>
      <c r="K70" s="199">
        <f>+OCTUBRE!$AG70</f>
        <v>16</v>
      </c>
      <c r="L70" s="199">
        <f>+NOVIEMBRE!$AG70</f>
        <v>11</v>
      </c>
      <c r="M70" s="199">
        <f>+DICIEMBRE!$AG70</f>
        <v>1</v>
      </c>
      <c r="N70" s="64">
        <f t="shared" si="2"/>
        <v>85</v>
      </c>
    </row>
    <row r="71" spans="1:14" ht="18.75" x14ac:dyDescent="0.25">
      <c r="A71" s="163" t="s">
        <v>127</v>
      </c>
      <c r="B71" s="199">
        <f>+ENERO!$AG71</f>
        <v>5</v>
      </c>
      <c r="C71" s="199">
        <f>+FEBRERO!$AG71</f>
        <v>1</v>
      </c>
      <c r="D71" s="199">
        <f>+MARZO!$AG71</f>
        <v>5</v>
      </c>
      <c r="E71" s="199">
        <f>+ABRIL!$AG71</f>
        <v>2</v>
      </c>
      <c r="F71" s="199">
        <f>+MAYO!$AG71</f>
        <v>3</v>
      </c>
      <c r="G71" s="199">
        <f>+JUNIO!$AG71</f>
        <v>0</v>
      </c>
      <c r="H71" s="199">
        <f>+JULIO!$AG71</f>
        <v>1</v>
      </c>
      <c r="I71" s="199">
        <f>+AGOSTO!$AG71</f>
        <v>5</v>
      </c>
      <c r="J71" s="199">
        <f>+SEPTIEMBRE!$AG71</f>
        <v>9</v>
      </c>
      <c r="K71" s="199">
        <f>+OCTUBRE!$AG71</f>
        <v>5</v>
      </c>
      <c r="L71" s="199">
        <f>+NOVIEMBRE!$AG71</f>
        <v>14</v>
      </c>
      <c r="M71" s="199">
        <f>+DICIEMBRE!$AG71</f>
        <v>4</v>
      </c>
      <c r="N71" s="64">
        <f t="shared" si="2"/>
        <v>54</v>
      </c>
    </row>
    <row r="72" spans="1:14" ht="18.75" x14ac:dyDescent="0.25">
      <c r="A72" s="163" t="s">
        <v>126</v>
      </c>
      <c r="B72" s="199">
        <f>+ENERO!$AG72</f>
        <v>1</v>
      </c>
      <c r="C72" s="199">
        <f>+FEBRERO!$AG72</f>
        <v>3</v>
      </c>
      <c r="D72" s="199">
        <f>+MARZO!$AG72</f>
        <v>2</v>
      </c>
      <c r="E72" s="199">
        <f>+ABRIL!$AG72</f>
        <v>0</v>
      </c>
      <c r="F72" s="199">
        <f>+MAYO!$AG72</f>
        <v>2</v>
      </c>
      <c r="G72" s="199">
        <f>+JUNIO!$AG72</f>
        <v>2</v>
      </c>
      <c r="H72" s="199">
        <f>+JULIO!$AG72</f>
        <v>0</v>
      </c>
      <c r="I72" s="199">
        <f>+AGOSTO!$AG72</f>
        <v>0</v>
      </c>
      <c r="J72" s="199">
        <f>+SEPTIEMBRE!$AG72</f>
        <v>4</v>
      </c>
      <c r="K72" s="199">
        <f>+OCTUBRE!$AG72</f>
        <v>2</v>
      </c>
      <c r="L72" s="199">
        <f>+NOVIEMBRE!$AG72</f>
        <v>10</v>
      </c>
      <c r="M72" s="199">
        <f>+DICIEMBRE!$AG72</f>
        <v>1</v>
      </c>
      <c r="N72" s="64">
        <f t="shared" si="2"/>
        <v>27</v>
      </c>
    </row>
    <row r="73" spans="1:14" ht="18.75" x14ac:dyDescent="0.25">
      <c r="A73" s="163" t="s">
        <v>125</v>
      </c>
      <c r="B73" s="199">
        <f>+ENERO!$AG73</f>
        <v>1</v>
      </c>
      <c r="C73" s="199">
        <f>+FEBRERO!$AG73</f>
        <v>0</v>
      </c>
      <c r="D73" s="199">
        <f>+MARZO!$AG73</f>
        <v>0</v>
      </c>
      <c r="E73" s="199">
        <f>+ABRIL!$AG73</f>
        <v>2</v>
      </c>
      <c r="F73" s="199">
        <f>+MAYO!$AG73</f>
        <v>1</v>
      </c>
      <c r="G73" s="199">
        <f>+JUNIO!$AG73</f>
        <v>2</v>
      </c>
      <c r="H73" s="199">
        <f>+JULIO!$AG73</f>
        <v>1</v>
      </c>
      <c r="I73" s="199">
        <f>+AGOSTO!$AG73</f>
        <v>1</v>
      </c>
      <c r="J73" s="199">
        <f>+SEPTIEMBRE!$AG73</f>
        <v>2</v>
      </c>
      <c r="K73" s="199">
        <f>+OCTUBRE!$AG73</f>
        <v>2</v>
      </c>
      <c r="L73" s="199">
        <f>+NOVIEMBRE!$AG73</f>
        <v>1</v>
      </c>
      <c r="M73" s="199">
        <f>+DICIEMBRE!$AG73</f>
        <v>0</v>
      </c>
      <c r="N73" s="64">
        <f t="shared" si="2"/>
        <v>13</v>
      </c>
    </row>
    <row r="74" spans="1:14" ht="18.75" x14ac:dyDescent="0.25">
      <c r="A74" s="163" t="s">
        <v>124</v>
      </c>
      <c r="B74" s="199">
        <f>+ENERO!$AG74</f>
        <v>1</v>
      </c>
      <c r="C74" s="199">
        <f>+FEBRERO!$AG74</f>
        <v>1</v>
      </c>
      <c r="D74" s="199">
        <f>+MARZO!$AG74</f>
        <v>0</v>
      </c>
      <c r="E74" s="199">
        <f>+ABRIL!$AG74</f>
        <v>1</v>
      </c>
      <c r="F74" s="199">
        <f>+MAYO!$AG74</f>
        <v>1</v>
      </c>
      <c r="G74" s="199">
        <f>+JUNIO!$AG74</f>
        <v>1</v>
      </c>
      <c r="H74" s="199">
        <f>+JULIO!$AG74</f>
        <v>0</v>
      </c>
      <c r="I74" s="199">
        <f>+AGOSTO!$AG74</f>
        <v>0</v>
      </c>
      <c r="J74" s="199">
        <f>+SEPTIEMBRE!$AG74</f>
        <v>0</v>
      </c>
      <c r="K74" s="199">
        <f>+OCTUBRE!$AG74</f>
        <v>1</v>
      </c>
      <c r="L74" s="199">
        <f>+NOVIEMBRE!$AG74</f>
        <v>2</v>
      </c>
      <c r="M74" s="199">
        <f>+DICIEMBRE!$AG74</f>
        <v>0</v>
      </c>
      <c r="N74" s="64">
        <f t="shared" si="2"/>
        <v>8</v>
      </c>
    </row>
    <row r="75" spans="1:14" ht="18.75" x14ac:dyDescent="0.25">
      <c r="A75" s="163" t="s">
        <v>123</v>
      </c>
      <c r="B75" s="199">
        <f>+ENERO!$AG75</f>
        <v>1</v>
      </c>
      <c r="C75" s="199">
        <f>+FEBRERO!$AG75</f>
        <v>0</v>
      </c>
      <c r="D75" s="199">
        <f>+MARZO!$AG75</f>
        <v>1</v>
      </c>
      <c r="E75" s="199">
        <f>+ABRIL!$AG75</f>
        <v>2</v>
      </c>
      <c r="F75" s="199">
        <f>+MAYO!$AG75</f>
        <v>0</v>
      </c>
      <c r="G75" s="199">
        <f>+JUNIO!$AG75</f>
        <v>0</v>
      </c>
      <c r="H75" s="199">
        <f>+JULIO!$AG75</f>
        <v>0</v>
      </c>
      <c r="I75" s="199">
        <f>+AGOSTO!$AG75</f>
        <v>0</v>
      </c>
      <c r="J75" s="199">
        <f>+SEPTIEMBRE!$AG75</f>
        <v>0</v>
      </c>
      <c r="K75" s="199">
        <f>+OCTUBRE!$AG75</f>
        <v>0</v>
      </c>
      <c r="L75" s="199">
        <f>+NOVIEMBRE!$AG75</f>
        <v>0</v>
      </c>
      <c r="M75" s="199">
        <f>+DICIEMBRE!$AG75</f>
        <v>0</v>
      </c>
      <c r="N75" s="64">
        <f t="shared" si="2"/>
        <v>4</v>
      </c>
    </row>
    <row r="76" spans="1:14" ht="18.75" x14ac:dyDescent="0.25">
      <c r="A76" s="163" t="s">
        <v>122</v>
      </c>
      <c r="B76" s="199">
        <f>+ENERO!$AG76</f>
        <v>1</v>
      </c>
      <c r="C76" s="199">
        <f>+FEBRERO!$AG76</f>
        <v>0</v>
      </c>
      <c r="D76" s="199">
        <f>+MARZO!$AG76</f>
        <v>0</v>
      </c>
      <c r="E76" s="199">
        <f>+ABRIL!$AG76</f>
        <v>2</v>
      </c>
      <c r="F76" s="199">
        <f>+MAYO!$AG76</f>
        <v>0</v>
      </c>
      <c r="G76" s="199">
        <f>+JUNIO!$AG76</f>
        <v>1</v>
      </c>
      <c r="H76" s="199">
        <f>+JULIO!$AG76</f>
        <v>0</v>
      </c>
      <c r="I76" s="199">
        <f>+AGOSTO!$AG76</f>
        <v>1</v>
      </c>
      <c r="J76" s="199">
        <f>+SEPTIEMBRE!$AG76</f>
        <v>0</v>
      </c>
      <c r="K76" s="199">
        <f>+OCTUBRE!$AG76</f>
        <v>0</v>
      </c>
      <c r="L76" s="199">
        <f>+NOVIEMBRE!$AG76</f>
        <v>0</v>
      </c>
      <c r="M76" s="199">
        <f>+DICIEMBRE!$AG76</f>
        <v>0</v>
      </c>
      <c r="N76" s="64">
        <f t="shared" si="2"/>
        <v>5</v>
      </c>
    </row>
    <row r="77" spans="1:14" ht="19.5" thickBot="1" x14ac:dyDescent="0.3">
      <c r="A77" s="205" t="s">
        <v>121</v>
      </c>
      <c r="B77" s="184">
        <f>+ENERO!$AG77</f>
        <v>0</v>
      </c>
      <c r="C77" s="184">
        <f>+FEBRERO!$AG77</f>
        <v>1</v>
      </c>
      <c r="D77" s="184">
        <f>+MARZO!$AG77</f>
        <v>2</v>
      </c>
      <c r="E77" s="184">
        <f>+ABRIL!$AG77</f>
        <v>0</v>
      </c>
      <c r="F77" s="184">
        <f>+MAYO!$AG77</f>
        <v>1</v>
      </c>
      <c r="G77" s="184">
        <f>+JUNIO!$AG77</f>
        <v>0</v>
      </c>
      <c r="H77" s="184">
        <f>+JULIO!$AG77</f>
        <v>1</v>
      </c>
      <c r="I77" s="184">
        <f>+AGOSTO!$AG77</f>
        <v>0</v>
      </c>
      <c r="J77" s="184">
        <f>+SEPTIEMBRE!$AG77</f>
        <v>3</v>
      </c>
      <c r="K77" s="184">
        <f>+OCTUBRE!$AG77</f>
        <v>0</v>
      </c>
      <c r="L77" s="184">
        <f>+NOVIEMBRE!$AG77</f>
        <v>7</v>
      </c>
      <c r="M77" s="184">
        <f>+DICIEMBRE!$AG77</f>
        <v>0</v>
      </c>
      <c r="N77" s="160">
        <f t="shared" si="2"/>
        <v>15</v>
      </c>
    </row>
    <row r="78" spans="1:14" ht="19.5" hidden="1" customHeight="1" thickBot="1" x14ac:dyDescent="0.3">
      <c r="A78" s="202" t="s">
        <v>120</v>
      </c>
      <c r="B78" s="204">
        <f>+ENERO!$AG78</f>
        <v>4381</v>
      </c>
      <c r="C78" s="204">
        <f>+FEBRERO!$AG78</f>
        <v>4349</v>
      </c>
      <c r="D78" s="204">
        <f>+MARZO!$AG78</f>
        <v>4712</v>
      </c>
      <c r="E78" s="204">
        <f>+ABRIL!$AG78</f>
        <v>4111</v>
      </c>
      <c r="F78" s="204">
        <f>+MAYO!$AG78</f>
        <v>4600</v>
      </c>
      <c r="G78" s="204">
        <f>+JUNIO!$AG78</f>
        <v>4530</v>
      </c>
      <c r="H78" s="204">
        <f>+JULIO!$AG78</f>
        <v>4477</v>
      </c>
      <c r="I78" s="204">
        <f>+AGOSTO!$AG78</f>
        <v>4539</v>
      </c>
      <c r="J78" s="204">
        <f>+SEPTIEMBRE!$AG78</f>
        <v>4026</v>
      </c>
      <c r="K78" s="204">
        <f>+OCTUBRE!$AG78</f>
        <v>4760</v>
      </c>
      <c r="L78" s="204">
        <f>+NOVIEMBRE!$AG78</f>
        <v>5101</v>
      </c>
      <c r="M78" s="204">
        <f>+DICIEMBRE!$AG78</f>
        <v>1329</v>
      </c>
      <c r="N78" s="157">
        <f t="shared" si="2"/>
        <v>50915</v>
      </c>
    </row>
    <row r="79" spans="1:14" ht="19.5" hidden="1" customHeight="1" x14ac:dyDescent="0.25">
      <c r="A79" s="200" t="s">
        <v>118</v>
      </c>
      <c r="B79" s="199">
        <f>+ENERO!$AG79</f>
        <v>3569</v>
      </c>
      <c r="C79" s="199">
        <f>+FEBRERO!$AG79</f>
        <v>3363</v>
      </c>
      <c r="D79" s="199">
        <f>+MARZO!$AG79</f>
        <v>3781</v>
      </c>
      <c r="E79" s="199">
        <f>+ABRIL!$AG79</f>
        <v>3317</v>
      </c>
      <c r="F79" s="199">
        <f>+MAYO!$AG79</f>
        <v>3713</v>
      </c>
      <c r="G79" s="199">
        <f>+JUNIO!$AG79</f>
        <v>3435</v>
      </c>
      <c r="H79" s="199">
        <f>+JULIO!$AG79</f>
        <v>3663</v>
      </c>
      <c r="I79" s="199">
        <f>+AGOSTO!$AG79</f>
        <v>3801</v>
      </c>
      <c r="J79" s="199">
        <f>+SEPTIEMBRE!$AG79</f>
        <v>3362</v>
      </c>
      <c r="K79" s="199">
        <f>+OCTUBRE!$AG79</f>
        <v>4158</v>
      </c>
      <c r="L79" s="199">
        <f>+NOVIEMBRE!$AG79</f>
        <v>4198</v>
      </c>
      <c r="M79" s="199">
        <f>+DICIEMBRE!$AG79</f>
        <v>1202</v>
      </c>
      <c r="N79" s="134">
        <f t="shared" si="2"/>
        <v>41562</v>
      </c>
    </row>
    <row r="80" spans="1:14" ht="19.5" hidden="1" customHeight="1" thickBot="1" x14ac:dyDescent="0.3">
      <c r="A80" s="198" t="s">
        <v>119</v>
      </c>
      <c r="B80" s="169">
        <f>+ENERO!$AG80</f>
        <v>812</v>
      </c>
      <c r="C80" s="169">
        <f>+FEBRERO!$AG80</f>
        <v>986</v>
      </c>
      <c r="D80" s="169">
        <f>+MARZO!$AG80</f>
        <v>931</v>
      </c>
      <c r="E80" s="169">
        <f>+ABRIL!$AG80</f>
        <v>794</v>
      </c>
      <c r="F80" s="169">
        <f>+MAYO!$AG80</f>
        <v>887</v>
      </c>
      <c r="G80" s="169">
        <f>+JUNIO!$AG80</f>
        <v>1095</v>
      </c>
      <c r="H80" s="169">
        <f>+JULIO!$AG80</f>
        <v>814</v>
      </c>
      <c r="I80" s="169">
        <f>+AGOSTO!$AG80</f>
        <v>738</v>
      </c>
      <c r="J80" s="169">
        <f>+SEPTIEMBRE!$AG80</f>
        <v>664</v>
      </c>
      <c r="K80" s="169">
        <f>+OCTUBRE!$AG80</f>
        <v>602</v>
      </c>
      <c r="L80" s="169">
        <f>+NOVIEMBRE!$AG80</f>
        <v>903</v>
      </c>
      <c r="M80" s="169">
        <f>+DICIEMBRE!$AG80</f>
        <v>127</v>
      </c>
      <c r="N80" s="160">
        <f t="shared" si="2"/>
        <v>9353</v>
      </c>
    </row>
    <row r="81" spans="1:16" ht="19.5" thickBot="1" x14ac:dyDescent="0.3">
      <c r="A81" s="202" t="s">
        <v>84</v>
      </c>
      <c r="B81" s="201">
        <f>+ENERO!$AG81</f>
        <v>279</v>
      </c>
      <c r="C81" s="201">
        <f>+FEBRERO!$AG81</f>
        <v>190</v>
      </c>
      <c r="D81" s="201">
        <f>+MARZO!$AG81</f>
        <v>263</v>
      </c>
      <c r="E81" s="201">
        <f>+ABRIL!$AG81</f>
        <v>235</v>
      </c>
      <c r="F81" s="201">
        <f>+MAYO!$AG81</f>
        <v>240</v>
      </c>
      <c r="G81" s="201">
        <f>+JUNIO!$AG81</f>
        <v>182</v>
      </c>
      <c r="H81" s="201">
        <f>+JULIO!$AG81</f>
        <v>159</v>
      </c>
      <c r="I81" s="201">
        <f>+AGOSTO!$AG81</f>
        <v>203</v>
      </c>
      <c r="J81" s="201">
        <f>+SEPTIEMBRE!$AG81</f>
        <v>181</v>
      </c>
      <c r="K81" s="201">
        <f>+OCTUBRE!$AG81</f>
        <v>210</v>
      </c>
      <c r="L81" s="201">
        <f>+NOVIEMBRE!$AG81</f>
        <v>334</v>
      </c>
      <c r="M81" s="201">
        <f>+DICIEMBRE!$AG81</f>
        <v>33</v>
      </c>
      <c r="N81" s="157">
        <f t="shared" si="2"/>
        <v>2509</v>
      </c>
      <c r="O81" s="53" t="str">
        <f>IF(N81&lt;&gt;N53,"*","")</f>
        <v/>
      </c>
    </row>
    <row r="82" spans="1:16" ht="18.75" x14ac:dyDescent="0.25">
      <c r="A82" s="200" t="s">
        <v>119</v>
      </c>
      <c r="B82" s="199">
        <f>+ENERO!$AG82</f>
        <v>36</v>
      </c>
      <c r="C82" s="199">
        <f>+FEBRERO!$AG82</f>
        <v>92</v>
      </c>
      <c r="D82" s="199">
        <f>+MARZO!$AG82</f>
        <v>21</v>
      </c>
      <c r="E82" s="199">
        <f>+ABRIL!$AG82</f>
        <v>42</v>
      </c>
      <c r="F82" s="199">
        <f>+MAYO!$AG82</f>
        <v>35</v>
      </c>
      <c r="G82" s="199">
        <f>+JUNIO!$AG82</f>
        <v>42</v>
      </c>
      <c r="H82" s="199">
        <f>+JULIO!$AG82</f>
        <v>13</v>
      </c>
      <c r="I82" s="199">
        <f>+AGOSTO!$AG82</f>
        <v>20</v>
      </c>
      <c r="J82" s="199">
        <f>+SEPTIEMBRE!$AG82</f>
        <v>16</v>
      </c>
      <c r="K82" s="199">
        <f>+OCTUBRE!$AG82</f>
        <v>7</v>
      </c>
      <c r="L82" s="199">
        <f>+NOVIEMBRE!$AG82</f>
        <v>16</v>
      </c>
      <c r="M82" s="199">
        <f>+DICIEMBRE!$AG82</f>
        <v>4</v>
      </c>
      <c r="N82" s="134">
        <f t="shared" si="2"/>
        <v>344</v>
      </c>
    </row>
    <row r="83" spans="1:16" ht="19.5" thickBot="1" x14ac:dyDescent="0.3">
      <c r="A83" s="198" t="s">
        <v>118</v>
      </c>
      <c r="B83" s="181">
        <f>+ENERO!$AG83</f>
        <v>243</v>
      </c>
      <c r="C83" s="181">
        <f>+FEBRERO!$AG83</f>
        <v>98</v>
      </c>
      <c r="D83" s="181">
        <f>+MARZO!$AG83</f>
        <v>242</v>
      </c>
      <c r="E83" s="181">
        <f>+ABRIL!$AG83</f>
        <v>193</v>
      </c>
      <c r="F83" s="181">
        <f>+MAYO!$AG83</f>
        <v>205</v>
      </c>
      <c r="G83" s="181">
        <f>+JUNIO!$AG83</f>
        <v>140</v>
      </c>
      <c r="H83" s="181">
        <f>+JULIO!$AG83</f>
        <v>146</v>
      </c>
      <c r="I83" s="181">
        <f>+AGOSTO!$AG83</f>
        <v>183</v>
      </c>
      <c r="J83" s="181">
        <f>+SEPTIEMBRE!$AG83</f>
        <v>165</v>
      </c>
      <c r="K83" s="181">
        <f>+OCTUBRE!$AG83</f>
        <v>203</v>
      </c>
      <c r="L83" s="181">
        <f>+NOVIEMBRE!$AG83</f>
        <v>318</v>
      </c>
      <c r="M83" s="181">
        <f>+DICIEMBRE!$AG83</f>
        <v>29</v>
      </c>
      <c r="N83" s="64">
        <f t="shared" si="2"/>
        <v>2165</v>
      </c>
    </row>
    <row r="84" spans="1:16" ht="19.5" thickBot="1" x14ac:dyDescent="0.3">
      <c r="A84" s="159" t="s">
        <v>117</v>
      </c>
      <c r="B84" s="158">
        <f>+ENERO!$AG84</f>
        <v>279</v>
      </c>
      <c r="C84" s="158">
        <f>+FEBRERO!$AG84</f>
        <v>190</v>
      </c>
      <c r="D84" s="158">
        <f>+MARZO!$AG84</f>
        <v>263</v>
      </c>
      <c r="E84" s="158">
        <f>+ABRIL!$AG84</f>
        <v>235</v>
      </c>
      <c r="F84" s="158">
        <f>+MAYO!$AG84</f>
        <v>240</v>
      </c>
      <c r="G84" s="158">
        <f>+JUNIO!$AG84</f>
        <v>182</v>
      </c>
      <c r="H84" s="158">
        <f>+JULIO!$AG84</f>
        <v>159</v>
      </c>
      <c r="I84" s="158">
        <f>+AGOSTO!$AG84</f>
        <v>203</v>
      </c>
      <c r="J84" s="158">
        <f>+SEPTIEMBRE!$AG84</f>
        <v>181</v>
      </c>
      <c r="K84" s="158">
        <f>+OCTUBRE!$AG84</f>
        <v>210</v>
      </c>
      <c r="L84" s="158">
        <f>+NOVIEMBRE!$AG84</f>
        <v>339</v>
      </c>
      <c r="M84" s="158">
        <f>+DICIEMBRE!$AG84</f>
        <v>33</v>
      </c>
      <c r="N84" s="197">
        <f t="shared" si="2"/>
        <v>2514</v>
      </c>
      <c r="O84" s="53" t="str">
        <f>IF(N84&lt;&gt;N82+N83,"*","")</f>
        <v>*</v>
      </c>
      <c r="P84" s="403" t="s">
        <v>71</v>
      </c>
    </row>
    <row r="85" spans="1:16" ht="18.75" x14ac:dyDescent="0.25">
      <c r="A85" s="196" t="s">
        <v>116</v>
      </c>
      <c r="B85" s="195">
        <f>+ENERO!$AG85</f>
        <v>31</v>
      </c>
      <c r="C85" s="195">
        <f>+FEBRERO!$AG85</f>
        <v>18</v>
      </c>
      <c r="D85" s="195">
        <f>+MARZO!$AG85</f>
        <v>20</v>
      </c>
      <c r="E85" s="195">
        <f>+ABRIL!$AG85</f>
        <v>27</v>
      </c>
      <c r="F85" s="195">
        <f>+MAYO!$AG85</f>
        <v>19</v>
      </c>
      <c r="G85" s="195">
        <f>+JUNIO!$AG85</f>
        <v>15</v>
      </c>
      <c r="H85" s="195">
        <f>+JULIO!$AG85</f>
        <v>15</v>
      </c>
      <c r="I85" s="195">
        <f>+AGOSTO!$AG85</f>
        <v>26</v>
      </c>
      <c r="J85" s="195">
        <f>+SEPTIEMBRE!$AG85</f>
        <v>24</v>
      </c>
      <c r="K85" s="195">
        <f>+OCTUBRE!$AG85</f>
        <v>28</v>
      </c>
      <c r="L85" s="195">
        <f>+NOVIEMBRE!$AG85</f>
        <v>63</v>
      </c>
      <c r="M85" s="195">
        <f>+DICIEMBRE!$AG85</f>
        <v>2</v>
      </c>
      <c r="N85" s="193">
        <f t="shared" si="2"/>
        <v>288</v>
      </c>
      <c r="P85" s="404"/>
    </row>
    <row r="86" spans="1:16" ht="19.5" thickBot="1" x14ac:dyDescent="0.3">
      <c r="A86" s="192" t="s">
        <v>115</v>
      </c>
      <c r="B86" s="191">
        <f>+ENERO!$AG86</f>
        <v>248</v>
      </c>
      <c r="C86" s="191">
        <f>+FEBRERO!$AG86</f>
        <v>172</v>
      </c>
      <c r="D86" s="191">
        <f>+MARZO!$AG86</f>
        <v>243</v>
      </c>
      <c r="E86" s="191">
        <f>+ABRIL!$AG86</f>
        <v>208</v>
      </c>
      <c r="F86" s="191">
        <f>+MAYO!$AG86</f>
        <v>221</v>
      </c>
      <c r="G86" s="191">
        <f>+JUNIO!$AG86</f>
        <v>167</v>
      </c>
      <c r="H86" s="191">
        <f>+JULIO!$AG86</f>
        <v>144</v>
      </c>
      <c r="I86" s="191">
        <f>+AGOSTO!$AG86</f>
        <v>177</v>
      </c>
      <c r="J86" s="191">
        <f>+SEPTIEMBRE!$AG86</f>
        <v>157</v>
      </c>
      <c r="K86" s="191">
        <f>+OCTUBRE!$AG86</f>
        <v>182</v>
      </c>
      <c r="L86" s="191">
        <f>+NOVIEMBRE!$AG86</f>
        <v>276</v>
      </c>
      <c r="M86" s="191">
        <f>+DICIEMBRE!$AG86</f>
        <v>31</v>
      </c>
      <c r="N86" s="189">
        <f t="shared" si="2"/>
        <v>2226</v>
      </c>
      <c r="P86" s="405"/>
    </row>
    <row r="87" spans="1:16" ht="19.5" thickBot="1" x14ac:dyDescent="0.3">
      <c r="A87" s="188" t="s">
        <v>114</v>
      </c>
      <c r="B87" s="187">
        <f>+ENERO!$AG87</f>
        <v>279</v>
      </c>
      <c r="C87" s="187">
        <f>+FEBRERO!$AG87</f>
        <v>190</v>
      </c>
      <c r="D87" s="187">
        <f>+MARZO!$AG87</f>
        <v>263</v>
      </c>
      <c r="E87" s="187">
        <f>+ABRIL!$AG87</f>
        <v>235</v>
      </c>
      <c r="F87" s="187">
        <f>+MAYO!$AG87</f>
        <v>240</v>
      </c>
      <c r="G87" s="187">
        <f>+JUNIO!$AG87</f>
        <v>182</v>
      </c>
      <c r="H87" s="187">
        <f>+JULIO!$AG87</f>
        <v>159</v>
      </c>
      <c r="I87" s="187">
        <f>+AGOSTO!$AG87</f>
        <v>203</v>
      </c>
      <c r="J87" s="187">
        <f>+SEPTIEMBRE!$AG87</f>
        <v>181</v>
      </c>
      <c r="K87" s="187">
        <f>+OCTUBRE!$AG87</f>
        <v>210</v>
      </c>
      <c r="L87" s="187">
        <f>+NOVIEMBRE!$AG87</f>
        <v>339</v>
      </c>
      <c r="M87" s="187">
        <f>+DICIEMBRE!$AG87</f>
        <v>33</v>
      </c>
      <c r="N87" s="186">
        <f t="shared" si="2"/>
        <v>2514</v>
      </c>
      <c r="O87" s="185" t="str">
        <f>IF(N87&lt;&gt;N84,"*","")</f>
        <v/>
      </c>
    </row>
    <row r="88" spans="1:16" ht="18.75" x14ac:dyDescent="0.25">
      <c r="A88" s="102" t="s">
        <v>113</v>
      </c>
      <c r="B88" s="184">
        <f>+ENERO!$AG88</f>
        <v>124</v>
      </c>
      <c r="C88" s="184">
        <f>+FEBRERO!$AG88</f>
        <v>111</v>
      </c>
      <c r="D88" s="184">
        <f>+MARZO!$AG88</f>
        <v>126</v>
      </c>
      <c r="E88" s="184">
        <f>+ABRIL!$AG88</f>
        <v>129</v>
      </c>
      <c r="F88" s="184">
        <f>+MAYO!$AG88</f>
        <v>127</v>
      </c>
      <c r="G88" s="184">
        <f>+JUNIO!$AG88</f>
        <v>80</v>
      </c>
      <c r="H88" s="184">
        <f>+JULIO!$AG88</f>
        <v>62</v>
      </c>
      <c r="I88" s="184">
        <f>+AGOSTO!$AG88</f>
        <v>83</v>
      </c>
      <c r="J88" s="184">
        <f>+SEPTIEMBRE!$AG88</f>
        <v>63</v>
      </c>
      <c r="K88" s="184">
        <f>+OCTUBRE!$AG88</f>
        <v>71</v>
      </c>
      <c r="L88" s="184">
        <f>+NOVIEMBRE!$AG88</f>
        <v>121</v>
      </c>
      <c r="M88" s="184">
        <f>+DICIEMBRE!$AG88</f>
        <v>13</v>
      </c>
      <c r="N88" s="134">
        <f t="shared" si="2"/>
        <v>1110</v>
      </c>
    </row>
    <row r="89" spans="1:16" ht="18.75" x14ac:dyDescent="0.25">
      <c r="A89" s="182" t="s">
        <v>16</v>
      </c>
      <c r="B89" s="181">
        <f>+ENERO!$AG89</f>
        <v>0</v>
      </c>
      <c r="C89" s="181">
        <f>+FEBRERO!$AG89</f>
        <v>0</v>
      </c>
      <c r="D89" s="181">
        <f>+MARZO!$AG89</f>
        <v>0</v>
      </c>
      <c r="E89" s="181">
        <f>+ABRIL!$AG89</f>
        <v>0</v>
      </c>
      <c r="F89" s="181">
        <f>+MAYO!$AG89</f>
        <v>0</v>
      </c>
      <c r="G89" s="181">
        <f>+JUNIO!$AG89</f>
        <v>0</v>
      </c>
      <c r="H89" s="181">
        <f>+JULIO!$AG89</f>
        <v>0</v>
      </c>
      <c r="I89" s="181">
        <f>+AGOSTO!$AG89</f>
        <v>0</v>
      </c>
      <c r="J89" s="181">
        <f>+SEPTIEMBRE!$AG89</f>
        <v>0</v>
      </c>
      <c r="K89" s="181">
        <f>+OCTUBRE!$AG89</f>
        <v>0</v>
      </c>
      <c r="L89" s="181">
        <f>+NOVIEMBRE!$AG89</f>
        <v>0</v>
      </c>
      <c r="M89" s="181">
        <f>+DICIEMBRE!$AG89</f>
        <v>0</v>
      </c>
      <c r="N89" s="64">
        <f t="shared" si="2"/>
        <v>0</v>
      </c>
    </row>
    <row r="90" spans="1:16" ht="18.75" x14ac:dyDescent="0.25">
      <c r="A90" s="182" t="s">
        <v>15</v>
      </c>
      <c r="B90" s="181">
        <f>+ENERO!$AG90</f>
        <v>2</v>
      </c>
      <c r="C90" s="181">
        <f>+FEBRERO!$AG90</f>
        <v>2</v>
      </c>
      <c r="D90" s="181">
        <f>+MARZO!$AG90</f>
        <v>4</v>
      </c>
      <c r="E90" s="181">
        <f>+ABRIL!$AG90</f>
        <v>8</v>
      </c>
      <c r="F90" s="181">
        <f>+MAYO!$AG90</f>
        <v>6</v>
      </c>
      <c r="G90" s="181">
        <f>+JUNIO!$AG90</f>
        <v>1</v>
      </c>
      <c r="H90" s="181">
        <f>+JULIO!$AG90</f>
        <v>1</v>
      </c>
      <c r="I90" s="181">
        <f>+AGOSTO!$AG90</f>
        <v>2</v>
      </c>
      <c r="J90" s="181">
        <f>+SEPTIEMBRE!$AG90</f>
        <v>6</v>
      </c>
      <c r="K90" s="181">
        <f>+OCTUBRE!$AG90</f>
        <v>1</v>
      </c>
      <c r="L90" s="181">
        <f>+NOVIEMBRE!$AG90</f>
        <v>2</v>
      </c>
      <c r="M90" s="181">
        <f>+DICIEMBRE!$AG90</f>
        <v>0</v>
      </c>
      <c r="N90" s="64">
        <f t="shared" si="2"/>
        <v>35</v>
      </c>
    </row>
    <row r="91" spans="1:16" ht="18.75" x14ac:dyDescent="0.25">
      <c r="A91" s="182" t="s">
        <v>14</v>
      </c>
      <c r="B91" s="181">
        <f>+ENERO!$AG91</f>
        <v>80</v>
      </c>
      <c r="C91" s="181">
        <f>+FEBRERO!$AG91</f>
        <v>50</v>
      </c>
      <c r="D91" s="181">
        <f>+MARZO!$AG91</f>
        <v>77</v>
      </c>
      <c r="E91" s="181">
        <f>+ABRIL!$AG91</f>
        <v>58</v>
      </c>
      <c r="F91" s="181">
        <f>+MAYO!$AG91</f>
        <v>67</v>
      </c>
      <c r="G91" s="181">
        <f>+JUNIO!$AG91</f>
        <v>69</v>
      </c>
      <c r="H91" s="181">
        <f>+JULIO!$AG91</f>
        <v>46</v>
      </c>
      <c r="I91" s="181">
        <f>+AGOSTO!$AG91</f>
        <v>60</v>
      </c>
      <c r="J91" s="181">
        <f>+SEPTIEMBRE!$AG91</f>
        <v>58</v>
      </c>
      <c r="K91" s="181">
        <f>+OCTUBRE!$AG91</f>
        <v>80</v>
      </c>
      <c r="L91" s="181">
        <f>+NOVIEMBRE!$AG91</f>
        <v>145</v>
      </c>
      <c r="M91" s="181">
        <f>+DICIEMBRE!$AG91</f>
        <v>12</v>
      </c>
      <c r="N91" s="64">
        <f t="shared" si="2"/>
        <v>802</v>
      </c>
    </row>
    <row r="92" spans="1:16" ht="19.5" thickBot="1" x14ac:dyDescent="0.3">
      <c r="A92" s="182" t="s">
        <v>13</v>
      </c>
      <c r="B92" s="181">
        <f>+ENERO!$AG92</f>
        <v>73</v>
      </c>
      <c r="C92" s="181">
        <f>+FEBRERO!$AG92</f>
        <v>27</v>
      </c>
      <c r="D92" s="181">
        <f>+MARZO!$AG92</f>
        <v>56</v>
      </c>
      <c r="E92" s="181">
        <f>+ABRIL!$AG92</f>
        <v>40</v>
      </c>
      <c r="F92" s="181">
        <f>+MAYO!$AG92</f>
        <v>40</v>
      </c>
      <c r="G92" s="181">
        <f>+JUNIO!$AG92</f>
        <v>32</v>
      </c>
      <c r="H92" s="181">
        <f>+JULIO!$AG92</f>
        <v>50</v>
      </c>
      <c r="I92" s="181">
        <f>+AGOSTO!$AG92</f>
        <v>58</v>
      </c>
      <c r="J92" s="181">
        <f>+SEPTIEMBRE!$AG92</f>
        <v>54</v>
      </c>
      <c r="K92" s="181">
        <f>+OCTUBRE!$AG92</f>
        <v>58</v>
      </c>
      <c r="L92" s="181">
        <f>+NOVIEMBRE!$AG92</f>
        <v>71</v>
      </c>
      <c r="M92" s="181">
        <f>+DICIEMBRE!$AG92</f>
        <v>8</v>
      </c>
      <c r="N92" s="64">
        <f t="shared" si="2"/>
        <v>567</v>
      </c>
    </row>
    <row r="93" spans="1:16" ht="18.75" x14ac:dyDescent="0.25">
      <c r="A93" s="167" t="s">
        <v>112</v>
      </c>
      <c r="B93" s="166">
        <f>+ENERO!$AG93</f>
        <v>4102</v>
      </c>
      <c r="C93" s="166">
        <f>+FEBRERO!$AG93</f>
        <v>4159</v>
      </c>
      <c r="D93" s="166">
        <f>+MARZO!$AG93</f>
        <v>4448</v>
      </c>
      <c r="E93" s="166">
        <f>+ABRIL!$AG93</f>
        <v>3879</v>
      </c>
      <c r="F93" s="166">
        <f>+MAYO!$AG93</f>
        <v>4360</v>
      </c>
      <c r="G93" s="166">
        <f>+JUNIO!$AG93</f>
        <v>4348</v>
      </c>
      <c r="H93" s="166">
        <f>+JULIO!$AG93</f>
        <v>4318</v>
      </c>
      <c r="I93" s="166">
        <f>+AGOSTO!$AG93</f>
        <v>4336</v>
      </c>
      <c r="J93" s="166">
        <f>+SEPTIEMBRE!$AG93</f>
        <v>3845</v>
      </c>
      <c r="K93" s="166">
        <f>+OCTUBRE!$AG93</f>
        <v>4549</v>
      </c>
      <c r="L93" s="166">
        <f>+NOVIEMBRE!$AG93</f>
        <v>4918</v>
      </c>
      <c r="M93" s="166">
        <f>+DICIEMBRE!$AG93</f>
        <v>1296</v>
      </c>
      <c r="N93" s="164">
        <f t="shared" si="2"/>
        <v>48558</v>
      </c>
      <c r="O93" s="179" t="str">
        <f>IF(N93&lt;&gt;N28,"*","")</f>
        <v>*</v>
      </c>
    </row>
    <row r="94" spans="1:16" ht="18.75" x14ac:dyDescent="0.25">
      <c r="A94" s="173" t="s">
        <v>111</v>
      </c>
      <c r="B94" s="68">
        <f>+ENERO!$AG94</f>
        <v>287</v>
      </c>
      <c r="C94" s="68">
        <f>+FEBRERO!$AG94</f>
        <v>272</v>
      </c>
      <c r="D94" s="68">
        <f>+MARZO!$AG94</f>
        <v>351</v>
      </c>
      <c r="E94" s="68">
        <f>+ABRIL!$AG94</f>
        <v>286</v>
      </c>
      <c r="F94" s="68">
        <f>+MAYO!$AG94</f>
        <v>261</v>
      </c>
      <c r="G94" s="68">
        <f>+JUNIO!$AG94</f>
        <v>312</v>
      </c>
      <c r="H94" s="68">
        <f>+JULIO!$AG94</f>
        <v>349</v>
      </c>
      <c r="I94" s="68">
        <f>+AGOSTO!$AG94</f>
        <v>395</v>
      </c>
      <c r="J94" s="68">
        <f>+SEPTIEMBRE!$AG94</f>
        <v>409</v>
      </c>
      <c r="K94" s="68">
        <f>+OCTUBRE!$AG94</f>
        <v>617</v>
      </c>
      <c r="L94" s="68">
        <f>+NOVIEMBRE!$AG94</f>
        <v>652</v>
      </c>
      <c r="M94" s="68">
        <f>+DICIEMBRE!$AG94</f>
        <v>164</v>
      </c>
      <c r="N94" s="64">
        <f t="shared" si="2"/>
        <v>4355</v>
      </c>
    </row>
    <row r="95" spans="1:16" ht="18.75" x14ac:dyDescent="0.25">
      <c r="A95" s="178" t="s">
        <v>110</v>
      </c>
      <c r="B95" s="162">
        <f>+ENERO!$AG95</f>
        <v>11</v>
      </c>
      <c r="C95" s="162">
        <f>+FEBRERO!$AG95</f>
        <v>10</v>
      </c>
      <c r="D95" s="162">
        <f>+MARZO!$AG95</f>
        <v>10</v>
      </c>
      <c r="E95" s="162">
        <f>+ABRIL!$AG95</f>
        <v>12</v>
      </c>
      <c r="F95" s="162">
        <f>+MAYO!$AG95</f>
        <v>6</v>
      </c>
      <c r="G95" s="162">
        <f>+JUNIO!$AG95</f>
        <v>11</v>
      </c>
      <c r="H95" s="162">
        <f>+JULIO!$AG95</f>
        <v>5</v>
      </c>
      <c r="I95" s="162">
        <f>+AGOSTO!$AG95</f>
        <v>16</v>
      </c>
      <c r="J95" s="162">
        <f>+SEPTIEMBRE!$AG95</f>
        <v>13</v>
      </c>
      <c r="K95" s="162">
        <f>+OCTUBRE!$AG95</f>
        <v>24</v>
      </c>
      <c r="L95" s="162">
        <f>+NOVIEMBRE!$AG95</f>
        <v>10</v>
      </c>
      <c r="M95" s="162">
        <f>+DICIEMBRE!$AG95</f>
        <v>12</v>
      </c>
      <c r="N95" s="64">
        <f t="shared" si="2"/>
        <v>140</v>
      </c>
    </row>
    <row r="96" spans="1:16" ht="18.75" x14ac:dyDescent="0.25">
      <c r="A96" s="177" t="s">
        <v>109</v>
      </c>
      <c r="B96" s="162">
        <f>+ENERO!$AG96</f>
        <v>14</v>
      </c>
      <c r="C96" s="162">
        <f>+FEBRERO!$AG96</f>
        <v>16</v>
      </c>
      <c r="D96" s="162">
        <f>+MARZO!$AG96</f>
        <v>23</v>
      </c>
      <c r="E96" s="162">
        <f>+ABRIL!$AG96</f>
        <v>22</v>
      </c>
      <c r="F96" s="162">
        <f>+MAYO!$AG96</f>
        <v>13</v>
      </c>
      <c r="G96" s="162">
        <f>+JUNIO!$AG96</f>
        <v>29</v>
      </c>
      <c r="H96" s="162">
        <f>+JULIO!$AG96</f>
        <v>24</v>
      </c>
      <c r="I96" s="162">
        <f>+AGOSTO!$AG96</f>
        <v>22</v>
      </c>
      <c r="J96" s="162">
        <f>+SEPTIEMBRE!$AG96</f>
        <v>33</v>
      </c>
      <c r="K96" s="162">
        <f>+OCTUBRE!$AG96</f>
        <v>76</v>
      </c>
      <c r="L96" s="162">
        <f>+NOVIEMBRE!$AG96</f>
        <v>59</v>
      </c>
      <c r="M96" s="162">
        <f>+DICIEMBRE!$AG96</f>
        <v>13</v>
      </c>
      <c r="N96" s="64">
        <f t="shared" si="2"/>
        <v>344</v>
      </c>
    </row>
    <row r="97" spans="1:14" ht="18.75" x14ac:dyDescent="0.25">
      <c r="A97" s="175" t="s">
        <v>108</v>
      </c>
      <c r="B97" s="162">
        <f>+ENERO!$AG97</f>
        <v>57</v>
      </c>
      <c r="C97" s="162">
        <f>+FEBRERO!$AG97</f>
        <v>52</v>
      </c>
      <c r="D97" s="162">
        <f>+MARZO!$AG97</f>
        <v>67</v>
      </c>
      <c r="E97" s="162">
        <f>+ABRIL!$AG97</f>
        <v>36</v>
      </c>
      <c r="F97" s="162">
        <f>+MAYO!$AG97</f>
        <v>36</v>
      </c>
      <c r="G97" s="162">
        <f>+JUNIO!$AG97</f>
        <v>55</v>
      </c>
      <c r="H97" s="162">
        <f>+JULIO!$AG97</f>
        <v>53</v>
      </c>
      <c r="I97" s="162">
        <f>+AGOSTO!$AG97</f>
        <v>64</v>
      </c>
      <c r="J97" s="162">
        <f>+SEPTIEMBRE!$AG97</f>
        <v>104</v>
      </c>
      <c r="K97" s="162">
        <f>+OCTUBRE!$AG97</f>
        <v>175</v>
      </c>
      <c r="L97" s="162">
        <f>+NOVIEMBRE!$AG97</f>
        <v>198</v>
      </c>
      <c r="M97" s="162">
        <f>+DICIEMBRE!$AG97</f>
        <v>54</v>
      </c>
      <c r="N97" s="64">
        <f t="shared" si="2"/>
        <v>951</v>
      </c>
    </row>
    <row r="98" spans="1:14" ht="18.75" x14ac:dyDescent="0.25">
      <c r="A98" s="174" t="s">
        <v>107</v>
      </c>
      <c r="B98" s="162">
        <f>+ENERO!$AG98</f>
        <v>91</v>
      </c>
      <c r="C98" s="162">
        <f>+FEBRERO!$AG98</f>
        <v>94</v>
      </c>
      <c r="D98" s="162">
        <f>+MARZO!$AG98</f>
        <v>114</v>
      </c>
      <c r="E98" s="162">
        <f>+ABRIL!$AG98</f>
        <v>110</v>
      </c>
      <c r="F98" s="162">
        <f>+MAYO!$AG98</f>
        <v>79</v>
      </c>
      <c r="G98" s="162">
        <f>+JUNIO!$AG98</f>
        <v>95</v>
      </c>
      <c r="H98" s="162">
        <f>+JULIO!$AG98</f>
        <v>118</v>
      </c>
      <c r="I98" s="162">
        <f>+AGOSTO!$AG98</f>
        <v>131</v>
      </c>
      <c r="J98" s="162">
        <f>+SEPTIEMBRE!$AG98</f>
        <v>130</v>
      </c>
      <c r="K98" s="162">
        <f>+OCTUBRE!$AG98</f>
        <v>186</v>
      </c>
      <c r="L98" s="162">
        <f>+NOVIEMBRE!$AG98</f>
        <v>222</v>
      </c>
      <c r="M98" s="162">
        <f>+DICIEMBRE!$AG98</f>
        <v>37</v>
      </c>
      <c r="N98" s="64">
        <f t="shared" si="2"/>
        <v>1407</v>
      </c>
    </row>
    <row r="99" spans="1:14" ht="18.75" x14ac:dyDescent="0.25">
      <c r="A99" s="172" t="s">
        <v>106</v>
      </c>
      <c r="B99" s="162">
        <f>+ENERO!$AG99</f>
        <v>114</v>
      </c>
      <c r="C99" s="162">
        <f>+FEBRERO!$AG99</f>
        <v>100</v>
      </c>
      <c r="D99" s="162">
        <f>+MARZO!$AG99</f>
        <v>137</v>
      </c>
      <c r="E99" s="162">
        <f>+ABRIL!$AG99</f>
        <v>106</v>
      </c>
      <c r="F99" s="162">
        <f>+MAYO!$AG99</f>
        <v>127</v>
      </c>
      <c r="G99" s="162">
        <f>+JUNIO!$AG99</f>
        <v>122</v>
      </c>
      <c r="H99" s="162">
        <f>+JULIO!$AG99</f>
        <v>149</v>
      </c>
      <c r="I99" s="162">
        <f>+AGOSTO!$AG99</f>
        <v>162</v>
      </c>
      <c r="J99" s="162">
        <f>+SEPTIEMBRE!$AG99</f>
        <v>129</v>
      </c>
      <c r="K99" s="162">
        <f>+OCTUBRE!$AG99</f>
        <v>156</v>
      </c>
      <c r="L99" s="162">
        <f>+NOVIEMBRE!$AG99</f>
        <v>163</v>
      </c>
      <c r="M99" s="162">
        <f>+DICIEMBRE!$AG99</f>
        <v>48</v>
      </c>
      <c r="N99" s="64">
        <f t="shared" ref="N99:N130" si="3">SUM(B99:M99)</f>
        <v>1513</v>
      </c>
    </row>
    <row r="100" spans="1:14" ht="18.75" x14ac:dyDescent="0.25">
      <c r="A100" s="173" t="s">
        <v>105</v>
      </c>
      <c r="B100" s="68">
        <f>+ENERO!$AG100</f>
        <v>3815</v>
      </c>
      <c r="C100" s="68">
        <f>+FEBRERO!$AG100</f>
        <v>3887</v>
      </c>
      <c r="D100" s="68">
        <f>+MARZO!$AG100</f>
        <v>4097</v>
      </c>
      <c r="E100" s="68">
        <f>+ABRIL!$AG100</f>
        <v>3593</v>
      </c>
      <c r="F100" s="68">
        <f>+MAYO!$AG100</f>
        <v>4099</v>
      </c>
      <c r="G100" s="68">
        <f>+JUNIO!$AG100</f>
        <v>4036</v>
      </c>
      <c r="H100" s="68">
        <f>+JULIO!$AG100</f>
        <v>3969</v>
      </c>
      <c r="I100" s="68">
        <f>+AGOSTO!$AG100</f>
        <v>3941</v>
      </c>
      <c r="J100" s="68">
        <f>+SEPTIEMBRE!$AG100</f>
        <v>3436</v>
      </c>
      <c r="K100" s="68">
        <f>+OCTUBRE!$AG100</f>
        <v>3932</v>
      </c>
      <c r="L100" s="68">
        <f>+NOVIEMBRE!$AG100</f>
        <v>4266</v>
      </c>
      <c r="M100" s="68">
        <f>+DICIEMBRE!$AG100</f>
        <v>1132</v>
      </c>
      <c r="N100" s="64">
        <f t="shared" si="3"/>
        <v>44203</v>
      </c>
    </row>
    <row r="101" spans="1:14" ht="18.75" x14ac:dyDescent="0.25">
      <c r="A101" s="172" t="s">
        <v>104</v>
      </c>
      <c r="B101" s="162">
        <f>+ENERO!$AG101</f>
        <v>221</v>
      </c>
      <c r="C101" s="162">
        <f>+FEBRERO!$AG101</f>
        <v>254</v>
      </c>
      <c r="D101" s="162">
        <f>+MARZO!$AG101</f>
        <v>286</v>
      </c>
      <c r="E101" s="162">
        <f>+ABRIL!$AG101</f>
        <v>246</v>
      </c>
      <c r="F101" s="162">
        <f>+MAYO!$AG101</f>
        <v>257</v>
      </c>
      <c r="G101" s="162">
        <f>+JUNIO!$AG101</f>
        <v>256</v>
      </c>
      <c r="H101" s="162">
        <f>+JULIO!$AG101</f>
        <v>261</v>
      </c>
      <c r="I101" s="162">
        <f>+AGOSTO!$AG101</f>
        <v>272</v>
      </c>
      <c r="J101" s="162">
        <f>+SEPTIEMBRE!$AG101</f>
        <v>196</v>
      </c>
      <c r="K101" s="162">
        <f>+OCTUBRE!$AG101</f>
        <v>218</v>
      </c>
      <c r="L101" s="162">
        <f>+NOVIEMBRE!$AG101</f>
        <v>264</v>
      </c>
      <c r="M101" s="162">
        <f>+DICIEMBRE!$AG101</f>
        <v>90</v>
      </c>
      <c r="N101" s="64">
        <f t="shared" si="3"/>
        <v>2821</v>
      </c>
    </row>
    <row r="102" spans="1:14" ht="18.75" x14ac:dyDescent="0.25">
      <c r="A102" s="172" t="s">
        <v>103</v>
      </c>
      <c r="B102" s="162">
        <f>+ENERO!$AG102</f>
        <v>479</v>
      </c>
      <c r="C102" s="162">
        <f>+FEBRERO!$AG102</f>
        <v>422</v>
      </c>
      <c r="D102" s="162">
        <f>+MARZO!$AG102</f>
        <v>478</v>
      </c>
      <c r="E102" s="162">
        <f>+ABRIL!$AG102</f>
        <v>451</v>
      </c>
      <c r="F102" s="162">
        <f>+MAYO!$AG102</f>
        <v>495</v>
      </c>
      <c r="G102" s="162">
        <f>+JUNIO!$AG102</f>
        <v>527</v>
      </c>
      <c r="H102" s="162">
        <f>+JULIO!$AG102</f>
        <v>487</v>
      </c>
      <c r="I102" s="162">
        <f>+AGOSTO!$AG102</f>
        <v>447</v>
      </c>
      <c r="J102" s="162">
        <f>+SEPTIEMBRE!$AG102</f>
        <v>378</v>
      </c>
      <c r="K102" s="162">
        <f>+OCTUBRE!$AG102</f>
        <v>470</v>
      </c>
      <c r="L102" s="162">
        <f>+NOVIEMBRE!$AG102</f>
        <v>503</v>
      </c>
      <c r="M102" s="162">
        <f>+DICIEMBRE!$AG102</f>
        <v>120</v>
      </c>
      <c r="N102" s="64">
        <f t="shared" si="3"/>
        <v>5257</v>
      </c>
    </row>
    <row r="103" spans="1:14" ht="18.75" x14ac:dyDescent="0.25">
      <c r="A103" s="171" t="s">
        <v>102</v>
      </c>
      <c r="B103" s="162">
        <f>+ENERO!$AG103</f>
        <v>434</v>
      </c>
      <c r="C103" s="162">
        <f>+FEBRERO!$AG103</f>
        <v>450</v>
      </c>
      <c r="D103" s="162">
        <f>+MARZO!$AG103</f>
        <v>483</v>
      </c>
      <c r="E103" s="162">
        <f>+ABRIL!$AG103</f>
        <v>472</v>
      </c>
      <c r="F103" s="162">
        <f>+MAYO!$AG103</f>
        <v>494</v>
      </c>
      <c r="G103" s="162">
        <f>+JUNIO!$AG103</f>
        <v>516</v>
      </c>
      <c r="H103" s="162">
        <f>+JULIO!$AG103</f>
        <v>472</v>
      </c>
      <c r="I103" s="162">
        <f>+AGOSTO!$AG103</f>
        <v>415</v>
      </c>
      <c r="J103" s="162">
        <f>+SEPTIEMBRE!$AG103</f>
        <v>388</v>
      </c>
      <c r="K103" s="162">
        <f>+OCTUBRE!$AG103</f>
        <v>370</v>
      </c>
      <c r="L103" s="162">
        <f>+NOVIEMBRE!$AG103</f>
        <v>506</v>
      </c>
      <c r="M103" s="162">
        <f>+DICIEMBRE!$AG103</f>
        <v>119</v>
      </c>
      <c r="N103" s="64">
        <f t="shared" si="3"/>
        <v>5119</v>
      </c>
    </row>
    <row r="104" spans="1:14" ht="18.75" x14ac:dyDescent="0.25">
      <c r="A104" s="171" t="s">
        <v>101</v>
      </c>
      <c r="B104" s="162">
        <f>+ENERO!$AG104</f>
        <v>413</v>
      </c>
      <c r="C104" s="162">
        <f>+FEBRERO!$AG104</f>
        <v>378</v>
      </c>
      <c r="D104" s="162">
        <f>+MARZO!$AG104</f>
        <v>417</v>
      </c>
      <c r="E104" s="162">
        <f>+ABRIL!$AG104</f>
        <v>370</v>
      </c>
      <c r="F104" s="162">
        <f>+MAYO!$AG104</f>
        <v>455</v>
      </c>
      <c r="G104" s="162">
        <f>+JUNIO!$AG104</f>
        <v>462</v>
      </c>
      <c r="H104" s="162">
        <f>+JULIO!$AG104</f>
        <v>480</v>
      </c>
      <c r="I104" s="162">
        <f>+AGOSTO!$AG104</f>
        <v>351</v>
      </c>
      <c r="J104" s="162">
        <f>+SEPTIEMBRE!$AG104</f>
        <v>285</v>
      </c>
      <c r="K104" s="162">
        <f>+OCTUBRE!$AG104</f>
        <v>348</v>
      </c>
      <c r="L104" s="162">
        <f>+NOVIEMBRE!$AG104</f>
        <v>397</v>
      </c>
      <c r="M104" s="162">
        <f>+DICIEMBRE!$AG104</f>
        <v>111</v>
      </c>
      <c r="N104" s="64">
        <f t="shared" si="3"/>
        <v>4467</v>
      </c>
    </row>
    <row r="105" spans="1:14" ht="18.75" x14ac:dyDescent="0.25">
      <c r="A105" s="171" t="s">
        <v>100</v>
      </c>
      <c r="B105" s="162">
        <f>+ENERO!$AG105</f>
        <v>306</v>
      </c>
      <c r="C105" s="162">
        <f>+FEBRERO!$AG105</f>
        <v>311</v>
      </c>
      <c r="D105" s="162">
        <f>+MARZO!$AG105</f>
        <v>384</v>
      </c>
      <c r="E105" s="162">
        <f>+ABRIL!$AG105</f>
        <v>339</v>
      </c>
      <c r="F105" s="162">
        <f>+MAYO!$AG105</f>
        <v>370</v>
      </c>
      <c r="G105" s="162">
        <f>+JUNIO!$AG105</f>
        <v>343</v>
      </c>
      <c r="H105" s="162">
        <f>+JULIO!$AG105</f>
        <v>332</v>
      </c>
      <c r="I105" s="162">
        <f>+AGOSTO!$AG105</f>
        <v>337</v>
      </c>
      <c r="J105" s="162">
        <f>+SEPTIEMBRE!$AG105</f>
        <v>260</v>
      </c>
      <c r="K105" s="162">
        <f>+OCTUBRE!$AG105</f>
        <v>311</v>
      </c>
      <c r="L105" s="162">
        <f>+NOVIEMBRE!$AG105</f>
        <v>363</v>
      </c>
      <c r="M105" s="162">
        <f>+DICIEMBRE!$AG105</f>
        <v>85</v>
      </c>
      <c r="N105" s="64">
        <f t="shared" si="3"/>
        <v>3741</v>
      </c>
    </row>
    <row r="106" spans="1:14" ht="18.75" x14ac:dyDescent="0.25">
      <c r="A106" s="171" t="s">
        <v>99</v>
      </c>
      <c r="B106" s="162">
        <f>+ENERO!$AG106</f>
        <v>322</v>
      </c>
      <c r="C106" s="162">
        <f>+FEBRERO!$AG106</f>
        <v>287</v>
      </c>
      <c r="D106" s="162">
        <f>+MARZO!$AG106</f>
        <v>292</v>
      </c>
      <c r="E106" s="162">
        <f>+ABRIL!$AG106</f>
        <v>294</v>
      </c>
      <c r="F106" s="162">
        <f>+MAYO!$AG106</f>
        <v>334</v>
      </c>
      <c r="G106" s="162">
        <f>+JUNIO!$AG106</f>
        <v>347</v>
      </c>
      <c r="H106" s="162">
        <f>+JULIO!$AG106</f>
        <v>248</v>
      </c>
      <c r="I106" s="162">
        <f>+AGOSTO!$AG106</f>
        <v>290</v>
      </c>
      <c r="J106" s="162">
        <f>+SEPTIEMBRE!$AG106</f>
        <v>247</v>
      </c>
      <c r="K106" s="162">
        <f>+OCTUBRE!$AG106</f>
        <v>273</v>
      </c>
      <c r="L106" s="162">
        <f>+NOVIEMBRE!$AG106</f>
        <v>299</v>
      </c>
      <c r="M106" s="162">
        <f>+DICIEMBRE!$AG106</f>
        <v>101</v>
      </c>
      <c r="N106" s="64">
        <f t="shared" si="3"/>
        <v>3334</v>
      </c>
    </row>
    <row r="107" spans="1:14" ht="18.75" x14ac:dyDescent="0.25">
      <c r="A107" s="171" t="s">
        <v>98</v>
      </c>
      <c r="B107" s="162">
        <f>+ENERO!$AG107</f>
        <v>296</v>
      </c>
      <c r="C107" s="162">
        <f>+FEBRERO!$AG107</f>
        <v>288</v>
      </c>
      <c r="D107" s="162">
        <f>+MARZO!$AG107</f>
        <v>377</v>
      </c>
      <c r="E107" s="162">
        <f>+ABRIL!$AG107</f>
        <v>300</v>
      </c>
      <c r="F107" s="162">
        <f>+MAYO!$AG107</f>
        <v>345</v>
      </c>
      <c r="G107" s="162">
        <f>+JUNIO!$AG107</f>
        <v>286</v>
      </c>
      <c r="H107" s="162">
        <f>+JULIO!$AG107</f>
        <v>305</v>
      </c>
      <c r="I107" s="162">
        <f>+AGOSTO!$AG107</f>
        <v>319</v>
      </c>
      <c r="J107" s="162">
        <f>+SEPTIEMBRE!$AG107</f>
        <v>261</v>
      </c>
      <c r="K107" s="162">
        <f>+OCTUBRE!$AG107</f>
        <v>312</v>
      </c>
      <c r="L107" s="162">
        <f>+NOVIEMBRE!$AG107</f>
        <v>319</v>
      </c>
      <c r="M107" s="162">
        <f>+DICIEMBRE!$AG107</f>
        <v>82</v>
      </c>
      <c r="N107" s="64">
        <f t="shared" si="3"/>
        <v>3490</v>
      </c>
    </row>
    <row r="108" spans="1:14" ht="18.75" x14ac:dyDescent="0.25">
      <c r="A108" s="171" t="s">
        <v>97</v>
      </c>
      <c r="B108" s="162">
        <f>+ENERO!$AG108</f>
        <v>295</v>
      </c>
      <c r="C108" s="162">
        <f>+FEBRERO!$AG108</f>
        <v>308</v>
      </c>
      <c r="D108" s="162">
        <f>+MARZO!$AG108</f>
        <v>318</v>
      </c>
      <c r="E108" s="162">
        <f>+ABRIL!$AG108</f>
        <v>279</v>
      </c>
      <c r="F108" s="162">
        <f>+MAYO!$AG108</f>
        <v>306</v>
      </c>
      <c r="G108" s="162">
        <f>+JUNIO!$AG108</f>
        <v>273</v>
      </c>
      <c r="H108" s="162">
        <f>+JULIO!$AG108</f>
        <v>299</v>
      </c>
      <c r="I108" s="162">
        <f>+AGOSTO!$AG108</f>
        <v>326</v>
      </c>
      <c r="J108" s="162">
        <f>+SEPTIEMBRE!$AG108</f>
        <v>276</v>
      </c>
      <c r="K108" s="162">
        <f>+OCTUBRE!$AG108</f>
        <v>336</v>
      </c>
      <c r="L108" s="162">
        <f>+NOVIEMBRE!$AG108</f>
        <v>319</v>
      </c>
      <c r="M108" s="162">
        <f>+DICIEMBRE!$AG108</f>
        <v>85</v>
      </c>
      <c r="N108" s="64">
        <f t="shared" si="3"/>
        <v>3420</v>
      </c>
    </row>
    <row r="109" spans="1:14" ht="18.75" x14ac:dyDescent="0.25">
      <c r="A109" s="171" t="s">
        <v>96</v>
      </c>
      <c r="B109" s="162">
        <f>+ENERO!$AG109</f>
        <v>290</v>
      </c>
      <c r="C109" s="162">
        <f>+FEBRERO!$AG109</f>
        <v>338</v>
      </c>
      <c r="D109" s="162">
        <f>+MARZO!$AG109</f>
        <v>288</v>
      </c>
      <c r="E109" s="162">
        <f>+ABRIL!$AG109</f>
        <v>242</v>
      </c>
      <c r="F109" s="162">
        <f>+MAYO!$AG109</f>
        <v>274</v>
      </c>
      <c r="G109" s="162">
        <f>+JUNIO!$AG109</f>
        <v>307</v>
      </c>
      <c r="H109" s="162">
        <f>+JULIO!$AG109</f>
        <v>286</v>
      </c>
      <c r="I109" s="162">
        <f>+AGOSTO!$AG109</f>
        <v>302</v>
      </c>
      <c r="J109" s="162">
        <f>+SEPTIEMBRE!$AG109</f>
        <v>261</v>
      </c>
      <c r="K109" s="162">
        <f>+OCTUBRE!$AG109</f>
        <v>248</v>
      </c>
      <c r="L109" s="162">
        <f>+NOVIEMBRE!$AG109</f>
        <v>304</v>
      </c>
      <c r="M109" s="162">
        <f>+DICIEMBRE!$AG109</f>
        <v>66</v>
      </c>
      <c r="N109" s="64">
        <f t="shared" si="3"/>
        <v>3206</v>
      </c>
    </row>
    <row r="110" spans="1:14" ht="18.75" x14ac:dyDescent="0.25">
      <c r="A110" s="171" t="s">
        <v>95</v>
      </c>
      <c r="B110" s="162">
        <f>+ENERO!$AG110</f>
        <v>240</v>
      </c>
      <c r="C110" s="162">
        <f>+FEBRERO!$AG110</f>
        <v>238</v>
      </c>
      <c r="D110" s="162">
        <f>+MARZO!$AG110</f>
        <v>229</v>
      </c>
      <c r="E110" s="162">
        <f>+ABRIL!$AG110</f>
        <v>174</v>
      </c>
      <c r="F110" s="162">
        <f>+MAYO!$AG110</f>
        <v>208</v>
      </c>
      <c r="G110" s="162">
        <f>+JUNIO!$AG110</f>
        <v>199</v>
      </c>
      <c r="H110" s="162">
        <f>+JULIO!$AG110</f>
        <v>257</v>
      </c>
      <c r="I110" s="162">
        <f>+AGOSTO!$AG110</f>
        <v>246</v>
      </c>
      <c r="J110" s="162">
        <f>+SEPTIEMBRE!$AG110</f>
        <v>230</v>
      </c>
      <c r="K110" s="162">
        <f>+OCTUBRE!$AG110</f>
        <v>237</v>
      </c>
      <c r="L110" s="162">
        <f>+NOVIEMBRE!$AG110</f>
        <v>266</v>
      </c>
      <c r="M110" s="162">
        <f>+DICIEMBRE!$AG110</f>
        <v>77</v>
      </c>
      <c r="N110" s="64">
        <f t="shared" si="3"/>
        <v>2601</v>
      </c>
    </row>
    <row r="111" spans="1:14" ht="18.75" x14ac:dyDescent="0.25">
      <c r="A111" s="171" t="s">
        <v>94</v>
      </c>
      <c r="B111" s="162">
        <f>+ENERO!$AG111</f>
        <v>155</v>
      </c>
      <c r="C111" s="162">
        <f>+FEBRERO!$AG111</f>
        <v>208</v>
      </c>
      <c r="D111" s="162">
        <f>+MARZO!$AG111</f>
        <v>179</v>
      </c>
      <c r="E111" s="162">
        <f>+ABRIL!$AG111</f>
        <v>131</v>
      </c>
      <c r="F111" s="162">
        <f>+MAYO!$AG111</f>
        <v>173</v>
      </c>
      <c r="G111" s="162">
        <f>+JUNIO!$AG111</f>
        <v>157</v>
      </c>
      <c r="H111" s="162">
        <f>+JULIO!$AG111</f>
        <v>159</v>
      </c>
      <c r="I111" s="162">
        <f>+AGOSTO!$AG111</f>
        <v>199</v>
      </c>
      <c r="J111" s="162">
        <f>+SEPTIEMBRE!$AG111</f>
        <v>199</v>
      </c>
      <c r="K111" s="162">
        <f>+OCTUBRE!$AG111</f>
        <v>233</v>
      </c>
      <c r="L111" s="162">
        <f>+NOVIEMBRE!$AG111</f>
        <v>239</v>
      </c>
      <c r="M111" s="162">
        <f>+DICIEMBRE!$AG111</f>
        <v>67</v>
      </c>
      <c r="N111" s="64">
        <f t="shared" si="3"/>
        <v>2099</v>
      </c>
    </row>
    <row r="112" spans="1:14" ht="18.75" x14ac:dyDescent="0.25">
      <c r="A112" s="171" t="s">
        <v>93</v>
      </c>
      <c r="B112" s="162">
        <f>+ENERO!$AG112</f>
        <v>118</v>
      </c>
      <c r="C112" s="162">
        <f>+FEBRERO!$AG112</f>
        <v>146</v>
      </c>
      <c r="D112" s="162">
        <f>+MARZO!$AG112</f>
        <v>147</v>
      </c>
      <c r="E112" s="162">
        <f>+ABRIL!$AG112</f>
        <v>87</v>
      </c>
      <c r="F112" s="162">
        <f>+MAYO!$AG112</f>
        <v>150</v>
      </c>
      <c r="G112" s="162">
        <f>+JUNIO!$AG112</f>
        <v>129</v>
      </c>
      <c r="H112" s="162">
        <f>+JULIO!$AG112</f>
        <v>160</v>
      </c>
      <c r="I112" s="162">
        <f>+AGOSTO!$AG112</f>
        <v>165</v>
      </c>
      <c r="J112" s="162">
        <f>+SEPTIEMBRE!$AG112</f>
        <v>140</v>
      </c>
      <c r="K112" s="162">
        <f>+OCTUBRE!$AG112</f>
        <v>189</v>
      </c>
      <c r="L112" s="162">
        <f>+NOVIEMBRE!$AG112</f>
        <v>156</v>
      </c>
      <c r="M112" s="162">
        <f>+DICIEMBRE!$AG112</f>
        <v>37</v>
      </c>
      <c r="N112" s="64">
        <f t="shared" si="3"/>
        <v>1624</v>
      </c>
    </row>
    <row r="113" spans="1:14" ht="18.75" x14ac:dyDescent="0.25">
      <c r="A113" s="171" t="s">
        <v>92</v>
      </c>
      <c r="B113" s="162">
        <f>+ENERO!$AG113</f>
        <v>120</v>
      </c>
      <c r="C113" s="162">
        <f>+FEBRERO!$AG113</f>
        <v>101</v>
      </c>
      <c r="D113" s="162">
        <f>+MARZO!$AG113</f>
        <v>82</v>
      </c>
      <c r="E113" s="162">
        <f>+ABRIL!$AG113</f>
        <v>86</v>
      </c>
      <c r="F113" s="162">
        <f>+MAYO!$AG113</f>
        <v>102</v>
      </c>
      <c r="G113" s="162">
        <f>+JUNIO!$AG113</f>
        <v>96</v>
      </c>
      <c r="H113" s="162">
        <f>+JULIO!$AG113</f>
        <v>90</v>
      </c>
      <c r="I113" s="162">
        <f>+AGOSTO!$AG113</f>
        <v>128</v>
      </c>
      <c r="J113" s="162">
        <f>+SEPTIEMBRE!$AG113</f>
        <v>138</v>
      </c>
      <c r="K113" s="162">
        <f>+OCTUBRE!$AG113</f>
        <v>150</v>
      </c>
      <c r="L113" s="162">
        <f>+NOVIEMBRE!$AG113</f>
        <v>143</v>
      </c>
      <c r="M113" s="162">
        <f>+DICIEMBRE!$AG113</f>
        <v>39</v>
      </c>
      <c r="N113" s="64">
        <f t="shared" si="3"/>
        <v>1275</v>
      </c>
    </row>
    <row r="114" spans="1:14" ht="18.75" x14ac:dyDescent="0.25">
      <c r="A114" s="171" t="s">
        <v>91</v>
      </c>
      <c r="B114" s="162">
        <f>+ENERO!$AG114</f>
        <v>126</v>
      </c>
      <c r="C114" s="162">
        <f>+FEBRERO!$AG114</f>
        <v>158</v>
      </c>
      <c r="D114" s="162">
        <f>+MARZO!$AG114</f>
        <v>137</v>
      </c>
      <c r="E114" s="162">
        <f>+ABRIL!$AG114</f>
        <v>122</v>
      </c>
      <c r="F114" s="162">
        <f>+MAYO!$AG114</f>
        <v>135</v>
      </c>
      <c r="G114" s="162">
        <f>+JUNIO!$AG114</f>
        <v>137</v>
      </c>
      <c r="H114" s="162">
        <f>+JULIO!$AG114</f>
        <v>133</v>
      </c>
      <c r="I114" s="162">
        <f>+AGOSTO!$AG114</f>
        <v>143</v>
      </c>
      <c r="J114" s="162">
        <f>+SEPTIEMBRE!$AG114</f>
        <v>177</v>
      </c>
      <c r="K114" s="162">
        <f>+OCTUBRE!$AG114</f>
        <v>237</v>
      </c>
      <c r="L114" s="162">
        <f>+NOVIEMBRE!$AG114</f>
        <v>188</v>
      </c>
      <c r="M114" s="162">
        <f>+DICIEMBRE!$AG114</f>
        <v>53</v>
      </c>
      <c r="N114" s="64">
        <f t="shared" si="3"/>
        <v>1746</v>
      </c>
    </row>
    <row r="115" spans="1:14" ht="19.5" thickBot="1" x14ac:dyDescent="0.3">
      <c r="A115" s="170"/>
      <c r="B115" s="169">
        <f>+ENERO!$AG115</f>
        <v>0</v>
      </c>
      <c r="C115" s="169">
        <f>+FEBRERO!$AG115</f>
        <v>0</v>
      </c>
      <c r="D115" s="169">
        <f>+MARZO!$AG115</f>
        <v>0</v>
      </c>
      <c r="E115" s="169">
        <f>+ABRIL!$AG115</f>
        <v>0</v>
      </c>
      <c r="F115" s="169">
        <f>+MAYO!$AG115</f>
        <v>1</v>
      </c>
      <c r="G115" s="169">
        <f>+JUNIO!$AG115</f>
        <v>1</v>
      </c>
      <c r="H115" s="169">
        <f>+JULIO!$AG115</f>
        <v>0</v>
      </c>
      <c r="I115" s="169">
        <f>+AGOSTO!$AG115</f>
        <v>1</v>
      </c>
      <c r="J115" s="169">
        <f>+SEPTIEMBRE!$AG115</f>
        <v>0</v>
      </c>
      <c r="K115" s="169">
        <f>+OCTUBRE!$AG115</f>
        <v>0</v>
      </c>
      <c r="L115" s="169">
        <f>+NOVIEMBRE!$AG115</f>
        <v>0</v>
      </c>
      <c r="M115" s="169">
        <f>+DICIEMBRE!$AG115</f>
        <v>0</v>
      </c>
      <c r="N115" s="64">
        <f t="shared" si="3"/>
        <v>3</v>
      </c>
    </row>
    <row r="116" spans="1:14" ht="18.75" x14ac:dyDescent="0.25">
      <c r="A116" s="167" t="s">
        <v>90</v>
      </c>
      <c r="B116" s="166">
        <f>+ENERO!$AG116</f>
        <v>2211</v>
      </c>
      <c r="C116" s="166">
        <f>+FEBRERO!$AG116</f>
        <v>1697</v>
      </c>
      <c r="D116" s="166">
        <f>+MARZO!$AG116</f>
        <v>1135</v>
      </c>
      <c r="E116" s="166">
        <f>+ABRIL!$AG116</f>
        <v>945</v>
      </c>
      <c r="F116" s="166">
        <f>+MAYO!$AG116</f>
        <v>1021</v>
      </c>
      <c r="G116" s="166">
        <f>+JUNIO!$AG116</f>
        <v>925</v>
      </c>
      <c r="H116" s="166">
        <f>+JULIO!$AG116</f>
        <v>959</v>
      </c>
      <c r="I116" s="166">
        <f>+AGOSTO!$AG116</f>
        <v>1034</v>
      </c>
      <c r="J116" s="166">
        <f>+SEPTIEMBRE!$AG116</f>
        <v>1030</v>
      </c>
      <c r="K116" s="166">
        <f>+OCTUBRE!$AG116</f>
        <v>1211</v>
      </c>
      <c r="L116" s="166">
        <f>+NOVIEMBRE!$AG116</f>
        <v>1206</v>
      </c>
      <c r="M116" s="166">
        <f>+DICIEMBRE!$AG116</f>
        <v>320</v>
      </c>
      <c r="N116" s="64">
        <f t="shared" si="3"/>
        <v>13694</v>
      </c>
    </row>
    <row r="117" spans="1:14" ht="18.75" x14ac:dyDescent="0.25">
      <c r="A117" s="12" t="s">
        <v>67</v>
      </c>
      <c r="B117" s="162">
        <f>+ENERO!$AG117</f>
        <v>1575</v>
      </c>
      <c r="C117" s="162">
        <f>+FEBRERO!$AG117</f>
        <v>1224</v>
      </c>
      <c r="D117" s="162">
        <f>+MARZO!$AG117</f>
        <v>724</v>
      </c>
      <c r="E117" s="162">
        <f>+ABRIL!$AG117</f>
        <v>614</v>
      </c>
      <c r="F117" s="162">
        <f>+MAYO!$AG117</f>
        <v>637</v>
      </c>
      <c r="G117" s="162">
        <f>+JUNIO!$AG117</f>
        <v>546</v>
      </c>
      <c r="H117" s="162">
        <f>+JULIO!$AG117</f>
        <v>595</v>
      </c>
      <c r="I117" s="162">
        <f>+AGOSTO!$AG117</f>
        <v>673</v>
      </c>
      <c r="J117" s="162">
        <f>+SEPTIEMBRE!$AG117</f>
        <v>699</v>
      </c>
      <c r="K117" s="162">
        <f>+OCTUBRE!$AG117</f>
        <v>829</v>
      </c>
      <c r="L117" s="162">
        <f>+NOVIEMBRE!$AG117</f>
        <v>768</v>
      </c>
      <c r="M117" s="162">
        <f>+DICIEMBRE!$AG117</f>
        <v>195</v>
      </c>
      <c r="N117" s="64">
        <f t="shared" si="3"/>
        <v>9079</v>
      </c>
    </row>
    <row r="118" spans="1:14" ht="19.5" hidden="1" customHeight="1" x14ac:dyDescent="0.25">
      <c r="A118" s="12" t="s">
        <v>69</v>
      </c>
      <c r="B118" s="162">
        <f>+ENERO!$AG118</f>
        <v>0</v>
      </c>
      <c r="C118" s="162">
        <f>+FEBRERO!$AG118</f>
        <v>0</v>
      </c>
      <c r="D118" s="162">
        <f>+MARZO!$AG118</f>
        <v>0</v>
      </c>
      <c r="E118" s="162">
        <f>+ABRIL!$AG118</f>
        <v>0</v>
      </c>
      <c r="F118" s="162">
        <f>+MAYO!$AG118</f>
        <v>0</v>
      </c>
      <c r="G118" s="162">
        <f>+JUNIO!$AG118</f>
        <v>0</v>
      </c>
      <c r="H118" s="162">
        <f>+JULIO!$AG118</f>
        <v>0</v>
      </c>
      <c r="I118" s="162">
        <f>+AGOSTO!$AG118</f>
        <v>0</v>
      </c>
      <c r="J118" s="162">
        <f>+SEPTIEMBRE!$AG118</f>
        <v>0</v>
      </c>
      <c r="K118" s="162">
        <f>+OCTUBRE!$AG118</f>
        <v>0</v>
      </c>
      <c r="L118" s="162">
        <f>+NOVIEMBRE!$AG118</f>
        <v>0</v>
      </c>
      <c r="M118" s="162">
        <f>+DICIEMBRE!$AG118</f>
        <v>0</v>
      </c>
      <c r="N118" s="64">
        <f t="shared" si="3"/>
        <v>0</v>
      </c>
    </row>
    <row r="119" spans="1:14" ht="19.5" hidden="1" customHeight="1" x14ac:dyDescent="0.25">
      <c r="A119" s="12" t="s">
        <v>68</v>
      </c>
      <c r="B119" s="162">
        <f>+ENERO!$AG119</f>
        <v>0</v>
      </c>
      <c r="C119" s="162">
        <f>+FEBRERO!$AG119</f>
        <v>0</v>
      </c>
      <c r="D119" s="162">
        <f>+MARZO!$AG119</f>
        <v>0</v>
      </c>
      <c r="E119" s="162">
        <f>+ABRIL!$AG119</f>
        <v>0</v>
      </c>
      <c r="F119" s="162">
        <f>+MAYO!$AG119</f>
        <v>0</v>
      </c>
      <c r="G119" s="162">
        <f>+JUNIO!$AG119</f>
        <v>0</v>
      </c>
      <c r="H119" s="162">
        <f>+JULIO!$AG119</f>
        <v>0</v>
      </c>
      <c r="I119" s="162">
        <f>+AGOSTO!$AG119</f>
        <v>0</v>
      </c>
      <c r="J119" s="162">
        <f>+SEPTIEMBRE!$AG119</f>
        <v>0</v>
      </c>
      <c r="K119" s="162">
        <f>+OCTUBRE!$AG119</f>
        <v>0</v>
      </c>
      <c r="L119" s="162">
        <f>+NOVIEMBRE!$AG119</f>
        <v>0</v>
      </c>
      <c r="M119" s="162">
        <f>+DICIEMBRE!$AG119</f>
        <v>0</v>
      </c>
      <c r="N119" s="64">
        <f t="shared" si="3"/>
        <v>0</v>
      </c>
    </row>
    <row r="120" spans="1:14" ht="19.5" hidden="1" customHeight="1" thickBot="1" x14ac:dyDescent="0.3">
      <c r="A120" s="12" t="s">
        <v>66</v>
      </c>
      <c r="B120" s="162">
        <f>+ENERO!$AG120</f>
        <v>0</v>
      </c>
      <c r="C120" s="162">
        <f>+FEBRERO!$AG120</f>
        <v>0</v>
      </c>
      <c r="D120" s="162">
        <f>+MARZO!$AG120</f>
        <v>0</v>
      </c>
      <c r="E120" s="162">
        <f>+ABRIL!$AG120</f>
        <v>0</v>
      </c>
      <c r="F120" s="162">
        <f>+MAYO!$AG120</f>
        <v>0</v>
      </c>
      <c r="G120" s="162">
        <f>+JUNIO!$AG120</f>
        <v>0</v>
      </c>
      <c r="H120" s="162">
        <f>+JULIO!$AG120</f>
        <v>0</v>
      </c>
      <c r="I120" s="162">
        <f>+AGOSTO!$AG120</f>
        <v>0</v>
      </c>
      <c r="J120" s="162">
        <f>+SEPTIEMBRE!$AG120</f>
        <v>0</v>
      </c>
      <c r="K120" s="162">
        <f>+OCTUBRE!$AG120</f>
        <v>0</v>
      </c>
      <c r="L120" s="162">
        <f>+NOVIEMBRE!$AG120</f>
        <v>0</v>
      </c>
      <c r="M120" s="162">
        <f>+DICIEMBRE!$AG120</f>
        <v>0</v>
      </c>
      <c r="N120" s="64">
        <f t="shared" si="3"/>
        <v>0</v>
      </c>
    </row>
    <row r="121" spans="1:14" ht="19.5" hidden="1" customHeight="1" thickBot="1" x14ac:dyDescent="0.3">
      <c r="A121" s="12" t="s">
        <v>65</v>
      </c>
      <c r="B121" s="162">
        <f>+ENERO!$AG121</f>
        <v>0</v>
      </c>
      <c r="C121" s="162">
        <f>+FEBRERO!$AG121</f>
        <v>0</v>
      </c>
      <c r="D121" s="162">
        <f>+MARZO!$AG121</f>
        <v>0</v>
      </c>
      <c r="E121" s="162">
        <f>+ABRIL!$AG121</f>
        <v>0</v>
      </c>
      <c r="F121" s="162">
        <f>+MAYO!$AG121</f>
        <v>0</v>
      </c>
      <c r="G121" s="162">
        <f>+JUNIO!$AG121</f>
        <v>0</v>
      </c>
      <c r="H121" s="162">
        <f>+JULIO!$AG121</f>
        <v>0</v>
      </c>
      <c r="I121" s="162">
        <f>+AGOSTO!$AG121</f>
        <v>0</v>
      </c>
      <c r="J121" s="162">
        <f>+SEPTIEMBRE!$AG121</f>
        <v>0</v>
      </c>
      <c r="K121" s="162">
        <f>+OCTUBRE!$AG121</f>
        <v>0</v>
      </c>
      <c r="L121" s="162">
        <f>+NOVIEMBRE!$AG121</f>
        <v>0</v>
      </c>
      <c r="M121" s="162">
        <f>+DICIEMBRE!$AG121</f>
        <v>0</v>
      </c>
      <c r="N121" s="64">
        <f t="shared" si="3"/>
        <v>0</v>
      </c>
    </row>
    <row r="122" spans="1:14" ht="19.5" hidden="1" customHeight="1" thickBot="1" x14ac:dyDescent="0.3">
      <c r="A122" s="12" t="s">
        <v>64</v>
      </c>
      <c r="B122" s="162">
        <f>+ENERO!$AG122</f>
        <v>0</v>
      </c>
      <c r="C122" s="162">
        <f>+FEBRERO!$AG122</f>
        <v>0</v>
      </c>
      <c r="D122" s="162">
        <f>+MARZO!$AG122</f>
        <v>0</v>
      </c>
      <c r="E122" s="162">
        <f>+ABRIL!$AG122</f>
        <v>0</v>
      </c>
      <c r="F122" s="162">
        <f>+MAYO!$AG122</f>
        <v>0</v>
      </c>
      <c r="G122" s="162">
        <f>+JUNIO!$AG122</f>
        <v>0</v>
      </c>
      <c r="H122" s="162">
        <f>+JULIO!$AG122</f>
        <v>0</v>
      </c>
      <c r="I122" s="162">
        <f>+AGOSTO!$AG122</f>
        <v>0</v>
      </c>
      <c r="J122" s="162">
        <f>+SEPTIEMBRE!$AG122</f>
        <v>0</v>
      </c>
      <c r="K122" s="162">
        <f>+OCTUBRE!$AG122</f>
        <v>0</v>
      </c>
      <c r="L122" s="162">
        <f>+NOVIEMBRE!$AG122</f>
        <v>0</v>
      </c>
      <c r="M122" s="162">
        <f>+DICIEMBRE!$AG122</f>
        <v>0</v>
      </c>
      <c r="N122" s="64">
        <f t="shared" si="3"/>
        <v>0</v>
      </c>
    </row>
    <row r="123" spans="1:14" ht="19.5" hidden="1" customHeight="1" thickBot="1" x14ac:dyDescent="0.3">
      <c r="A123" s="12" t="s">
        <v>63</v>
      </c>
      <c r="B123" s="162">
        <f>+ENERO!$AG123</f>
        <v>0</v>
      </c>
      <c r="C123" s="162">
        <f>+FEBRERO!$AG123</f>
        <v>0</v>
      </c>
      <c r="D123" s="162">
        <f>+MARZO!$AG123</f>
        <v>0</v>
      </c>
      <c r="E123" s="162">
        <f>+ABRIL!$AG123</f>
        <v>0</v>
      </c>
      <c r="F123" s="162">
        <f>+MAYO!$AG123</f>
        <v>0</v>
      </c>
      <c r="G123" s="162">
        <f>+JUNIO!$AG123</f>
        <v>0</v>
      </c>
      <c r="H123" s="162">
        <f>+JULIO!$AG123</f>
        <v>0</v>
      </c>
      <c r="I123" s="162">
        <f>+AGOSTO!$AG123</f>
        <v>0</v>
      </c>
      <c r="J123" s="162">
        <f>+SEPTIEMBRE!$AG123</f>
        <v>0</v>
      </c>
      <c r="K123" s="162">
        <f>+OCTUBRE!$AG123</f>
        <v>0</v>
      </c>
      <c r="L123" s="162">
        <f>+NOVIEMBRE!$AG123</f>
        <v>0</v>
      </c>
      <c r="M123" s="162">
        <f>+DICIEMBRE!$AG123</f>
        <v>0</v>
      </c>
      <c r="N123" s="64">
        <f t="shared" si="3"/>
        <v>0</v>
      </c>
    </row>
    <row r="124" spans="1:14" ht="19.5" hidden="1" customHeight="1" thickBot="1" x14ac:dyDescent="0.3">
      <c r="A124" s="12" t="s">
        <v>62</v>
      </c>
      <c r="B124" s="162">
        <f>+ENERO!$AG124</f>
        <v>0</v>
      </c>
      <c r="C124" s="162">
        <f>+FEBRERO!$AG124</f>
        <v>0</v>
      </c>
      <c r="D124" s="162">
        <f>+MARZO!$AG124</f>
        <v>0</v>
      </c>
      <c r="E124" s="162">
        <f>+ABRIL!$AG124</f>
        <v>0</v>
      </c>
      <c r="F124" s="162">
        <f>+MAYO!$AG124</f>
        <v>0</v>
      </c>
      <c r="G124" s="162">
        <f>+JUNIO!$AG124</f>
        <v>0</v>
      </c>
      <c r="H124" s="162">
        <f>+JULIO!$AG124</f>
        <v>0</v>
      </c>
      <c r="I124" s="162">
        <f>+AGOSTO!$AG124</f>
        <v>0</v>
      </c>
      <c r="J124" s="162">
        <f>+SEPTIEMBRE!$AG124</f>
        <v>0</v>
      </c>
      <c r="K124" s="162">
        <f>+OCTUBRE!$AG124</f>
        <v>0</v>
      </c>
      <c r="L124" s="162">
        <f>+NOVIEMBRE!$AG124</f>
        <v>0</v>
      </c>
      <c r="M124" s="162">
        <f>+DICIEMBRE!$AG124</f>
        <v>0</v>
      </c>
      <c r="N124" s="64">
        <f t="shared" si="3"/>
        <v>0</v>
      </c>
    </row>
    <row r="125" spans="1:14" ht="19.5" hidden="1" customHeight="1" thickBot="1" x14ac:dyDescent="0.3">
      <c r="A125" s="163" t="s">
        <v>60</v>
      </c>
      <c r="B125" s="162">
        <f>+ENERO!$AG125</f>
        <v>0</v>
      </c>
      <c r="C125" s="162">
        <f>+FEBRERO!$AG125</f>
        <v>0</v>
      </c>
      <c r="D125" s="162">
        <f>+MARZO!$AG125</f>
        <v>0</v>
      </c>
      <c r="E125" s="162">
        <f>+ABRIL!$AG125</f>
        <v>0</v>
      </c>
      <c r="F125" s="162">
        <f>+MAYO!$AG125</f>
        <v>0</v>
      </c>
      <c r="G125" s="162">
        <f>+JUNIO!$AG125</f>
        <v>0</v>
      </c>
      <c r="H125" s="162">
        <f>+JULIO!$AG125</f>
        <v>0</v>
      </c>
      <c r="I125" s="162">
        <f>+AGOSTO!$AG125</f>
        <v>0</v>
      </c>
      <c r="J125" s="162">
        <f>+SEPTIEMBRE!$AG125</f>
        <v>0</v>
      </c>
      <c r="K125" s="162">
        <f>+OCTUBRE!$AG125</f>
        <v>0</v>
      </c>
      <c r="L125" s="162">
        <f>+NOVIEMBRE!$AG125</f>
        <v>0</v>
      </c>
      <c r="M125" s="162">
        <f>+DICIEMBRE!$AG125</f>
        <v>0</v>
      </c>
      <c r="N125" s="64">
        <f t="shared" si="3"/>
        <v>0</v>
      </c>
    </row>
    <row r="126" spans="1:14" ht="19.5" hidden="1" customHeight="1" thickBot="1" x14ac:dyDescent="0.3">
      <c r="A126" s="163" t="s">
        <v>59</v>
      </c>
      <c r="B126" s="162">
        <f>+ENERO!$AG126</f>
        <v>0</v>
      </c>
      <c r="C126" s="162">
        <f>+FEBRERO!$AG126</f>
        <v>0</v>
      </c>
      <c r="D126" s="162">
        <f>+MARZO!$AG126</f>
        <v>0</v>
      </c>
      <c r="E126" s="162">
        <f>+ABRIL!$AG126</f>
        <v>0</v>
      </c>
      <c r="F126" s="162">
        <f>+MAYO!$AG126</f>
        <v>0</v>
      </c>
      <c r="G126" s="162">
        <f>+JUNIO!$AG126</f>
        <v>0</v>
      </c>
      <c r="H126" s="162">
        <f>+JULIO!$AG126</f>
        <v>0</v>
      </c>
      <c r="I126" s="162">
        <f>+AGOSTO!$AG126</f>
        <v>0</v>
      </c>
      <c r="J126" s="162">
        <f>+SEPTIEMBRE!$AG126</f>
        <v>0</v>
      </c>
      <c r="K126" s="162">
        <f>+OCTUBRE!$AG126</f>
        <v>0</v>
      </c>
      <c r="L126" s="162">
        <f>+NOVIEMBRE!$AG126</f>
        <v>0</v>
      </c>
      <c r="M126" s="162">
        <f>+DICIEMBRE!$AG126</f>
        <v>0</v>
      </c>
      <c r="N126" s="64">
        <f t="shared" si="3"/>
        <v>0</v>
      </c>
    </row>
    <row r="127" spans="1:14" ht="19.5" hidden="1" customHeight="1" thickBot="1" x14ac:dyDescent="0.3">
      <c r="A127" s="163" t="s">
        <v>58</v>
      </c>
      <c r="B127" s="162">
        <f>+ENERO!$AG127</f>
        <v>0</v>
      </c>
      <c r="C127" s="162">
        <f>+FEBRERO!$AG127</f>
        <v>0</v>
      </c>
      <c r="D127" s="162">
        <f>+MARZO!$AG127</f>
        <v>0</v>
      </c>
      <c r="E127" s="162">
        <f>+ABRIL!$AG127</f>
        <v>0</v>
      </c>
      <c r="F127" s="162">
        <f>+MAYO!$AG127</f>
        <v>0</v>
      </c>
      <c r="G127" s="162">
        <f>+JUNIO!$AG127</f>
        <v>0</v>
      </c>
      <c r="H127" s="162">
        <f>+JULIO!$AG127</f>
        <v>0</v>
      </c>
      <c r="I127" s="162">
        <f>+AGOSTO!$AG127</f>
        <v>0</v>
      </c>
      <c r="J127" s="162">
        <f>+SEPTIEMBRE!$AG127</f>
        <v>0</v>
      </c>
      <c r="K127" s="162">
        <f>+OCTUBRE!$AG127</f>
        <v>0</v>
      </c>
      <c r="L127" s="162">
        <f>+NOVIEMBRE!$AG127</f>
        <v>0</v>
      </c>
      <c r="M127" s="162">
        <f>+DICIEMBRE!$AG127</f>
        <v>0</v>
      </c>
      <c r="N127" s="64">
        <f t="shared" si="3"/>
        <v>0</v>
      </c>
    </row>
    <row r="128" spans="1:14" ht="19.5" hidden="1" customHeight="1" thickBot="1" x14ac:dyDescent="0.3">
      <c r="A128" s="12" t="s">
        <v>88</v>
      </c>
      <c r="B128" s="162">
        <f>+ENERO!$AG128</f>
        <v>0</v>
      </c>
      <c r="C128" s="162">
        <f>+FEBRERO!$AG128</f>
        <v>0</v>
      </c>
      <c r="D128" s="162">
        <f>+MARZO!$AG128</f>
        <v>0</v>
      </c>
      <c r="E128" s="162">
        <f>+ABRIL!$AG128</f>
        <v>0</v>
      </c>
      <c r="F128" s="162">
        <f>+MAYO!$AG128</f>
        <v>0</v>
      </c>
      <c r="G128" s="162">
        <f>+JUNIO!$AG128</f>
        <v>0</v>
      </c>
      <c r="H128" s="162">
        <f>+JULIO!$AG128</f>
        <v>0</v>
      </c>
      <c r="I128" s="162">
        <f>+AGOSTO!$AG128</f>
        <v>0</v>
      </c>
      <c r="J128" s="162">
        <f>+SEPTIEMBRE!$AG128</f>
        <v>0</v>
      </c>
      <c r="K128" s="162">
        <f>+OCTUBRE!$AG128</f>
        <v>0</v>
      </c>
      <c r="L128" s="162">
        <f>+NOVIEMBRE!$AG128</f>
        <v>0</v>
      </c>
      <c r="M128" s="162">
        <f>+DICIEMBRE!$AG128</f>
        <v>0</v>
      </c>
      <c r="N128" s="64">
        <f t="shared" si="3"/>
        <v>0</v>
      </c>
    </row>
    <row r="129" spans="1:16" ht="19.5" thickBot="1" x14ac:dyDescent="0.3">
      <c r="A129" s="141" t="s">
        <v>87</v>
      </c>
      <c r="B129" s="140">
        <f>+ENERO!$AG129</f>
        <v>636</v>
      </c>
      <c r="C129" s="140">
        <f>+FEBRERO!$AG129</f>
        <v>473</v>
      </c>
      <c r="D129" s="140">
        <f>+MARZO!$AG129</f>
        <v>411</v>
      </c>
      <c r="E129" s="140">
        <f>+ABRIL!$AG129</f>
        <v>331</v>
      </c>
      <c r="F129" s="140">
        <f>+MAYO!$AG129</f>
        <v>384</v>
      </c>
      <c r="G129" s="140">
        <f>+JUNIO!$AG129</f>
        <v>379</v>
      </c>
      <c r="H129" s="140">
        <f>+JULIO!$AG129</f>
        <v>364</v>
      </c>
      <c r="I129" s="140">
        <f>+AGOSTO!$AG129</f>
        <v>361</v>
      </c>
      <c r="J129" s="140">
        <f>+SEPTIEMBRE!$AG129</f>
        <v>331</v>
      </c>
      <c r="K129" s="140">
        <f>+OCTUBRE!$AG129</f>
        <v>382</v>
      </c>
      <c r="L129" s="140">
        <f>+NOVIEMBRE!$AG129</f>
        <v>438</v>
      </c>
      <c r="M129" s="140">
        <f>+DICIEMBRE!$AG129</f>
        <v>125</v>
      </c>
      <c r="N129" s="64">
        <f t="shared" si="3"/>
        <v>4615</v>
      </c>
    </row>
    <row r="130" spans="1:16" ht="18.75" x14ac:dyDescent="0.25">
      <c r="A130" s="167" t="s">
        <v>89</v>
      </c>
      <c r="B130" s="166">
        <f>+ENERO!$AG130</f>
        <v>4102</v>
      </c>
      <c r="C130" s="166">
        <f>+FEBRERO!$AG130</f>
        <v>4159</v>
      </c>
      <c r="D130" s="166">
        <f>+MARZO!$AG130</f>
        <v>4448</v>
      </c>
      <c r="E130" s="166">
        <f>+ABRIL!$AG130</f>
        <v>3879</v>
      </c>
      <c r="F130" s="166">
        <f>+MAYO!$AG130</f>
        <v>4360</v>
      </c>
      <c r="G130" s="166">
        <f>+JUNIO!$AG130</f>
        <v>4348</v>
      </c>
      <c r="H130" s="166">
        <f>+JULIO!$AG130</f>
        <v>4318</v>
      </c>
      <c r="I130" s="166">
        <f>+AGOSTO!$AG130</f>
        <v>4336</v>
      </c>
      <c r="J130" s="166">
        <f>+SEPTIEMBRE!$AG130</f>
        <v>3845</v>
      </c>
      <c r="K130" s="166">
        <f>+OCTUBRE!$AG130</f>
        <v>4549</v>
      </c>
      <c r="L130" s="166">
        <f>+NOVIEMBRE!$AG130</f>
        <v>4767</v>
      </c>
      <c r="M130" s="166">
        <f>+DICIEMBRE!$AG130</f>
        <v>1296</v>
      </c>
      <c r="N130" s="164">
        <f t="shared" si="3"/>
        <v>48407</v>
      </c>
      <c r="O130" s="152" t="str">
        <f>IF(N130&lt;&gt;N93,"*","")</f>
        <v>*</v>
      </c>
    </row>
    <row r="131" spans="1:16" ht="18.75" x14ac:dyDescent="0.25">
      <c r="A131" s="12" t="s">
        <v>67</v>
      </c>
      <c r="B131" s="162">
        <f>+ENERO!$AG131</f>
        <v>1480</v>
      </c>
      <c r="C131" s="162">
        <f>+FEBRERO!$AG131</f>
        <v>1165</v>
      </c>
      <c r="D131" s="162">
        <f>+MARZO!$AG131</f>
        <v>687</v>
      </c>
      <c r="E131" s="162">
        <f>+ABRIL!$AG131</f>
        <v>566</v>
      </c>
      <c r="F131" s="162">
        <f>+MAYO!$AG131</f>
        <v>601</v>
      </c>
      <c r="G131" s="162">
        <f>+JUNIO!$AG131</f>
        <v>524</v>
      </c>
      <c r="H131" s="162">
        <f>+JULIO!$AG131</f>
        <v>574</v>
      </c>
      <c r="I131" s="162">
        <f>+AGOSTO!$AG131</f>
        <v>639</v>
      </c>
      <c r="J131" s="162">
        <f>+SEPTIEMBRE!$AG131</f>
        <v>673</v>
      </c>
      <c r="K131" s="162">
        <f>+OCTUBRE!$AG131</f>
        <v>801</v>
      </c>
      <c r="L131" s="162">
        <f>+NOVIEMBRE!$AG131</f>
        <v>715</v>
      </c>
      <c r="M131" s="162">
        <f>+DICIEMBRE!$AG131</f>
        <v>192</v>
      </c>
      <c r="N131" s="64">
        <f t="shared" ref="N131:N145" si="4">SUM(B131:M131)</f>
        <v>8617</v>
      </c>
    </row>
    <row r="132" spans="1:16" ht="18.75" x14ac:dyDescent="0.25">
      <c r="A132" s="12" t="s">
        <v>69</v>
      </c>
      <c r="B132" s="162">
        <f>+ENERO!$AG132</f>
        <v>219</v>
      </c>
      <c r="C132" s="162">
        <f>+FEBRERO!$AG132</f>
        <v>178</v>
      </c>
      <c r="D132" s="162">
        <f>+MARZO!$AG132</f>
        <v>112</v>
      </c>
      <c r="E132" s="162">
        <f>+ABRIL!$AG132</f>
        <v>102</v>
      </c>
      <c r="F132" s="162">
        <f>+MAYO!$AG132</f>
        <v>107</v>
      </c>
      <c r="G132" s="162">
        <f>+JUNIO!$AG132</f>
        <v>93</v>
      </c>
      <c r="H132" s="162">
        <f>+JULIO!$AG132</f>
        <v>225</v>
      </c>
      <c r="I132" s="162">
        <f>+AGOSTO!$AG132</f>
        <v>124</v>
      </c>
      <c r="J132" s="162">
        <f>+SEPTIEMBRE!$AG132</f>
        <v>129</v>
      </c>
      <c r="K132" s="162">
        <f>+OCTUBRE!$AG132</f>
        <v>144</v>
      </c>
      <c r="L132" s="162">
        <f>+NOVIEMBRE!$AG132</f>
        <v>153</v>
      </c>
      <c r="M132" s="162">
        <f>+DICIEMBRE!$AG132</f>
        <v>38</v>
      </c>
      <c r="N132" s="64">
        <f t="shared" si="4"/>
        <v>1624</v>
      </c>
    </row>
    <row r="133" spans="1:16" ht="18.75" x14ac:dyDescent="0.25">
      <c r="A133" s="12" t="s">
        <v>68</v>
      </c>
      <c r="B133" s="162">
        <f>+ENERO!$AG133</f>
        <v>290</v>
      </c>
      <c r="C133" s="162">
        <f>+FEBRERO!$AG133</f>
        <v>215</v>
      </c>
      <c r="D133" s="162">
        <f>+MARZO!$AG133</f>
        <v>155</v>
      </c>
      <c r="E133" s="162">
        <f>+ABRIL!$AG133</f>
        <v>109</v>
      </c>
      <c r="F133" s="162">
        <f>+MAYO!$AG133</f>
        <v>146</v>
      </c>
      <c r="G133" s="162">
        <f>+JUNIO!$AG133</f>
        <v>101</v>
      </c>
      <c r="H133" s="162">
        <f>+JULIO!$AG133</f>
        <v>158</v>
      </c>
      <c r="I133" s="162">
        <f>+AGOSTO!$AG133</f>
        <v>151</v>
      </c>
      <c r="J133" s="162">
        <f>+SEPTIEMBRE!$AG133</f>
        <v>130</v>
      </c>
      <c r="K133" s="162">
        <f>+OCTUBRE!$AG133</f>
        <v>155</v>
      </c>
      <c r="L133" s="162">
        <f>+NOVIEMBRE!$AG133</f>
        <v>183</v>
      </c>
      <c r="M133" s="162">
        <f>+DICIEMBRE!$AG133</f>
        <v>35</v>
      </c>
      <c r="N133" s="64">
        <f t="shared" si="4"/>
        <v>1828</v>
      </c>
    </row>
    <row r="134" spans="1:16" ht="18.75" x14ac:dyDescent="0.25">
      <c r="A134" s="12" t="s">
        <v>66</v>
      </c>
      <c r="B134" s="162">
        <f>+ENERO!$AG134</f>
        <v>265</v>
      </c>
      <c r="C134" s="162">
        <f>+FEBRERO!$AG134</f>
        <v>177</v>
      </c>
      <c r="D134" s="162">
        <f>+MARZO!$AG134</f>
        <v>162</v>
      </c>
      <c r="E134" s="162">
        <f>+ABRIL!$AG134</f>
        <v>170</v>
      </c>
      <c r="F134" s="162">
        <f>+MAYO!$AG134</f>
        <v>180</v>
      </c>
      <c r="G134" s="162">
        <f>+JUNIO!$AG134</f>
        <v>163</v>
      </c>
      <c r="H134" s="162">
        <f>+JULIO!$AG134</f>
        <v>204</v>
      </c>
      <c r="I134" s="162">
        <f>+AGOSTO!$AG134</f>
        <v>196</v>
      </c>
      <c r="J134" s="162">
        <f>+SEPTIEMBRE!$AG134</f>
        <v>155</v>
      </c>
      <c r="K134" s="162">
        <f>+OCTUBRE!$AG134</f>
        <v>202</v>
      </c>
      <c r="L134" s="162">
        <f>+NOVIEMBRE!$AG134</f>
        <v>191</v>
      </c>
      <c r="M134" s="162">
        <f>+DICIEMBRE!$AG134</f>
        <v>35</v>
      </c>
      <c r="N134" s="64">
        <f t="shared" si="4"/>
        <v>2100</v>
      </c>
    </row>
    <row r="135" spans="1:16" ht="18.75" x14ac:dyDescent="0.25">
      <c r="A135" s="12" t="s">
        <v>65</v>
      </c>
      <c r="B135" s="162">
        <f>+ENERO!$AG135</f>
        <v>236</v>
      </c>
      <c r="C135" s="162">
        <f>+FEBRERO!$AG135</f>
        <v>164</v>
      </c>
      <c r="D135" s="162">
        <f>+MARZO!$AG135</f>
        <v>143</v>
      </c>
      <c r="E135" s="162">
        <f>+ABRIL!$AG135</f>
        <v>118</v>
      </c>
      <c r="F135" s="162">
        <f>+MAYO!$AG135</f>
        <v>138</v>
      </c>
      <c r="G135" s="162">
        <f>+JUNIO!$AG135</f>
        <v>139</v>
      </c>
      <c r="H135" s="162">
        <f>+JULIO!$AG135</f>
        <v>103</v>
      </c>
      <c r="I135" s="162">
        <f>+AGOSTO!$AG135</f>
        <v>146</v>
      </c>
      <c r="J135" s="162">
        <f>+SEPTIEMBRE!$AG135</f>
        <v>105</v>
      </c>
      <c r="K135" s="162">
        <f>+OCTUBRE!$AG135</f>
        <v>150</v>
      </c>
      <c r="L135" s="162">
        <f>+NOVIEMBRE!$AG135</f>
        <v>170</v>
      </c>
      <c r="M135" s="162">
        <f>+DICIEMBRE!$AG135</f>
        <v>33</v>
      </c>
      <c r="N135" s="64">
        <f t="shared" si="4"/>
        <v>1645</v>
      </c>
    </row>
    <row r="136" spans="1:16" ht="18.75" x14ac:dyDescent="0.25">
      <c r="A136" s="12" t="s">
        <v>64</v>
      </c>
      <c r="B136" s="162">
        <f>+ENERO!$AG136</f>
        <v>607</v>
      </c>
      <c r="C136" s="162">
        <f>+FEBRERO!$AG136</f>
        <v>1489</v>
      </c>
      <c r="D136" s="162">
        <f>+MARZO!$AG136</f>
        <v>2508</v>
      </c>
      <c r="E136" s="162">
        <f>+ABRIL!$AG136</f>
        <v>2200</v>
      </c>
      <c r="F136" s="162">
        <f>+MAYO!$AG136</f>
        <v>2466</v>
      </c>
      <c r="G136" s="162">
        <f>+JUNIO!$AG136</f>
        <v>2578</v>
      </c>
      <c r="H136" s="162">
        <f>+JULIO!$AG136</f>
        <v>2366</v>
      </c>
      <c r="I136" s="162">
        <f>+AGOSTO!$AG136</f>
        <v>2396</v>
      </c>
      <c r="J136" s="162">
        <f>+SEPTIEMBRE!$AG136</f>
        <v>2034</v>
      </c>
      <c r="K136" s="162">
        <f>+OCTUBRE!$AG136</f>
        <v>2361</v>
      </c>
      <c r="L136" s="162">
        <f>+NOVIEMBRE!$AG136</f>
        <v>2644</v>
      </c>
      <c r="M136" s="162">
        <f>+DICIEMBRE!$AG136</f>
        <v>734</v>
      </c>
      <c r="N136" s="64">
        <f t="shared" si="4"/>
        <v>24383</v>
      </c>
    </row>
    <row r="137" spans="1:16" ht="18.75" x14ac:dyDescent="0.25">
      <c r="A137" s="12" t="s">
        <v>63</v>
      </c>
      <c r="B137" s="162">
        <f>+ENERO!$AG137</f>
        <v>150</v>
      </c>
      <c r="C137" s="162">
        <f>+FEBRERO!$AG137</f>
        <v>101</v>
      </c>
      <c r="D137" s="162">
        <f>+MARZO!$AG137</f>
        <v>60</v>
      </c>
      <c r="E137" s="162">
        <f>+ABRIL!$AG137</f>
        <v>67</v>
      </c>
      <c r="F137" s="162">
        <f>+MAYO!$AG137</f>
        <v>84</v>
      </c>
      <c r="G137" s="162">
        <f>+JUNIO!$AG137</f>
        <v>81</v>
      </c>
      <c r="H137" s="162">
        <f>+JULIO!$AG137</f>
        <v>68</v>
      </c>
      <c r="I137" s="162">
        <f>+AGOSTO!$AG137</f>
        <v>67</v>
      </c>
      <c r="J137" s="162">
        <f>+SEPTIEMBRE!$AG137</f>
        <v>52</v>
      </c>
      <c r="K137" s="162">
        <f>+OCTUBRE!$AG137</f>
        <v>99</v>
      </c>
      <c r="L137" s="162">
        <f>+NOVIEMBRE!$AG137</f>
        <v>67</v>
      </c>
      <c r="M137" s="162">
        <f>+DICIEMBRE!$AG137</f>
        <v>20</v>
      </c>
      <c r="N137" s="64">
        <f t="shared" si="4"/>
        <v>916</v>
      </c>
    </row>
    <row r="138" spans="1:16" ht="18.75" x14ac:dyDescent="0.25">
      <c r="A138" s="12" t="s">
        <v>62</v>
      </c>
      <c r="B138" s="162">
        <f>+ENERO!$AG138</f>
        <v>58</v>
      </c>
      <c r="C138" s="162">
        <f>+FEBRERO!$AG138</f>
        <v>29</v>
      </c>
      <c r="D138" s="162">
        <f>+MARZO!$AG138</f>
        <v>31</v>
      </c>
      <c r="E138" s="162">
        <f>+ABRIL!$AG138</f>
        <v>24</v>
      </c>
      <c r="F138" s="162">
        <f>+MAYO!$AG138</f>
        <v>24</v>
      </c>
      <c r="G138" s="162">
        <f>+JUNIO!$AG138</f>
        <v>23</v>
      </c>
      <c r="H138" s="162">
        <f>+JULIO!$AG138</f>
        <v>23</v>
      </c>
      <c r="I138" s="162">
        <f>+AGOSTO!$AG138</f>
        <v>35</v>
      </c>
      <c r="J138" s="162">
        <f>+SEPTIEMBRE!$AG138</f>
        <v>22</v>
      </c>
      <c r="K138" s="162">
        <f>+OCTUBRE!$AG138</f>
        <v>29</v>
      </c>
      <c r="L138" s="162">
        <f>+NOVIEMBRE!$AG138</f>
        <v>25</v>
      </c>
      <c r="M138" s="162">
        <f>+DICIEMBRE!$AG138</f>
        <v>6</v>
      </c>
      <c r="N138" s="64">
        <f t="shared" si="4"/>
        <v>329</v>
      </c>
    </row>
    <row r="139" spans="1:16" ht="18.75" x14ac:dyDescent="0.25">
      <c r="A139" s="163" t="s">
        <v>60</v>
      </c>
      <c r="B139" s="162">
        <f>+ENERO!$AG139</f>
        <v>47</v>
      </c>
      <c r="C139" s="162">
        <f>+FEBRERO!$AG139</f>
        <v>43</v>
      </c>
      <c r="D139" s="162">
        <f>+MARZO!$AG139</f>
        <v>43</v>
      </c>
      <c r="E139" s="162">
        <f>+ABRIL!$AG139</f>
        <v>33</v>
      </c>
      <c r="F139" s="162">
        <f>+MAYO!$AG139</f>
        <v>61</v>
      </c>
      <c r="G139" s="162">
        <f>+JUNIO!$AG139</f>
        <v>53</v>
      </c>
      <c r="H139" s="162">
        <f>+JULIO!$AG139</f>
        <v>58</v>
      </c>
      <c r="I139" s="162">
        <f>+AGOSTO!$AG139</f>
        <v>51</v>
      </c>
      <c r="J139" s="162">
        <f>+SEPTIEMBRE!$AG139</f>
        <v>56</v>
      </c>
      <c r="K139" s="162">
        <f>+OCTUBRE!$AG139</f>
        <v>42</v>
      </c>
      <c r="L139" s="162">
        <f>+NOVIEMBRE!$AG139</f>
        <v>42</v>
      </c>
      <c r="M139" s="162">
        <f>+DICIEMBRE!$AG139</f>
        <v>17</v>
      </c>
      <c r="N139" s="64">
        <f t="shared" si="4"/>
        <v>546</v>
      </c>
    </row>
    <row r="140" spans="1:16" ht="18.75" x14ac:dyDescent="0.25">
      <c r="A140" s="163" t="s">
        <v>59</v>
      </c>
      <c r="B140" s="162">
        <f>+ENERO!$AG140</f>
        <v>21</v>
      </c>
      <c r="C140" s="162">
        <f>+FEBRERO!$AG140</f>
        <v>27</v>
      </c>
      <c r="D140" s="162">
        <f>+MARZO!$AG140</f>
        <v>28</v>
      </c>
      <c r="E140" s="162">
        <f>+ABRIL!$AG140</f>
        <v>22</v>
      </c>
      <c r="F140" s="162">
        <f>+MAYO!$AG140</f>
        <v>30</v>
      </c>
      <c r="G140" s="162">
        <f>+JUNIO!$AG140</f>
        <v>33</v>
      </c>
      <c r="H140" s="162">
        <f>+JULIO!$AG140</f>
        <v>38</v>
      </c>
      <c r="I140" s="162">
        <f>+AGOSTO!$AG140</f>
        <v>34</v>
      </c>
      <c r="J140" s="162">
        <f>+SEPTIEMBRE!$AG140</f>
        <v>32</v>
      </c>
      <c r="K140" s="162">
        <f>+OCTUBRE!$AG140</f>
        <v>46</v>
      </c>
      <c r="L140" s="162">
        <f>+NOVIEMBRE!$AG140</f>
        <v>30</v>
      </c>
      <c r="M140" s="162">
        <f>+DICIEMBRE!$AG140</f>
        <v>13</v>
      </c>
      <c r="N140" s="64">
        <f t="shared" si="4"/>
        <v>354</v>
      </c>
    </row>
    <row r="141" spans="1:16" ht="18.75" x14ac:dyDescent="0.25">
      <c r="A141" s="163" t="s">
        <v>58</v>
      </c>
      <c r="B141" s="162">
        <f>+ENERO!$AG141</f>
        <v>9</v>
      </c>
      <c r="C141" s="162">
        <f>+FEBRERO!$AG141</f>
        <v>5</v>
      </c>
      <c r="D141" s="162">
        <f>+MARZO!$AG141</f>
        <v>8</v>
      </c>
      <c r="E141" s="162">
        <f>+ABRIL!$AG141</f>
        <v>3</v>
      </c>
      <c r="F141" s="162">
        <f>+MAYO!$AG141</f>
        <v>9</v>
      </c>
      <c r="G141" s="162">
        <f>+JUNIO!$AG141</f>
        <v>11</v>
      </c>
      <c r="H141" s="162">
        <f>+JULIO!$AG141</f>
        <v>6</v>
      </c>
      <c r="I141" s="162">
        <f>+AGOSTO!$AG141</f>
        <v>17</v>
      </c>
      <c r="J141" s="162">
        <f>+SEPTIEMBRE!$AG141</f>
        <v>9</v>
      </c>
      <c r="K141" s="162">
        <f>+OCTUBRE!$AG141</f>
        <v>13</v>
      </c>
      <c r="L141" s="162">
        <f>+NOVIEMBRE!$AG141</f>
        <v>12</v>
      </c>
      <c r="M141" s="162">
        <f>+DICIEMBRE!$AG141</f>
        <v>4</v>
      </c>
      <c r="N141" s="64">
        <f t="shared" si="4"/>
        <v>106</v>
      </c>
    </row>
    <row r="142" spans="1:16" ht="18.75" x14ac:dyDescent="0.25">
      <c r="A142" s="12" t="s">
        <v>88</v>
      </c>
      <c r="B142" s="162">
        <f>+ENERO!$AG142</f>
        <v>141</v>
      </c>
      <c r="C142" s="162">
        <f>+FEBRERO!$AG142</f>
        <v>114</v>
      </c>
      <c r="D142" s="162">
        <f>+MARZO!$AG142</f>
        <v>128</v>
      </c>
      <c r="E142" s="162">
        <f>+ABRIL!$AG142</f>
        <v>154</v>
      </c>
      <c r="F142" s="162">
        <f>+MAYO!$AG142</f>
        <v>155</v>
      </c>
      <c r="G142" s="162">
        <f>+JUNIO!$AG142</f>
        <v>187</v>
      </c>
      <c r="H142" s="162">
        <f>+JULIO!$AG142</f>
        <v>152</v>
      </c>
      <c r="I142" s="162">
        <f>+AGOSTO!$AG142</f>
        <v>135</v>
      </c>
      <c r="J142" s="162">
        <f>+SEPTIEMBRE!$AG142</f>
        <v>134</v>
      </c>
      <c r="K142" s="162">
        <f>+OCTUBRE!$AG142</f>
        <v>145</v>
      </c>
      <c r="L142" s="162">
        <f>+NOVIEMBRE!$AG142</f>
        <v>143</v>
      </c>
      <c r="M142" s="162">
        <f>+DICIEMBRE!$AG142</f>
        <v>48</v>
      </c>
      <c r="N142" s="64">
        <f t="shared" si="4"/>
        <v>1636</v>
      </c>
    </row>
    <row r="143" spans="1:16" ht="19.5" thickBot="1" x14ac:dyDescent="0.3">
      <c r="A143" s="141" t="s">
        <v>87</v>
      </c>
      <c r="B143" s="140">
        <f>+ENERO!$AG143</f>
        <v>579</v>
      </c>
      <c r="C143" s="140">
        <f>+FEBRERO!$AG143</f>
        <v>452</v>
      </c>
      <c r="D143" s="140">
        <f>+MARZO!$AG143</f>
        <v>383</v>
      </c>
      <c r="E143" s="140">
        <f>+ABRIL!$AG143</f>
        <v>311</v>
      </c>
      <c r="F143" s="140">
        <f>+MAYO!$AG143</f>
        <v>359</v>
      </c>
      <c r="G143" s="140">
        <f>+JUNIO!$AG143</f>
        <v>362</v>
      </c>
      <c r="H143" s="140">
        <f>+JULIO!$AG143</f>
        <v>343</v>
      </c>
      <c r="I143" s="140">
        <f>+AGOSTO!$AG143</f>
        <v>345</v>
      </c>
      <c r="J143" s="140">
        <f>+SEPTIEMBRE!$AG143</f>
        <v>314</v>
      </c>
      <c r="K143" s="140">
        <f>+OCTUBRE!$AG143</f>
        <v>362</v>
      </c>
      <c r="L143" s="140">
        <f>+NOVIEMBRE!$AG143</f>
        <v>392</v>
      </c>
      <c r="M143" s="140">
        <f>+DICIEMBRE!$AG143</f>
        <v>121</v>
      </c>
      <c r="N143" s="160">
        <f t="shared" si="4"/>
        <v>4323</v>
      </c>
    </row>
    <row r="144" spans="1:16" ht="19.5" thickBot="1" x14ac:dyDescent="0.3">
      <c r="A144" s="159" t="s">
        <v>86</v>
      </c>
      <c r="B144" s="158">
        <f>+ENERO!$AG144</f>
        <v>4102</v>
      </c>
      <c r="C144" s="158">
        <f>+FEBRERO!$AG144</f>
        <v>4159</v>
      </c>
      <c r="D144" s="158">
        <f>+MARZO!$AG144</f>
        <v>4448</v>
      </c>
      <c r="E144" s="158">
        <f>+ABRIL!$AG144</f>
        <v>3879</v>
      </c>
      <c r="F144" s="158">
        <f>+MAYO!$AG144</f>
        <v>4360</v>
      </c>
      <c r="G144" s="158">
        <f>+JUNIO!$AG144</f>
        <v>4348</v>
      </c>
      <c r="H144" s="158">
        <f>+JULIO!$AG144</f>
        <v>4318</v>
      </c>
      <c r="I144" s="158">
        <f>+AGOSTO!$AG144</f>
        <v>4336</v>
      </c>
      <c r="J144" s="158">
        <f>+SEPTIEMBRE!$AG144</f>
        <v>3845</v>
      </c>
      <c r="K144" s="158">
        <f>+OCTUBRE!$AG144</f>
        <v>4549</v>
      </c>
      <c r="L144" s="158">
        <f>+NOVIEMBRE!$AG144</f>
        <v>4767</v>
      </c>
      <c r="M144" s="158">
        <f>+DICIEMBRE!$AG144</f>
        <v>1296</v>
      </c>
      <c r="N144" s="157">
        <f t="shared" si="4"/>
        <v>48407</v>
      </c>
      <c r="O144" s="85" t="str">
        <f>IF(N144&lt;&gt;N93,"*","")</f>
        <v>*</v>
      </c>
      <c r="P144" t="s">
        <v>85</v>
      </c>
    </row>
    <row r="145" spans="1:15" ht="19.5" thickBot="1" x14ac:dyDescent="0.3">
      <c r="A145" s="156" t="s">
        <v>84</v>
      </c>
      <c r="B145" s="155">
        <f>+ENERO!$AG145</f>
        <v>279</v>
      </c>
      <c r="C145" s="155">
        <f>+FEBRERO!$AG145</f>
        <v>190</v>
      </c>
      <c r="D145" s="155">
        <f>+MARZO!$AG145</f>
        <v>263</v>
      </c>
      <c r="E145" s="155">
        <f>+ABRIL!$AG145</f>
        <v>235</v>
      </c>
      <c r="F145" s="155">
        <f>+MAYO!$AG145</f>
        <v>240</v>
      </c>
      <c r="G145" s="155">
        <f>+JUNIO!$AG145</f>
        <v>182</v>
      </c>
      <c r="H145" s="155">
        <f>+JULIO!$AG145</f>
        <v>159</v>
      </c>
      <c r="I145" s="155">
        <f>+AGOSTO!$AG145</f>
        <v>203</v>
      </c>
      <c r="J145" s="155">
        <f>+SEPTIEMBRE!$AG145</f>
        <v>180</v>
      </c>
      <c r="K145" s="155">
        <f>+OCTUBRE!$AG145</f>
        <v>210</v>
      </c>
      <c r="L145" s="155">
        <f>+NOVIEMBRE!$AG145</f>
        <v>334</v>
      </c>
      <c r="M145" s="155">
        <f>+DICIEMBRE!$AG145</f>
        <v>33</v>
      </c>
      <c r="N145" s="153">
        <f t="shared" si="4"/>
        <v>2508</v>
      </c>
      <c r="O145" s="152"/>
    </row>
    <row r="146" spans="1:15" ht="19.5" thickBot="1" x14ac:dyDescent="0.3">
      <c r="A146" s="151" t="s">
        <v>83</v>
      </c>
      <c r="B146" s="8">
        <f>+ENERO!$AG146</f>
        <v>0</v>
      </c>
      <c r="C146" s="8">
        <f>+FEBRERO!$AG146</f>
        <v>0</v>
      </c>
      <c r="D146" s="8">
        <f>+MARZO!$AG146</f>
        <v>0</v>
      </c>
      <c r="E146" s="8">
        <f>+ABRIL!$AG146</f>
        <v>0</v>
      </c>
      <c r="F146" s="8">
        <f>+MAYO!$AG146</f>
        <v>0</v>
      </c>
      <c r="G146" s="8">
        <f>+JUNIO!$AG146</f>
        <v>0</v>
      </c>
      <c r="H146" s="8">
        <f>+JULIO!$AG146</f>
        <v>1</v>
      </c>
      <c r="I146" s="8">
        <f>+AGOSTO!$AG146</f>
        <v>2</v>
      </c>
      <c r="J146" s="8">
        <f>+SEPTIEMBRE!$AG146</f>
        <v>2</v>
      </c>
      <c r="K146" s="8">
        <f>+OCTUBRE!$AG146</f>
        <v>2</v>
      </c>
      <c r="L146" s="8">
        <f>+NOVIEMBRE!$AG146</f>
        <v>0</v>
      </c>
      <c r="M146" s="8">
        <f>+DICIEMBRE!$AG146</f>
        <v>0</v>
      </c>
      <c r="N146" s="149">
        <f t="shared" ref="L146:N147" si="5">+N148+N154</f>
        <v>7</v>
      </c>
    </row>
    <row r="147" spans="1:15" ht="19.5" thickBot="1" x14ac:dyDescent="0.3">
      <c r="A147" s="144" t="s">
        <v>82</v>
      </c>
      <c r="B147" s="143">
        <f>+ENERO!$AG147</f>
        <v>0</v>
      </c>
      <c r="C147" s="143">
        <f>+FEBRERO!$AG147</f>
        <v>0</v>
      </c>
      <c r="D147" s="143">
        <f>+MARZO!$AG147</f>
        <v>0</v>
      </c>
      <c r="E147" s="143">
        <f>+ABRIL!$AG147</f>
        <v>0</v>
      </c>
      <c r="F147" s="143">
        <f>+MAYO!$AG147</f>
        <v>1</v>
      </c>
      <c r="G147" s="143">
        <f>+JUNIO!$AG147</f>
        <v>0</v>
      </c>
      <c r="H147" s="143">
        <f>+JULIO!$AG147</f>
        <v>0</v>
      </c>
      <c r="I147" s="143">
        <f>+AGOSTO!$AG147</f>
        <v>0</v>
      </c>
      <c r="J147" s="143">
        <f>+SEPTIEMBRE!$AG147</f>
        <v>0</v>
      </c>
      <c r="K147" s="143">
        <f>+OCTUBRE!$AG147</f>
        <v>0</v>
      </c>
      <c r="L147" s="143">
        <f>+NOVIEMBRE!$AG147</f>
        <v>0</v>
      </c>
      <c r="M147" s="143">
        <f>+DICIEMBRE!$AG147</f>
        <v>0</v>
      </c>
      <c r="N147" s="86">
        <f t="shared" ref="N147:N179" si="6">SUM(B147:M147)</f>
        <v>1</v>
      </c>
    </row>
    <row r="148" spans="1:15" ht="19.5" thickBot="1" x14ac:dyDescent="0.3">
      <c r="A148" s="148" t="s">
        <v>81</v>
      </c>
      <c r="B148" s="147">
        <f>+ENERO!$AG148</f>
        <v>0</v>
      </c>
      <c r="C148" s="147">
        <f>+FEBRERO!$AG148</f>
        <v>0</v>
      </c>
      <c r="D148" s="147">
        <f>+MARZO!$AG148</f>
        <v>0</v>
      </c>
      <c r="E148" s="147">
        <f>+ABRIL!$AG148</f>
        <v>0</v>
      </c>
      <c r="F148" s="147">
        <f>+MAYO!$AG148</f>
        <v>0</v>
      </c>
      <c r="G148" s="147">
        <f>+JUNIO!$AG148</f>
        <v>0</v>
      </c>
      <c r="H148" s="147">
        <f>+JULIO!$AG148</f>
        <v>0</v>
      </c>
      <c r="I148" s="147">
        <f>+AGOSTO!$AG148</f>
        <v>0</v>
      </c>
      <c r="J148" s="147">
        <f>+SEPTIEMBRE!$AG148</f>
        <v>0</v>
      </c>
      <c r="K148" s="147">
        <f>+OCTUBRE!$AG148</f>
        <v>0</v>
      </c>
      <c r="L148" s="147">
        <f>+NOVIEMBRE!$AG148</f>
        <v>0</v>
      </c>
      <c r="M148" s="147">
        <f>+DICIEMBRE!$AG148</f>
        <v>0</v>
      </c>
      <c r="N148" s="145">
        <f t="shared" si="6"/>
        <v>0</v>
      </c>
    </row>
    <row r="149" spans="1:15" ht="19.5" thickBot="1" x14ac:dyDescent="0.3">
      <c r="A149" s="144" t="s">
        <v>80</v>
      </c>
      <c r="B149" s="143">
        <f>+ENERO!$AG149</f>
        <v>0</v>
      </c>
      <c r="C149" s="143">
        <f>+FEBRERO!$AG149</f>
        <v>0</v>
      </c>
      <c r="D149" s="143">
        <f>+MARZO!$AG149</f>
        <v>0</v>
      </c>
      <c r="E149" s="143">
        <f>+ABRIL!$AG149</f>
        <v>0</v>
      </c>
      <c r="F149" s="143">
        <f>+MAYO!$AG149</f>
        <v>0</v>
      </c>
      <c r="G149" s="143">
        <f>+JUNIO!$AG149</f>
        <v>0</v>
      </c>
      <c r="H149" s="143">
        <f>+JULIO!$AG149</f>
        <v>0</v>
      </c>
      <c r="I149" s="143">
        <f>+AGOSTO!$AG149</f>
        <v>0</v>
      </c>
      <c r="J149" s="143">
        <f>+SEPTIEMBRE!$AG149</f>
        <v>0</v>
      </c>
      <c r="K149" s="143">
        <f>+OCTUBRE!$AG149</f>
        <v>0</v>
      </c>
      <c r="L149" s="143">
        <f>+NOVIEMBRE!$AG149</f>
        <v>0</v>
      </c>
      <c r="M149" s="143">
        <f>+DICIEMBRE!$AG149</f>
        <v>0</v>
      </c>
      <c r="N149" s="86">
        <f t="shared" si="6"/>
        <v>0</v>
      </c>
    </row>
    <row r="150" spans="1:15" ht="18.75" x14ac:dyDescent="0.25">
      <c r="A150" s="137" t="s">
        <v>79</v>
      </c>
      <c r="B150" s="136">
        <f>+ENERO!$AG150</f>
        <v>0</v>
      </c>
      <c r="C150" s="136">
        <f>+FEBRERO!$AG150</f>
        <v>0</v>
      </c>
      <c r="D150" s="136">
        <f>+MARZO!$AG150</f>
        <v>0</v>
      </c>
      <c r="E150" s="136">
        <f>+ABRIL!$AG150</f>
        <v>0</v>
      </c>
      <c r="F150" s="136">
        <f>+MAYO!$AG150</f>
        <v>0</v>
      </c>
      <c r="G150" s="136">
        <f>+JUNIO!$AG150</f>
        <v>0</v>
      </c>
      <c r="H150" s="136">
        <f>+JULIO!$AG150</f>
        <v>0</v>
      </c>
      <c r="I150" s="136">
        <f>+AGOSTO!$AG150</f>
        <v>0</v>
      </c>
      <c r="J150" s="136">
        <f>+SEPTIEMBRE!$AG150</f>
        <v>0</v>
      </c>
      <c r="K150" s="136">
        <f>+OCTUBRE!$AG150</f>
        <v>0</v>
      </c>
      <c r="L150" s="136">
        <f>+NOVIEMBRE!$AG150</f>
        <v>0</v>
      </c>
      <c r="M150" s="136">
        <f>+DICIEMBRE!$AG150</f>
        <v>0</v>
      </c>
      <c r="N150" s="134">
        <f t="shared" si="6"/>
        <v>0</v>
      </c>
    </row>
    <row r="151" spans="1:15" ht="18.75" x14ac:dyDescent="0.25">
      <c r="A151" s="133" t="s">
        <v>78</v>
      </c>
      <c r="B151" s="130">
        <f>+ENERO!$AG151</f>
        <v>0</v>
      </c>
      <c r="C151" s="130">
        <f>+FEBRERO!$AG151</f>
        <v>0</v>
      </c>
      <c r="D151" s="130">
        <f>+MARZO!$AG151</f>
        <v>0</v>
      </c>
      <c r="E151" s="130">
        <f>+ABRIL!$AG151</f>
        <v>0</v>
      </c>
      <c r="F151" s="130">
        <f>+MAYO!$AG151</f>
        <v>0</v>
      </c>
      <c r="G151" s="130">
        <f>+JUNIO!$AG151</f>
        <v>0</v>
      </c>
      <c r="H151" s="130">
        <f>+JULIO!$AG151</f>
        <v>0</v>
      </c>
      <c r="I151" s="130">
        <f>+AGOSTO!$AG151</f>
        <v>0</v>
      </c>
      <c r="J151" s="130">
        <f>+SEPTIEMBRE!$AG151</f>
        <v>0</v>
      </c>
      <c r="K151" s="130">
        <f>+OCTUBRE!$AG151</f>
        <v>0</v>
      </c>
      <c r="L151" s="130">
        <f>+NOVIEMBRE!$AG151</f>
        <v>0</v>
      </c>
      <c r="M151" s="130">
        <f>+DICIEMBRE!$AG151</f>
        <v>0</v>
      </c>
      <c r="N151" s="64">
        <f t="shared" si="6"/>
        <v>0</v>
      </c>
    </row>
    <row r="152" spans="1:15" ht="18.75" x14ac:dyDescent="0.25">
      <c r="A152" s="133" t="s">
        <v>77</v>
      </c>
      <c r="B152" s="130">
        <f>+ENERO!$AG152</f>
        <v>0</v>
      </c>
      <c r="C152" s="130">
        <f>+FEBRERO!$AG152</f>
        <v>0</v>
      </c>
      <c r="D152" s="130">
        <f>+MARZO!$AG152</f>
        <v>0</v>
      </c>
      <c r="E152" s="130">
        <f>+ABRIL!$AG152</f>
        <v>0</v>
      </c>
      <c r="F152" s="130">
        <f>+MAYO!$AG152</f>
        <v>0</v>
      </c>
      <c r="G152" s="130">
        <f>+JUNIO!$AG152</f>
        <v>0</v>
      </c>
      <c r="H152" s="130">
        <f>+JULIO!$AG152</f>
        <v>0</v>
      </c>
      <c r="I152" s="130">
        <f>+AGOSTO!$AG152</f>
        <v>0</v>
      </c>
      <c r="J152" s="130">
        <f>+SEPTIEMBRE!$AG152</f>
        <v>0</v>
      </c>
      <c r="K152" s="130">
        <f>+OCTUBRE!$AG152</f>
        <v>0</v>
      </c>
      <c r="L152" s="130">
        <f>+NOVIEMBRE!$AG152</f>
        <v>0</v>
      </c>
      <c r="M152" s="130">
        <f>+DICIEMBRE!$AG152</f>
        <v>0</v>
      </c>
      <c r="N152" s="64">
        <f t="shared" si="6"/>
        <v>0</v>
      </c>
    </row>
    <row r="153" spans="1:15" ht="19.5" thickBot="1" x14ac:dyDescent="0.3">
      <c r="A153" s="132" t="s">
        <v>76</v>
      </c>
      <c r="B153" s="127">
        <f>+ENERO!$AG153</f>
        <v>0</v>
      </c>
      <c r="C153" s="127">
        <f>+FEBRERO!$AG153</f>
        <v>0</v>
      </c>
      <c r="D153" s="127">
        <f>+MARZO!$AG153</f>
        <v>0</v>
      </c>
      <c r="E153" s="127">
        <f>+ABRIL!$AG153</f>
        <v>0</v>
      </c>
      <c r="F153" s="127">
        <f>+MAYO!$AG153</f>
        <v>0</v>
      </c>
      <c r="G153" s="127">
        <f>+JUNIO!$AG153</f>
        <v>0</v>
      </c>
      <c r="H153" s="127">
        <f>+JULIO!$AG153</f>
        <v>0</v>
      </c>
      <c r="I153" s="127">
        <f>+AGOSTO!$AG153</f>
        <v>0</v>
      </c>
      <c r="J153" s="127">
        <f>+SEPTIEMBRE!$AG153</f>
        <v>0</v>
      </c>
      <c r="K153" s="127">
        <f>+OCTUBRE!$AG153</f>
        <v>0</v>
      </c>
      <c r="L153" s="127">
        <f>+NOVIEMBRE!$AG153</f>
        <v>0</v>
      </c>
      <c r="M153" s="127">
        <f>+DICIEMBRE!$AG153</f>
        <v>0</v>
      </c>
      <c r="N153" s="10">
        <f t="shared" si="6"/>
        <v>0</v>
      </c>
    </row>
    <row r="154" spans="1:15" ht="19.5" thickBot="1" x14ac:dyDescent="0.3">
      <c r="A154" s="148" t="s">
        <v>75</v>
      </c>
      <c r="B154" s="147">
        <f>+ENERO!$AG154</f>
        <v>0</v>
      </c>
      <c r="C154" s="147">
        <f>+FEBRERO!$AG154</f>
        <v>0</v>
      </c>
      <c r="D154" s="147">
        <f>+MARZO!$AG154</f>
        <v>0</v>
      </c>
      <c r="E154" s="147">
        <f>+ABRIL!$AG154</f>
        <v>0</v>
      </c>
      <c r="F154" s="147">
        <f>+MAYO!$AG154</f>
        <v>0</v>
      </c>
      <c r="G154" s="147">
        <f>+JUNIO!$AG154</f>
        <v>0</v>
      </c>
      <c r="H154" s="147">
        <f>+JULIO!$AG154</f>
        <v>1</v>
      </c>
      <c r="I154" s="147">
        <f>+AGOSTO!$AG154</f>
        <v>2</v>
      </c>
      <c r="J154" s="147">
        <f>+SEPTIEMBRE!$AG154</f>
        <v>2</v>
      </c>
      <c r="K154" s="147">
        <f>+OCTUBRE!$AG154</f>
        <v>2</v>
      </c>
      <c r="L154" s="147">
        <f>+NOVIEMBRE!$AG154</f>
        <v>0</v>
      </c>
      <c r="M154" s="147">
        <f>+DICIEMBRE!$AG154</f>
        <v>0</v>
      </c>
      <c r="N154" s="145">
        <f t="shared" si="6"/>
        <v>7</v>
      </c>
    </row>
    <row r="155" spans="1:15" ht="19.5" thickBot="1" x14ac:dyDescent="0.3">
      <c r="A155" s="144" t="s">
        <v>74</v>
      </c>
      <c r="B155" s="143">
        <f>+ENERO!$AG155</f>
        <v>0</v>
      </c>
      <c r="C155" s="143">
        <f>+FEBRERO!$AG155</f>
        <v>0</v>
      </c>
      <c r="D155" s="143">
        <f>+MARZO!$AG155</f>
        <v>0</v>
      </c>
      <c r="E155" s="143">
        <f>+ABRIL!$AG155</f>
        <v>0</v>
      </c>
      <c r="F155" s="143">
        <f>+MAYO!$AG155</f>
        <v>1</v>
      </c>
      <c r="G155" s="143">
        <f>+JUNIO!$AG155</f>
        <v>0</v>
      </c>
      <c r="H155" s="143">
        <f>+JULIO!$AG155</f>
        <v>0</v>
      </c>
      <c r="I155" s="143">
        <f>+AGOSTO!$AG155</f>
        <v>0</v>
      </c>
      <c r="J155" s="143">
        <f>+SEPTIEMBRE!$AG155</f>
        <v>0</v>
      </c>
      <c r="K155" s="143">
        <f>+OCTUBRE!$AG155</f>
        <v>0</v>
      </c>
      <c r="L155" s="143">
        <f>+NOVIEMBRE!$AG155</f>
        <v>0</v>
      </c>
      <c r="M155" s="143">
        <f>+DICIEMBRE!$AG155</f>
        <v>0</v>
      </c>
      <c r="N155" s="86">
        <f t="shared" si="6"/>
        <v>1</v>
      </c>
    </row>
    <row r="156" spans="1:15" ht="18.75" x14ac:dyDescent="0.25">
      <c r="A156" s="20" t="s">
        <v>73</v>
      </c>
      <c r="B156" s="18">
        <f>+ENERO!$AG156</f>
        <v>4097</v>
      </c>
      <c r="C156" s="18">
        <f>+FEBRERO!$AG156</f>
        <v>4167</v>
      </c>
      <c r="D156" s="18">
        <f>+MARZO!$AG156</f>
        <v>4432</v>
      </c>
      <c r="E156" s="18">
        <f>+ABRIL!$AG156</f>
        <v>3871</v>
      </c>
      <c r="F156" s="18">
        <f>+MAYO!$AG156</f>
        <v>4327</v>
      </c>
      <c r="G156" s="18">
        <f>+JUNIO!$AG156</f>
        <v>4315</v>
      </c>
      <c r="H156" s="18">
        <f>+JULIO!$AG156</f>
        <v>4304</v>
      </c>
      <c r="I156" s="18">
        <f>+AGOSTO!$AG156</f>
        <v>4300</v>
      </c>
      <c r="J156" s="18">
        <f>+SEPTIEMBRE!$AG156</f>
        <v>3819</v>
      </c>
      <c r="K156" s="18">
        <f>+OCTUBRE!$AG156</f>
        <v>4513</v>
      </c>
      <c r="L156" s="18">
        <f>+NOVIEMBRE!$AG156</f>
        <v>4747</v>
      </c>
      <c r="M156" s="18">
        <f>+DICIEMBRE!$AG156</f>
        <v>1280</v>
      </c>
      <c r="N156" s="7">
        <f t="shared" si="6"/>
        <v>48172</v>
      </c>
      <c r="O156" s="98" t="s">
        <v>72</v>
      </c>
    </row>
    <row r="157" spans="1:15" ht="19.5" thickBot="1" x14ac:dyDescent="0.3">
      <c r="A157" s="141" t="s">
        <v>71</v>
      </c>
      <c r="B157" s="140">
        <f>+ENERO!$AG157</f>
        <v>278</v>
      </c>
      <c r="C157" s="140">
        <f>+FEBRERO!$AG157</f>
        <v>190</v>
      </c>
      <c r="D157" s="140">
        <f>+MARZO!$AG157</f>
        <v>263</v>
      </c>
      <c r="E157" s="140">
        <f>+ABRIL!$AG157</f>
        <v>233</v>
      </c>
      <c r="F157" s="140">
        <f>+MAYO!$AG157</f>
        <v>237</v>
      </c>
      <c r="G157" s="140">
        <f>+JUNIO!$AG157</f>
        <v>182</v>
      </c>
      <c r="H157" s="140">
        <f>+JULIO!$AG157</f>
        <v>158</v>
      </c>
      <c r="I157" s="140">
        <f>+AGOSTO!$AG157</f>
        <v>194</v>
      </c>
      <c r="J157" s="140">
        <f>+SEPTIEMBRE!$AG157</f>
        <v>177</v>
      </c>
      <c r="K157" s="140">
        <f>+OCTUBRE!$AG157</f>
        <v>210</v>
      </c>
      <c r="L157" s="140">
        <f>+NOVIEMBRE!$AG157</f>
        <v>332</v>
      </c>
      <c r="M157" s="140">
        <f>+DICIEMBRE!$AG157</f>
        <v>32</v>
      </c>
      <c r="N157" s="138">
        <f t="shared" si="6"/>
        <v>2486</v>
      </c>
      <c r="O157" s="98"/>
    </row>
    <row r="158" spans="1:15" ht="19.5" thickBot="1" x14ac:dyDescent="0.3">
      <c r="A158" s="37" t="s">
        <v>70</v>
      </c>
      <c r="B158" s="35">
        <f>+ENERO!$AG158</f>
        <v>2</v>
      </c>
      <c r="C158" s="35">
        <f>+FEBRERO!$AG158</f>
        <v>0</v>
      </c>
      <c r="D158" s="35">
        <f>+MARZO!$AG158</f>
        <v>8</v>
      </c>
      <c r="E158" s="35">
        <f>+ABRIL!$AG158</f>
        <v>3</v>
      </c>
      <c r="F158" s="35">
        <f>+MAYO!$AG158</f>
        <v>10</v>
      </c>
      <c r="G158" s="35">
        <f>+JUNIO!$AG158</f>
        <v>17</v>
      </c>
      <c r="H158" s="35">
        <f>+JULIO!$AG158</f>
        <v>3</v>
      </c>
      <c r="I158" s="35">
        <f>+AGOSTO!$AG158</f>
        <v>12</v>
      </c>
      <c r="J158" s="35">
        <f>+SEPTIEMBRE!$AG158</f>
        <v>13</v>
      </c>
      <c r="K158" s="35">
        <f>+OCTUBRE!$AG158</f>
        <v>24</v>
      </c>
      <c r="L158" s="35">
        <f>+NOVIEMBRE!$AG158</f>
        <v>13</v>
      </c>
      <c r="M158" s="35">
        <f>+DICIEMBRE!$AG158</f>
        <v>6</v>
      </c>
      <c r="N158" s="33">
        <f t="shared" si="6"/>
        <v>111</v>
      </c>
    </row>
    <row r="159" spans="1:15" ht="18.75" x14ac:dyDescent="0.25">
      <c r="A159" s="137" t="s">
        <v>69</v>
      </c>
      <c r="B159" s="136">
        <f>+ENERO!$AG159</f>
        <v>0</v>
      </c>
      <c r="C159" s="136">
        <f>+FEBRERO!$AG159</f>
        <v>0</v>
      </c>
      <c r="D159" s="136">
        <f>+MARZO!$AG159</f>
        <v>0</v>
      </c>
      <c r="E159" s="136">
        <f>+ABRIL!$AG159</f>
        <v>0</v>
      </c>
      <c r="F159" s="136">
        <f>+MAYO!$AG159</f>
        <v>3</v>
      </c>
      <c r="G159" s="136">
        <f>+JUNIO!$AG159</f>
        <v>1</v>
      </c>
      <c r="H159" s="136">
        <f>+JULIO!$AG159</f>
        <v>0</v>
      </c>
      <c r="I159" s="136">
        <f>+AGOSTO!$AG159</f>
        <v>0</v>
      </c>
      <c r="J159" s="136">
        <f>+SEPTIEMBRE!$AG159</f>
        <v>1</v>
      </c>
      <c r="K159" s="136">
        <f>+OCTUBRE!$AG159</f>
        <v>2</v>
      </c>
      <c r="L159" s="136">
        <f>+NOVIEMBRE!$AG159</f>
        <v>0</v>
      </c>
      <c r="M159" s="136">
        <f>+DICIEMBRE!$AG159</f>
        <v>2</v>
      </c>
      <c r="N159" s="134">
        <f t="shared" si="6"/>
        <v>9</v>
      </c>
    </row>
    <row r="160" spans="1:15" ht="18.75" x14ac:dyDescent="0.25">
      <c r="A160" s="133" t="s">
        <v>68</v>
      </c>
      <c r="B160" s="130">
        <f>+ENERO!$AG160</f>
        <v>0</v>
      </c>
      <c r="C160" s="130">
        <f>+FEBRERO!$AG160</f>
        <v>0</v>
      </c>
      <c r="D160" s="130">
        <f>+MARZO!$AG160</f>
        <v>1</v>
      </c>
      <c r="E160" s="130">
        <f>+ABRIL!$AG160</f>
        <v>1</v>
      </c>
      <c r="F160" s="130">
        <f>+MAYO!$AG160</f>
        <v>2</v>
      </c>
      <c r="G160" s="130">
        <f>+JUNIO!$AG160</f>
        <v>4</v>
      </c>
      <c r="H160" s="130">
        <f>+JULIO!$AG160</f>
        <v>1</v>
      </c>
      <c r="I160" s="130">
        <f>+AGOSTO!$AG160</f>
        <v>0</v>
      </c>
      <c r="J160" s="130">
        <f>+SEPTIEMBRE!$AG160</f>
        <v>1</v>
      </c>
      <c r="K160" s="130">
        <f>+OCTUBRE!$AG160</f>
        <v>4</v>
      </c>
      <c r="L160" s="130">
        <f>+NOVIEMBRE!$AG160</f>
        <v>3</v>
      </c>
      <c r="M160" s="130">
        <f>+DICIEMBRE!$AG160</f>
        <v>1</v>
      </c>
      <c r="N160" s="64">
        <f t="shared" si="6"/>
        <v>18</v>
      </c>
    </row>
    <row r="161" spans="1:15" ht="18.75" x14ac:dyDescent="0.25">
      <c r="A161" s="133" t="s">
        <v>67</v>
      </c>
      <c r="B161" s="130">
        <f>+ENERO!$AG161</f>
        <v>2</v>
      </c>
      <c r="C161" s="130">
        <f>+FEBRERO!$AG161</f>
        <v>0</v>
      </c>
      <c r="D161" s="130">
        <f>+MARZO!$AG161</f>
        <v>3</v>
      </c>
      <c r="E161" s="130">
        <f>+ABRIL!$AG161</f>
        <v>0</v>
      </c>
      <c r="F161" s="130">
        <f>+MAYO!$AG161</f>
        <v>2</v>
      </c>
      <c r="G161" s="130">
        <f>+JUNIO!$AG161</f>
        <v>8</v>
      </c>
      <c r="H161" s="130">
        <f>+JULIO!$AG161</f>
        <v>1</v>
      </c>
      <c r="I161" s="130">
        <f>+AGOSTO!$AG161</f>
        <v>1</v>
      </c>
      <c r="J161" s="130">
        <f>+SEPTIEMBRE!$AG161</f>
        <v>6</v>
      </c>
      <c r="K161" s="130">
        <f>+OCTUBRE!$AG161</f>
        <v>5</v>
      </c>
      <c r="L161" s="130">
        <f>+NOVIEMBRE!$AG161</f>
        <v>4</v>
      </c>
      <c r="M161" s="130">
        <f>+DICIEMBRE!$AG161</f>
        <v>2</v>
      </c>
      <c r="N161" s="64">
        <f t="shared" si="6"/>
        <v>34</v>
      </c>
    </row>
    <row r="162" spans="1:15" ht="18.75" x14ac:dyDescent="0.25">
      <c r="A162" s="133" t="s">
        <v>66</v>
      </c>
      <c r="B162" s="130">
        <f>+ENERO!$AG162</f>
        <v>0</v>
      </c>
      <c r="C162" s="130">
        <f>+FEBRERO!$AG162</f>
        <v>0</v>
      </c>
      <c r="D162" s="130">
        <f>+MARZO!$AG162</f>
        <v>1</v>
      </c>
      <c r="E162" s="130">
        <f>+ABRIL!$AG162</f>
        <v>0</v>
      </c>
      <c r="F162" s="130">
        <f>+MAYO!$AG162</f>
        <v>1</v>
      </c>
      <c r="G162" s="130">
        <f>+JUNIO!$AG162</f>
        <v>2</v>
      </c>
      <c r="H162" s="130">
        <f>+JULIO!$AG162</f>
        <v>0</v>
      </c>
      <c r="I162" s="130">
        <f>+AGOSTO!$AG162</f>
        <v>4</v>
      </c>
      <c r="J162" s="130">
        <f>+SEPTIEMBRE!$AG162</f>
        <v>2</v>
      </c>
      <c r="K162" s="130">
        <f>+OCTUBRE!$AG162</f>
        <v>10</v>
      </c>
      <c r="L162" s="130">
        <f>+NOVIEMBRE!$AG162</f>
        <v>5</v>
      </c>
      <c r="M162" s="130">
        <f>+DICIEMBRE!$AG162</f>
        <v>1</v>
      </c>
      <c r="N162" s="64">
        <f t="shared" si="6"/>
        <v>26</v>
      </c>
    </row>
    <row r="163" spans="1:15" ht="18.75" x14ac:dyDescent="0.25">
      <c r="A163" s="133" t="s">
        <v>65</v>
      </c>
      <c r="B163" s="130">
        <f>+ENERO!$AG163</f>
        <v>0</v>
      </c>
      <c r="C163" s="130">
        <f>+FEBRERO!$AG163</f>
        <v>0</v>
      </c>
      <c r="D163" s="130">
        <f>+MARZO!$AG163</f>
        <v>0</v>
      </c>
      <c r="E163" s="130">
        <f>+ABRIL!$AG163</f>
        <v>0</v>
      </c>
      <c r="F163" s="130">
        <f>+MAYO!$AG163</f>
        <v>0</v>
      </c>
      <c r="G163" s="130">
        <f>+JUNIO!$AG163</f>
        <v>0</v>
      </c>
      <c r="H163" s="130">
        <f>+JULIO!$AG163</f>
        <v>0</v>
      </c>
      <c r="I163" s="130">
        <f>+AGOSTO!$AG163</f>
        <v>0</v>
      </c>
      <c r="J163" s="130">
        <f>+SEPTIEMBRE!$AG163</f>
        <v>0</v>
      </c>
      <c r="K163" s="130">
        <f>+OCTUBRE!$AG163</f>
        <v>0</v>
      </c>
      <c r="L163" s="130">
        <f>+NOVIEMBRE!$AG163</f>
        <v>0</v>
      </c>
      <c r="M163" s="130">
        <f>+DICIEMBRE!$AG163</f>
        <v>0</v>
      </c>
      <c r="N163" s="64">
        <f t="shared" si="6"/>
        <v>0</v>
      </c>
    </row>
    <row r="164" spans="1:15" ht="18.75" x14ac:dyDescent="0.25">
      <c r="A164" s="133" t="s">
        <v>64</v>
      </c>
      <c r="B164" s="130">
        <f>+ENERO!$AG164</f>
        <v>0</v>
      </c>
      <c r="C164" s="130">
        <f>+FEBRERO!$AG164</f>
        <v>0</v>
      </c>
      <c r="D164" s="130">
        <f>+MARZO!$AG164</f>
        <v>3</v>
      </c>
      <c r="E164" s="130">
        <f>+ABRIL!$AG164</f>
        <v>1</v>
      </c>
      <c r="F164" s="130">
        <f>+MAYO!$AG164</f>
        <v>2</v>
      </c>
      <c r="G164" s="130">
        <f>+JUNIO!$AG164</f>
        <v>2</v>
      </c>
      <c r="H164" s="130">
        <f>+JULIO!$AG164</f>
        <v>1</v>
      </c>
      <c r="I164" s="130">
        <f>+AGOSTO!$AG164</f>
        <v>3</v>
      </c>
      <c r="J164" s="130">
        <f>+SEPTIEMBRE!$AG164</f>
        <v>3</v>
      </c>
      <c r="K164" s="130">
        <f>+OCTUBRE!$AG164</f>
        <v>1</v>
      </c>
      <c r="L164" s="130">
        <f>+NOVIEMBRE!$AG164</f>
        <v>1</v>
      </c>
      <c r="M164" s="130">
        <f>+DICIEMBRE!$AG164</f>
        <v>0</v>
      </c>
      <c r="N164" s="64">
        <f t="shared" si="6"/>
        <v>17</v>
      </c>
    </row>
    <row r="165" spans="1:15" ht="18.75" x14ac:dyDescent="0.25">
      <c r="A165" s="133" t="s">
        <v>63</v>
      </c>
      <c r="B165" s="130">
        <f>+ENERO!$AG165</f>
        <v>0</v>
      </c>
      <c r="C165" s="130">
        <f>+FEBRERO!$AG165</f>
        <v>0</v>
      </c>
      <c r="D165" s="130">
        <f>+MARZO!$AG165</f>
        <v>0</v>
      </c>
      <c r="E165" s="130">
        <f>+ABRIL!$AG165</f>
        <v>1</v>
      </c>
      <c r="F165" s="130">
        <f>+MAYO!$AG165</f>
        <v>0</v>
      </c>
      <c r="G165" s="130">
        <f>+JUNIO!$AG165</f>
        <v>0</v>
      </c>
      <c r="H165" s="130">
        <f>+JULIO!$AG165</f>
        <v>0</v>
      </c>
      <c r="I165" s="130">
        <f>+AGOSTO!$AG165</f>
        <v>4</v>
      </c>
      <c r="J165" s="130">
        <f>+SEPTIEMBRE!$AG165</f>
        <v>0</v>
      </c>
      <c r="K165" s="130">
        <f>+OCTUBRE!$AG165</f>
        <v>2</v>
      </c>
      <c r="L165" s="130">
        <f>+NOVIEMBRE!$AG165</f>
        <v>0</v>
      </c>
      <c r="M165" s="130">
        <f>+DICIEMBRE!$AG165</f>
        <v>0</v>
      </c>
      <c r="N165" s="64">
        <f t="shared" si="6"/>
        <v>7</v>
      </c>
    </row>
    <row r="166" spans="1:15" ht="19.5" thickBot="1" x14ac:dyDescent="0.3">
      <c r="A166" s="132" t="s">
        <v>62</v>
      </c>
      <c r="B166" s="127">
        <f>+ENERO!$AG166</f>
        <v>0</v>
      </c>
      <c r="C166" s="127">
        <f>+FEBRERO!$AG166</f>
        <v>0</v>
      </c>
      <c r="D166" s="127">
        <f>+MARZO!$AG166</f>
        <v>0</v>
      </c>
      <c r="E166" s="127">
        <f>+ABRIL!$AG166</f>
        <v>0</v>
      </c>
      <c r="F166" s="127">
        <f>+MAYO!$AG166</f>
        <v>0</v>
      </c>
      <c r="G166" s="127">
        <f>+JUNIO!$AG166</f>
        <v>0</v>
      </c>
      <c r="H166" s="127">
        <f>+JULIO!$AG166</f>
        <v>0</v>
      </c>
      <c r="I166" s="127">
        <f>+AGOSTO!$AG166</f>
        <v>0</v>
      </c>
      <c r="J166" s="127">
        <f>+SEPTIEMBRE!$AG166</f>
        <v>0</v>
      </c>
      <c r="K166" s="127">
        <f>+OCTUBRE!$AG166</f>
        <v>0</v>
      </c>
      <c r="L166" s="127">
        <f>+NOVIEMBRE!$AG166</f>
        <v>0</v>
      </c>
      <c r="M166" s="127">
        <f>+DICIEMBRE!$AG166</f>
        <v>0</v>
      </c>
      <c r="N166" s="10">
        <f t="shared" si="6"/>
        <v>0</v>
      </c>
    </row>
    <row r="167" spans="1:15" ht="18.75" x14ac:dyDescent="0.25">
      <c r="A167" s="20" t="s">
        <v>61</v>
      </c>
      <c r="B167" s="18">
        <f>+ENERO!$AG167</f>
        <v>3</v>
      </c>
      <c r="C167" s="18">
        <f>+FEBRERO!$AG167</f>
        <v>2</v>
      </c>
      <c r="D167" s="18">
        <f>+MARZO!$AG167</f>
        <v>8</v>
      </c>
      <c r="E167" s="18">
        <f>+ABRIL!$AG167</f>
        <v>5</v>
      </c>
      <c r="F167" s="18">
        <f>+MAYO!$AG167</f>
        <v>23</v>
      </c>
      <c r="G167" s="18">
        <f>+JUNIO!$AG167</f>
        <v>16</v>
      </c>
      <c r="H167" s="18">
        <f>+JULIO!$AG167</f>
        <v>10</v>
      </c>
      <c r="I167" s="18">
        <f>+AGOSTO!$AG167</f>
        <v>22</v>
      </c>
      <c r="J167" s="18">
        <f>+SEPTIEMBRE!$AG167</f>
        <v>11</v>
      </c>
      <c r="K167" s="18">
        <f>+OCTUBRE!$AG167</f>
        <v>10</v>
      </c>
      <c r="L167" s="18">
        <f>+NOVIEMBRE!$AG167</f>
        <v>7</v>
      </c>
      <c r="M167" s="18">
        <f>+DICIEMBRE!$AG167</f>
        <v>10</v>
      </c>
      <c r="N167" s="7">
        <f t="shared" si="6"/>
        <v>127</v>
      </c>
    </row>
    <row r="168" spans="1:15" ht="18.75" x14ac:dyDescent="0.25">
      <c r="A168" s="131" t="s">
        <v>60</v>
      </c>
      <c r="B168" s="130">
        <f>+ENERO!$AG168</f>
        <v>0</v>
      </c>
      <c r="C168" s="130">
        <f>+FEBRERO!$AG168</f>
        <v>0</v>
      </c>
      <c r="D168" s="130">
        <f>+MARZO!$AG168</f>
        <v>1</v>
      </c>
      <c r="E168" s="130">
        <f>+ABRIL!$AG168</f>
        <v>0</v>
      </c>
      <c r="F168" s="130">
        <f>+MAYO!$AG168</f>
        <v>7</v>
      </c>
      <c r="G168" s="130">
        <f>+JUNIO!$AG168</f>
        <v>1</v>
      </c>
      <c r="H168" s="130">
        <f>+JULIO!$AG168</f>
        <v>0</v>
      </c>
      <c r="I168" s="130">
        <f>+AGOSTO!$AG168</f>
        <v>4</v>
      </c>
      <c r="J168" s="130">
        <f>+SEPTIEMBRE!$AG168</f>
        <v>1</v>
      </c>
      <c r="K168" s="130">
        <f>+OCTUBRE!$AG168</f>
        <v>1</v>
      </c>
      <c r="L168" s="130">
        <f>+NOVIEMBRE!$AG168</f>
        <v>1</v>
      </c>
      <c r="M168" s="130">
        <f>+DICIEMBRE!$AG168</f>
        <v>0</v>
      </c>
      <c r="N168" s="64">
        <f t="shared" si="6"/>
        <v>16</v>
      </c>
    </row>
    <row r="169" spans="1:15" ht="18.75" x14ac:dyDescent="0.25">
      <c r="A169" s="131" t="s">
        <v>59</v>
      </c>
      <c r="B169" s="130">
        <f>+ENERO!$AG169</f>
        <v>0</v>
      </c>
      <c r="C169" s="130">
        <f>+FEBRERO!$AG169</f>
        <v>0</v>
      </c>
      <c r="D169" s="130">
        <f>+MARZO!$AG169</f>
        <v>1</v>
      </c>
      <c r="E169" s="130">
        <f>+ABRIL!$AG169</f>
        <v>1</v>
      </c>
      <c r="F169" s="130">
        <f>+MAYO!$AG169</f>
        <v>3</v>
      </c>
      <c r="G169" s="130">
        <f>+JUNIO!$AG169</f>
        <v>4</v>
      </c>
      <c r="H169" s="130">
        <f>+JULIO!$AG169</f>
        <v>0</v>
      </c>
      <c r="I169" s="130">
        <f>+AGOSTO!$AG169</f>
        <v>2</v>
      </c>
      <c r="J169" s="130">
        <f>+SEPTIEMBRE!$AG169</f>
        <v>0</v>
      </c>
      <c r="K169" s="130">
        <f>+OCTUBRE!$AG169</f>
        <v>0</v>
      </c>
      <c r="L169" s="130">
        <f>+NOVIEMBRE!$AG169</f>
        <v>0</v>
      </c>
      <c r="M169" s="130">
        <f>+DICIEMBRE!$AG169</f>
        <v>0</v>
      </c>
      <c r="N169" s="64">
        <f t="shared" si="6"/>
        <v>11</v>
      </c>
    </row>
    <row r="170" spans="1:15" ht="18.75" x14ac:dyDescent="0.25">
      <c r="A170" s="131" t="s">
        <v>58</v>
      </c>
      <c r="B170" s="130">
        <f>+ENERO!$AG170</f>
        <v>0</v>
      </c>
      <c r="C170" s="130">
        <f>+FEBRERO!$AG170</f>
        <v>0</v>
      </c>
      <c r="D170" s="130">
        <f>+MARZO!$AG170</f>
        <v>0</v>
      </c>
      <c r="E170" s="130">
        <f>+ABRIL!$AG170</f>
        <v>0</v>
      </c>
      <c r="F170" s="130">
        <f>+MAYO!$AG170</f>
        <v>0</v>
      </c>
      <c r="G170" s="130">
        <f>+JUNIO!$AG170</f>
        <v>0</v>
      </c>
      <c r="H170" s="130">
        <f>+JULIO!$AG170</f>
        <v>1</v>
      </c>
      <c r="I170" s="130">
        <f>+AGOSTO!$AG170</f>
        <v>0</v>
      </c>
      <c r="J170" s="130">
        <f>+SEPTIEMBRE!$AG170</f>
        <v>1</v>
      </c>
      <c r="K170" s="130">
        <f>+OCTUBRE!$AG170</f>
        <v>0</v>
      </c>
      <c r="L170" s="130">
        <f>+NOVIEMBRE!$AG170</f>
        <v>0</v>
      </c>
      <c r="M170" s="130">
        <f>+DICIEMBRE!$AG170</f>
        <v>0</v>
      </c>
      <c r="N170" s="64">
        <f t="shared" si="6"/>
        <v>2</v>
      </c>
    </row>
    <row r="171" spans="1:15" ht="19.5" thickBot="1" x14ac:dyDescent="0.3">
      <c r="A171" s="128" t="s">
        <v>57</v>
      </c>
      <c r="B171" s="127">
        <f>+ENERO!$AG171</f>
        <v>3</v>
      </c>
      <c r="C171" s="127">
        <f>+FEBRERO!$AG171</f>
        <v>2</v>
      </c>
      <c r="D171" s="127">
        <f>+MARZO!$AG171</f>
        <v>6</v>
      </c>
      <c r="E171" s="127">
        <f>+ABRIL!$AG171</f>
        <v>4</v>
      </c>
      <c r="F171" s="127">
        <f>+MAYO!$AG171</f>
        <v>13</v>
      </c>
      <c r="G171" s="127">
        <f>+JUNIO!$AG171</f>
        <v>11</v>
      </c>
      <c r="H171" s="127">
        <f>+JULIO!$AG171</f>
        <v>9</v>
      </c>
      <c r="I171" s="127">
        <f>+AGOSTO!$AG171</f>
        <v>16</v>
      </c>
      <c r="J171" s="127">
        <f>+SEPTIEMBRE!$AG171</f>
        <v>9</v>
      </c>
      <c r="K171" s="127">
        <f>+OCTUBRE!$AG171</f>
        <v>9</v>
      </c>
      <c r="L171" s="127">
        <f>+NOVIEMBRE!$AG171</f>
        <v>6</v>
      </c>
      <c r="M171" s="127">
        <f>+DICIEMBRE!$AG171</f>
        <v>10</v>
      </c>
      <c r="N171" s="10">
        <f t="shared" si="6"/>
        <v>98</v>
      </c>
    </row>
    <row r="172" spans="1:15" ht="19.5" thickBot="1" x14ac:dyDescent="0.3">
      <c r="A172" s="125" t="s">
        <v>56</v>
      </c>
      <c r="B172" s="124">
        <f>+ENERO!$AG172</f>
        <v>1</v>
      </c>
      <c r="C172" s="124">
        <f>+FEBRERO!$AG172</f>
        <v>0</v>
      </c>
      <c r="D172" s="124">
        <f>+MARZO!$AG172</f>
        <v>0</v>
      </c>
      <c r="E172" s="124">
        <f>+ABRIL!$AG172</f>
        <v>2</v>
      </c>
      <c r="F172" s="124">
        <f>+MAYO!$AG172</f>
        <v>2</v>
      </c>
      <c r="G172" s="124">
        <f>+JUNIO!$AG172</f>
        <v>0</v>
      </c>
      <c r="H172" s="124">
        <f>+JULIO!$AG172</f>
        <v>1</v>
      </c>
      <c r="I172" s="124">
        <f>+AGOSTO!$AG172</f>
        <v>9</v>
      </c>
      <c r="J172" s="124">
        <f>+SEPTIEMBRE!$AG172</f>
        <v>3</v>
      </c>
      <c r="K172" s="124">
        <f>+OCTUBRE!$AG172</f>
        <v>0</v>
      </c>
      <c r="L172" s="124">
        <f>+NOVIEMBRE!$AG172</f>
        <v>2</v>
      </c>
      <c r="M172" s="124">
        <f>+DICIEMBRE!$AG172</f>
        <v>1</v>
      </c>
      <c r="N172" s="122">
        <f t="shared" si="6"/>
        <v>21</v>
      </c>
    </row>
    <row r="173" spans="1:15" ht="19.5" thickBot="1" x14ac:dyDescent="0.3">
      <c r="A173" s="121" t="s">
        <v>55</v>
      </c>
      <c r="B173" s="120">
        <f>+ENERO!$AG173</f>
        <v>9</v>
      </c>
      <c r="C173" s="120">
        <f>+FEBRERO!$AG173</f>
        <v>22</v>
      </c>
      <c r="D173" s="120">
        <f>+MARZO!$AG173</f>
        <v>17</v>
      </c>
      <c r="E173" s="120">
        <f>+ABRIL!$AG173</f>
        <v>22</v>
      </c>
      <c r="F173" s="120">
        <f>+MAYO!$AG173</f>
        <v>64</v>
      </c>
      <c r="G173" s="120">
        <f>+JUNIO!$AG173</f>
        <v>73</v>
      </c>
      <c r="H173" s="120">
        <f>+JULIO!$AG173</f>
        <v>43</v>
      </c>
      <c r="I173" s="120">
        <f>+AGOSTO!$AG173</f>
        <v>29</v>
      </c>
      <c r="J173" s="120">
        <f>+SEPTIEMBRE!$AG173</f>
        <v>35</v>
      </c>
      <c r="K173" s="120">
        <f>+OCTUBRE!$AG173</f>
        <v>36</v>
      </c>
      <c r="L173" s="120">
        <f>+NOVIEMBRE!$AG173</f>
        <v>14</v>
      </c>
      <c r="M173" s="120">
        <f>+DICIEMBRE!$AG173</f>
        <v>5</v>
      </c>
      <c r="N173" s="118">
        <f t="shared" si="6"/>
        <v>369</v>
      </c>
      <c r="O173" s="98" t="s">
        <v>54</v>
      </c>
    </row>
    <row r="174" spans="1:15" ht="18.75" x14ac:dyDescent="0.25">
      <c r="A174" s="117" t="s">
        <v>53</v>
      </c>
      <c r="B174" s="116">
        <f>+ENERO!$AG174</f>
        <v>9</v>
      </c>
      <c r="C174" s="116">
        <f>+FEBRERO!$AG174</f>
        <v>16</v>
      </c>
      <c r="D174" s="116">
        <f>+MARZO!$AG174</f>
        <v>13</v>
      </c>
      <c r="E174" s="116">
        <f>+ABRIL!$AG174</f>
        <v>19</v>
      </c>
      <c r="F174" s="116">
        <f>+MAYO!$AG174</f>
        <v>57</v>
      </c>
      <c r="G174" s="116">
        <f>+JUNIO!$AG174</f>
        <v>69</v>
      </c>
      <c r="H174" s="116">
        <f>+JULIO!$AG174</f>
        <v>41</v>
      </c>
      <c r="I174" s="116">
        <f>+AGOSTO!$AG174</f>
        <v>27</v>
      </c>
      <c r="J174" s="116">
        <f>+SEPTIEMBRE!$AG174</f>
        <v>31</v>
      </c>
      <c r="K174" s="116">
        <f>+OCTUBRE!$AG174</f>
        <v>32</v>
      </c>
      <c r="L174" s="116">
        <f>+NOVIEMBRE!$AG174</f>
        <v>11</v>
      </c>
      <c r="M174" s="116">
        <f>+DICIEMBRE!$AG174</f>
        <v>5</v>
      </c>
      <c r="N174" s="114">
        <f t="shared" si="6"/>
        <v>330</v>
      </c>
      <c r="O174" s="98"/>
    </row>
    <row r="175" spans="1:15" ht="18.75" x14ac:dyDescent="0.25">
      <c r="A175" s="113" t="s">
        <v>52</v>
      </c>
      <c r="B175" s="112">
        <f>+ENERO!$AG175</f>
        <v>0</v>
      </c>
      <c r="C175" s="112">
        <f>+FEBRERO!$AG175</f>
        <v>6</v>
      </c>
      <c r="D175" s="112">
        <f>+MARZO!$AG175</f>
        <v>4</v>
      </c>
      <c r="E175" s="112">
        <f>+ABRIL!$AG175</f>
        <v>3</v>
      </c>
      <c r="F175" s="112">
        <f>+MAYO!$AG175</f>
        <v>7</v>
      </c>
      <c r="G175" s="112">
        <f>+JUNIO!$AG175</f>
        <v>3</v>
      </c>
      <c r="H175" s="112">
        <f>+JULIO!$AG175</f>
        <v>2</v>
      </c>
      <c r="I175" s="112">
        <f>+AGOSTO!$AG175</f>
        <v>2</v>
      </c>
      <c r="J175" s="112">
        <f>+SEPTIEMBRE!$AG175</f>
        <v>4</v>
      </c>
      <c r="K175" s="112">
        <f>+OCTUBRE!$AG175</f>
        <v>4</v>
      </c>
      <c r="L175" s="112">
        <f>+NOVIEMBRE!$AG175</f>
        <v>3</v>
      </c>
      <c r="M175" s="112">
        <f>+DICIEMBRE!$AG175</f>
        <v>0</v>
      </c>
      <c r="N175" s="110">
        <f t="shared" si="6"/>
        <v>38</v>
      </c>
      <c r="O175" s="98"/>
    </row>
    <row r="176" spans="1:15" ht="19.5" thickBot="1" x14ac:dyDescent="0.3">
      <c r="A176" s="380" t="s">
        <v>168</v>
      </c>
      <c r="B176" s="368"/>
      <c r="C176" s="368"/>
      <c r="D176" s="368"/>
      <c r="E176" s="368"/>
      <c r="F176" s="368"/>
      <c r="G176" s="373">
        <f>+JUNIO!$AG176</f>
        <v>1</v>
      </c>
      <c r="H176" s="373">
        <f>+JULIO!$AG176</f>
        <v>0</v>
      </c>
      <c r="I176" s="373">
        <f>+AGOSTO!$AG176</f>
        <v>0</v>
      </c>
      <c r="J176" s="373">
        <f>+SEPTIEMBRE!$AG176</f>
        <v>0</v>
      </c>
      <c r="K176" s="373">
        <f>+OCTUBRE!$AG176</f>
        <v>0</v>
      </c>
      <c r="L176" s="373">
        <f>+NOVIEMBRE!$AG176</f>
        <v>0</v>
      </c>
      <c r="M176" s="373">
        <f>+DICIEMBRE!$AG176</f>
        <v>0</v>
      </c>
      <c r="N176" s="375">
        <f t="shared" si="6"/>
        <v>1</v>
      </c>
      <c r="O176" s="98"/>
    </row>
    <row r="177" spans="1:15" ht="19.5" thickBot="1" x14ac:dyDescent="0.3">
      <c r="A177" s="188" t="s">
        <v>51</v>
      </c>
      <c r="B177" s="377">
        <f>+ENERO!$AG176</f>
        <v>76</v>
      </c>
      <c r="C177" s="377">
        <f>+FEBRERO!$AG176</f>
        <v>56</v>
      </c>
      <c r="D177" s="377">
        <f>+MARZO!$AG176</f>
        <v>76</v>
      </c>
      <c r="E177" s="377">
        <f>+ABRIL!$AG176</f>
        <v>68</v>
      </c>
      <c r="F177" s="377">
        <f>+MAYO!$AG176</f>
        <v>66</v>
      </c>
      <c r="G177" s="377">
        <f>+JUNIO!$AG177</f>
        <v>46</v>
      </c>
      <c r="H177" s="377">
        <f>+JULIO!$AG177</f>
        <v>80</v>
      </c>
      <c r="I177" s="377">
        <f>+AGOSTO!$AG177</f>
        <v>92</v>
      </c>
      <c r="J177" s="377">
        <f>+SEPTIEMBRE!$AG177</f>
        <v>98</v>
      </c>
      <c r="K177" s="377">
        <f>+OCTUBRE!$AG177</f>
        <v>92</v>
      </c>
      <c r="L177" s="377">
        <f>+NOVIEMBRE!$AG177</f>
        <v>68</v>
      </c>
      <c r="M177" s="377">
        <f>+DICIEMBRE!$AG177</f>
        <v>23</v>
      </c>
      <c r="N177" s="379">
        <f t="shared" si="6"/>
        <v>841</v>
      </c>
      <c r="O177" s="98" t="s">
        <v>48</v>
      </c>
    </row>
    <row r="178" spans="1:15" ht="18.75" x14ac:dyDescent="0.25">
      <c r="A178" s="106" t="s">
        <v>50</v>
      </c>
      <c r="B178" s="105">
        <f>+ENERO!$AG177</f>
        <v>2</v>
      </c>
      <c r="C178" s="105">
        <f>+FEBRERO!$AG177</f>
        <v>3</v>
      </c>
      <c r="D178" s="105">
        <f>+MARZO!$AG177</f>
        <v>8</v>
      </c>
      <c r="E178" s="105">
        <f>+ABRIL!$AG177</f>
        <v>2</v>
      </c>
      <c r="F178" s="105">
        <f>+MAYO!$AG177</f>
        <v>2</v>
      </c>
      <c r="G178" s="105">
        <f>+JUNIO!$AG178</f>
        <v>4</v>
      </c>
      <c r="H178" s="105">
        <f>+JULIO!$AG178</f>
        <v>6</v>
      </c>
      <c r="I178" s="105">
        <f>+AGOSTO!$AG178</f>
        <v>9</v>
      </c>
      <c r="J178" s="105">
        <f>+SEPTIEMBRE!$AG178</f>
        <v>9</v>
      </c>
      <c r="K178" s="105">
        <f>+OCTUBRE!$AG178</f>
        <v>15</v>
      </c>
      <c r="L178" s="105">
        <f>+NOVIEMBRE!$AG178</f>
        <v>8</v>
      </c>
      <c r="M178" s="105">
        <f>+DICIEMBRE!$AG178</f>
        <v>6</v>
      </c>
      <c r="N178" s="103">
        <f t="shared" si="6"/>
        <v>74</v>
      </c>
      <c r="O178" s="98" t="s">
        <v>48</v>
      </c>
    </row>
    <row r="179" spans="1:15" ht="19.5" thickBot="1" x14ac:dyDescent="0.3">
      <c r="A179" s="102" t="s">
        <v>49</v>
      </c>
      <c r="B179" s="101">
        <f>+ENERO!$AG178</f>
        <v>74</v>
      </c>
      <c r="C179" s="101">
        <f>+FEBRERO!$AG178</f>
        <v>53</v>
      </c>
      <c r="D179" s="101">
        <f>+MARZO!$AG178</f>
        <v>68</v>
      </c>
      <c r="E179" s="101">
        <f>+ABRIL!$AG178</f>
        <v>66</v>
      </c>
      <c r="F179" s="101">
        <f>+MAYO!$AG178</f>
        <v>64</v>
      </c>
      <c r="G179" s="101">
        <f>+JUNIO!$AG179</f>
        <v>42</v>
      </c>
      <c r="H179" s="101">
        <f>+JULIO!$AG179</f>
        <v>74</v>
      </c>
      <c r="I179" s="101">
        <f>+AGOSTO!$AG179</f>
        <v>83</v>
      </c>
      <c r="J179" s="101">
        <f>+SEPTIEMBRE!$AG179</f>
        <v>89</v>
      </c>
      <c r="K179" s="101">
        <f>+OCTUBRE!$AG179</f>
        <v>77</v>
      </c>
      <c r="L179" s="101">
        <f>+NOVIEMBRE!$AG179</f>
        <v>60</v>
      </c>
      <c r="M179" s="101">
        <f>+DICIEMBRE!$AG179</f>
        <v>17</v>
      </c>
      <c r="N179" s="99">
        <f t="shared" si="6"/>
        <v>767</v>
      </c>
      <c r="O179" s="98" t="s">
        <v>48</v>
      </c>
    </row>
    <row r="180" spans="1:15" ht="18.75" x14ac:dyDescent="0.25">
      <c r="A180" s="97" t="s">
        <v>47</v>
      </c>
      <c r="B180" s="96">
        <f>+ENERO!$AG179</f>
        <v>0</v>
      </c>
      <c r="C180" s="96">
        <f>+FEBRERO!$AG179</f>
        <v>0</v>
      </c>
      <c r="D180" s="96">
        <f>+MARZO!$AG179</f>
        <v>0</v>
      </c>
      <c r="E180" s="96">
        <f>+ABRIL!$AG179</f>
        <v>0</v>
      </c>
      <c r="F180" s="96">
        <f>+MAYO!$AG179</f>
        <v>0</v>
      </c>
      <c r="G180" s="96">
        <f>+JUNIO!$AG180</f>
        <v>0</v>
      </c>
      <c r="H180" s="96">
        <f>+JULIO!$AG180</f>
        <v>0</v>
      </c>
      <c r="I180" s="96">
        <f>+AGOSTO!$AG180</f>
        <v>0</v>
      </c>
      <c r="J180" s="96">
        <f>+SEPTIEMBRE!$AG180</f>
        <v>0</v>
      </c>
      <c r="K180" s="96">
        <f>+OCTUBRE!$AG180</f>
        <v>0</v>
      </c>
      <c r="L180" s="96">
        <f>+NOVIEMBRE!$AG180</f>
        <v>0</v>
      </c>
      <c r="M180" s="96">
        <f>+DICIEMBRE!$AG180</f>
        <v>0</v>
      </c>
      <c r="N180" s="94">
        <f t="shared" ref="N180:N211" si="7">SUM(B180:M180)</f>
        <v>0</v>
      </c>
    </row>
    <row r="181" spans="1:15" ht="19.5" thickBot="1" x14ac:dyDescent="0.3">
      <c r="A181" s="93" t="s">
        <v>46</v>
      </c>
      <c r="B181" s="92">
        <f>+ENERO!$AG180</f>
        <v>0</v>
      </c>
      <c r="C181" s="92">
        <f>+FEBRERO!$AG180</f>
        <v>0</v>
      </c>
      <c r="D181" s="92">
        <f>+MARZO!$AG180</f>
        <v>0</v>
      </c>
      <c r="E181" s="92">
        <f>+ABRIL!$AG180</f>
        <v>0</v>
      </c>
      <c r="F181" s="92">
        <f>+MAYO!$AG180</f>
        <v>0</v>
      </c>
      <c r="G181" s="92">
        <f>+JUNIO!$AG181</f>
        <v>0</v>
      </c>
      <c r="H181" s="92">
        <f>+JULIO!$AG181</f>
        <v>0</v>
      </c>
      <c r="I181" s="92">
        <f>+AGOSTO!$AG181</f>
        <v>0</v>
      </c>
      <c r="J181" s="92">
        <f>+SEPTIEMBRE!$AG181</f>
        <v>0</v>
      </c>
      <c r="K181" s="92">
        <f>+OCTUBRE!$AG181</f>
        <v>0</v>
      </c>
      <c r="L181" s="92">
        <f>+NOVIEMBRE!$AG181</f>
        <v>0</v>
      </c>
      <c r="M181" s="92">
        <f>+DICIEMBRE!$AG181</f>
        <v>0</v>
      </c>
      <c r="N181" s="90">
        <f t="shared" si="7"/>
        <v>0</v>
      </c>
    </row>
    <row r="182" spans="1:15" ht="19.5" thickBot="1" x14ac:dyDescent="0.3">
      <c r="A182" s="89" t="s">
        <v>45</v>
      </c>
      <c r="B182" s="88">
        <f>+ENERO!$AG181</f>
        <v>1895</v>
      </c>
      <c r="C182" s="88">
        <f>+FEBRERO!$AG181</f>
        <v>1896</v>
      </c>
      <c r="D182" s="88">
        <f>+MARZO!$AG181</f>
        <v>2408</v>
      </c>
      <c r="E182" s="88">
        <f>+ABRIL!$AG181</f>
        <v>2247</v>
      </c>
      <c r="F182" s="88">
        <f>+MAYO!$AG181</f>
        <v>2437</v>
      </c>
      <c r="G182" s="88">
        <f>+JUNIO!$AG182</f>
        <v>2424</v>
      </c>
      <c r="H182" s="88">
        <f>+JULIO!$AG182</f>
        <v>2142</v>
      </c>
      <c r="I182" s="88">
        <f>+AGOSTO!$AG182</f>
        <v>1905</v>
      </c>
      <c r="J182" s="88">
        <f>+SEPTIEMBRE!$AG182</f>
        <v>1528</v>
      </c>
      <c r="K182" s="88">
        <f>+OCTUBRE!$AG182</f>
        <v>1817</v>
      </c>
      <c r="L182" s="88">
        <f>+NOVIEMBRE!$AG182</f>
        <v>2205</v>
      </c>
      <c r="M182" s="88">
        <f>+DICIEMBRE!$AG182</f>
        <v>561</v>
      </c>
      <c r="N182" s="86">
        <f t="shared" si="7"/>
        <v>23465</v>
      </c>
      <c r="O182" s="85"/>
    </row>
    <row r="183" spans="1:15" ht="18.75" x14ac:dyDescent="0.25">
      <c r="A183" s="76" t="s">
        <v>44</v>
      </c>
      <c r="B183" s="84">
        <f>+ENERO!$AG182</f>
        <v>121</v>
      </c>
      <c r="C183" s="84">
        <f>+FEBRERO!$AG182</f>
        <v>150</v>
      </c>
      <c r="D183" s="84">
        <f>+MARZO!$AG182</f>
        <v>153</v>
      </c>
      <c r="E183" s="84">
        <f>+ABRIL!$AG182</f>
        <v>150</v>
      </c>
      <c r="F183" s="84">
        <f>+MAYO!$AG182</f>
        <v>136</v>
      </c>
      <c r="G183" s="84">
        <f>+JUNIO!$AG183</f>
        <v>128</v>
      </c>
      <c r="H183" s="84">
        <f>+JULIO!$AG183</f>
        <v>99</v>
      </c>
      <c r="I183" s="84">
        <f>+AGOSTO!$AG183</f>
        <v>106</v>
      </c>
      <c r="J183" s="84">
        <f>+SEPTIEMBRE!$AG183</f>
        <v>125</v>
      </c>
      <c r="K183" s="84">
        <f>+OCTUBRE!$AG183</f>
        <v>133</v>
      </c>
      <c r="L183" s="84">
        <f>+NOVIEMBRE!$AG183</f>
        <v>119</v>
      </c>
      <c r="M183" s="84">
        <f>+DICIEMBRE!$AG183</f>
        <v>37</v>
      </c>
      <c r="N183" s="11">
        <f t="shared" si="7"/>
        <v>1457</v>
      </c>
    </row>
    <row r="184" spans="1:15" ht="18.75" x14ac:dyDescent="0.25">
      <c r="A184" s="76" t="s">
        <v>43</v>
      </c>
      <c r="B184" s="69">
        <f>+ENERO!$AG183</f>
        <v>0</v>
      </c>
      <c r="C184" s="69">
        <f>+FEBRERO!$AG183</f>
        <v>0</v>
      </c>
      <c r="D184" s="69">
        <f>+MARZO!$AG183</f>
        <v>4</v>
      </c>
      <c r="E184" s="69">
        <f>+ABRIL!$AG183</f>
        <v>6</v>
      </c>
      <c r="F184" s="69">
        <f>+MAYO!$AG183</f>
        <v>7</v>
      </c>
      <c r="G184" s="69">
        <f>+JUNIO!$AG184</f>
        <v>8</v>
      </c>
      <c r="H184" s="69">
        <f>+JULIO!$AG184</f>
        <v>6</v>
      </c>
      <c r="I184" s="69">
        <f>+AGOSTO!$AG184</f>
        <v>7</v>
      </c>
      <c r="J184" s="69">
        <f>+SEPTIEMBRE!$AG184</f>
        <v>4</v>
      </c>
      <c r="K184" s="69">
        <f>+OCTUBRE!$AG184</f>
        <v>12</v>
      </c>
      <c r="L184" s="69">
        <f>+NOVIEMBRE!$AG184</f>
        <v>9</v>
      </c>
      <c r="M184" s="69">
        <f>+DICIEMBRE!$AG184</f>
        <v>0</v>
      </c>
      <c r="N184" s="64">
        <f t="shared" si="7"/>
        <v>63</v>
      </c>
    </row>
    <row r="185" spans="1:15" ht="18.75" x14ac:dyDescent="0.25">
      <c r="A185" s="76" t="s">
        <v>42</v>
      </c>
      <c r="B185" s="69">
        <f>+ENERO!$AG184</f>
        <v>47</v>
      </c>
      <c r="C185" s="69">
        <f>+FEBRERO!$AG184</f>
        <v>24</v>
      </c>
      <c r="D185" s="69">
        <f>+MARZO!$AG184</f>
        <v>48</v>
      </c>
      <c r="E185" s="69">
        <f>+ABRIL!$AG184</f>
        <v>31</v>
      </c>
      <c r="F185" s="69">
        <f>+MAYO!$AG184</f>
        <v>27</v>
      </c>
      <c r="G185" s="69">
        <f>+JUNIO!$AG185</f>
        <v>50</v>
      </c>
      <c r="H185" s="69">
        <f>+JULIO!$AG185</f>
        <v>59</v>
      </c>
      <c r="I185" s="69">
        <f>+AGOSTO!$AG185</f>
        <v>49</v>
      </c>
      <c r="J185" s="69">
        <f>+SEPTIEMBRE!$AG185</f>
        <v>72</v>
      </c>
      <c r="K185" s="69">
        <f>+OCTUBRE!$AG185</f>
        <v>72</v>
      </c>
      <c r="L185" s="69">
        <f>+NOVIEMBRE!$AG185</f>
        <v>22</v>
      </c>
      <c r="M185" s="69">
        <f>+DICIEMBRE!$AG185</f>
        <v>0</v>
      </c>
      <c r="N185" s="64">
        <f t="shared" si="7"/>
        <v>501</v>
      </c>
    </row>
    <row r="186" spans="1:15" ht="18.75" x14ac:dyDescent="0.25">
      <c r="A186" s="76" t="s">
        <v>41</v>
      </c>
      <c r="B186" s="69">
        <f>+ENERO!$AG185</f>
        <v>0</v>
      </c>
      <c r="C186" s="69">
        <f>+FEBRERO!$AG185</f>
        <v>0</v>
      </c>
      <c r="D186" s="69">
        <f>+MARZO!$AG185</f>
        <v>0</v>
      </c>
      <c r="E186" s="69">
        <f>+ABRIL!$AG185</f>
        <v>0</v>
      </c>
      <c r="F186" s="69">
        <f>+MAYO!$AG185</f>
        <v>1</v>
      </c>
      <c r="G186" s="69">
        <f>+JUNIO!$AG186</f>
        <v>1</v>
      </c>
      <c r="H186" s="69">
        <f>+JULIO!$AG186</f>
        <v>0</v>
      </c>
      <c r="I186" s="69">
        <f>+AGOSTO!$AG186</f>
        <v>0</v>
      </c>
      <c r="J186" s="69">
        <f>+SEPTIEMBRE!$AG186</f>
        <v>1</v>
      </c>
      <c r="K186" s="69">
        <f>+OCTUBRE!$AG186</f>
        <v>0</v>
      </c>
      <c r="L186" s="69">
        <f>+NOVIEMBRE!$AG186</f>
        <v>0</v>
      </c>
      <c r="M186" s="69">
        <f>+DICIEMBRE!$AG186</f>
        <v>0</v>
      </c>
      <c r="N186" s="64">
        <f t="shared" si="7"/>
        <v>3</v>
      </c>
    </row>
    <row r="187" spans="1:15" s="77" customFormat="1" ht="18.75" x14ac:dyDescent="0.25">
      <c r="A187" s="81" t="s">
        <v>40</v>
      </c>
      <c r="B187" s="80">
        <f>+ENERO!$AG186</f>
        <v>1666</v>
      </c>
      <c r="C187" s="80">
        <f>+FEBRERO!$AG186</f>
        <v>1671</v>
      </c>
      <c r="D187" s="80">
        <f>+MARZO!$AG186</f>
        <v>2111</v>
      </c>
      <c r="E187" s="80">
        <f>+ABRIL!$AG186</f>
        <v>1982</v>
      </c>
      <c r="F187" s="80">
        <f>+MAYO!$AG186</f>
        <v>2165</v>
      </c>
      <c r="G187" s="80">
        <f>+JUNIO!$AG187</f>
        <v>2121</v>
      </c>
      <c r="H187" s="80">
        <f>+JULIO!$AG187</f>
        <v>1861</v>
      </c>
      <c r="I187" s="80">
        <f>+AGOSTO!$AG187</f>
        <v>1638</v>
      </c>
      <c r="J187" s="80">
        <f>+SEPTIEMBRE!$AG187</f>
        <v>1218</v>
      </c>
      <c r="K187" s="80">
        <f>+OCTUBRE!$AG187</f>
        <v>1451</v>
      </c>
      <c r="L187" s="80">
        <f>+NOVIEMBRE!$AG187</f>
        <v>1963</v>
      </c>
      <c r="M187" s="80">
        <f>+DICIEMBRE!$AG187</f>
        <v>503</v>
      </c>
      <c r="N187" s="21">
        <f t="shared" si="7"/>
        <v>20350</v>
      </c>
    </row>
    <row r="188" spans="1:15" ht="18.75" x14ac:dyDescent="0.25">
      <c r="A188" s="76" t="s">
        <v>39</v>
      </c>
      <c r="B188" s="69">
        <f>+ENERO!$AG187</f>
        <v>1</v>
      </c>
      <c r="C188" s="69">
        <f>+FEBRERO!$AG187</f>
        <v>0</v>
      </c>
      <c r="D188" s="69">
        <f>+MARZO!$AG187</f>
        <v>0</v>
      </c>
      <c r="E188" s="69">
        <f>+ABRIL!$AG187</f>
        <v>1</v>
      </c>
      <c r="F188" s="69">
        <f>+MAYO!$AG187</f>
        <v>2</v>
      </c>
      <c r="G188" s="69">
        <f>+JUNIO!$AG188</f>
        <v>0</v>
      </c>
      <c r="H188" s="69">
        <f>+JULIO!$AG188</f>
        <v>1</v>
      </c>
      <c r="I188" s="69">
        <f>+AGOSTO!$AG188</f>
        <v>0</v>
      </c>
      <c r="J188" s="69">
        <f>+SEPTIEMBRE!$AG188</f>
        <v>1</v>
      </c>
      <c r="K188" s="69">
        <f>+OCTUBRE!$AG188</f>
        <v>3</v>
      </c>
      <c r="L188" s="69">
        <f>+NOVIEMBRE!$AG188</f>
        <v>2</v>
      </c>
      <c r="M188" s="69">
        <f>+DICIEMBRE!$AG188</f>
        <v>0</v>
      </c>
      <c r="N188" s="64">
        <f t="shared" si="7"/>
        <v>11</v>
      </c>
    </row>
    <row r="189" spans="1:15" ht="18.75" x14ac:dyDescent="0.25">
      <c r="A189" s="76" t="s">
        <v>38</v>
      </c>
      <c r="B189" s="69">
        <f>+ENERO!$AG188</f>
        <v>2</v>
      </c>
      <c r="C189" s="69">
        <f>+FEBRERO!$AG188</f>
        <v>0</v>
      </c>
      <c r="D189" s="69">
        <f>+MARZO!$AG188</f>
        <v>0</v>
      </c>
      <c r="E189" s="69">
        <f>+ABRIL!$AG188</f>
        <v>2</v>
      </c>
      <c r="F189" s="69">
        <f>+MAYO!$AG188</f>
        <v>1</v>
      </c>
      <c r="G189" s="69">
        <f>+JUNIO!$AG189</f>
        <v>2</v>
      </c>
      <c r="H189" s="69">
        <f>+JULIO!$AG189</f>
        <v>5</v>
      </c>
      <c r="I189" s="69">
        <f>+AGOSTO!$AG189</f>
        <v>6</v>
      </c>
      <c r="J189" s="69">
        <f>+SEPTIEMBRE!$AG189</f>
        <v>5</v>
      </c>
      <c r="K189" s="69">
        <f>+OCTUBRE!$AG189</f>
        <v>5</v>
      </c>
      <c r="L189" s="69">
        <f>+NOVIEMBRE!$AG189</f>
        <v>3</v>
      </c>
      <c r="M189" s="69">
        <f>+DICIEMBRE!$AG189</f>
        <v>0</v>
      </c>
      <c r="N189" s="64">
        <f t="shared" si="7"/>
        <v>31</v>
      </c>
    </row>
    <row r="190" spans="1:15" ht="18.75" x14ac:dyDescent="0.25">
      <c r="A190" s="76" t="s">
        <v>37</v>
      </c>
      <c r="B190" s="69">
        <f>+ENERO!$AG189</f>
        <v>0</v>
      </c>
      <c r="C190" s="69">
        <f>+FEBRERO!$AG189</f>
        <v>0</v>
      </c>
      <c r="D190" s="69">
        <f>+MARZO!$AG189</f>
        <v>0</v>
      </c>
      <c r="E190" s="69">
        <f>+ABRIL!$AG189</f>
        <v>0</v>
      </c>
      <c r="F190" s="69">
        <f>+MAYO!$AG189</f>
        <v>0</v>
      </c>
      <c r="G190" s="69">
        <f>+JUNIO!$AG190</f>
        <v>2</v>
      </c>
      <c r="H190" s="69">
        <f>+JULIO!$AG190</f>
        <v>0</v>
      </c>
      <c r="I190" s="69">
        <f>+AGOSTO!$AG190</f>
        <v>0</v>
      </c>
      <c r="J190" s="69">
        <f>+SEPTIEMBRE!$AG190</f>
        <v>0</v>
      </c>
      <c r="K190" s="69">
        <f>+OCTUBRE!$AG190</f>
        <v>0</v>
      </c>
      <c r="L190" s="69">
        <f>+NOVIEMBRE!$AG190</f>
        <v>0</v>
      </c>
      <c r="M190" s="69">
        <f>+DICIEMBRE!$AG190</f>
        <v>0</v>
      </c>
      <c r="N190" s="64">
        <f t="shared" si="7"/>
        <v>2</v>
      </c>
    </row>
    <row r="191" spans="1:15" ht="18.75" x14ac:dyDescent="0.25">
      <c r="A191" s="76" t="s">
        <v>36</v>
      </c>
      <c r="B191" s="69">
        <f>+ENERO!$AG190</f>
        <v>10</v>
      </c>
      <c r="C191" s="69">
        <f>+FEBRERO!$AG190</f>
        <v>9</v>
      </c>
      <c r="D191" s="69">
        <f>+MARZO!$AG190</f>
        <v>35</v>
      </c>
      <c r="E191" s="69">
        <f>+ABRIL!$AG190</f>
        <v>36</v>
      </c>
      <c r="F191" s="69">
        <f>+MAYO!$AG190</f>
        <v>28</v>
      </c>
      <c r="G191" s="69">
        <f>+JUNIO!$AG191</f>
        <v>38</v>
      </c>
      <c r="H191" s="69">
        <f>+JULIO!$AG191</f>
        <v>35</v>
      </c>
      <c r="I191" s="69">
        <f>+AGOSTO!$AG191</f>
        <v>41</v>
      </c>
      <c r="J191" s="69">
        <f>+SEPTIEMBRE!$AG191</f>
        <v>42</v>
      </c>
      <c r="K191" s="69">
        <f>+OCTUBRE!$AG191</f>
        <v>60</v>
      </c>
      <c r="L191" s="69">
        <f>+NOVIEMBRE!$AG191</f>
        <v>34</v>
      </c>
      <c r="M191" s="69">
        <f>+DICIEMBRE!$AG191</f>
        <v>7</v>
      </c>
      <c r="N191" s="64">
        <f t="shared" si="7"/>
        <v>375</v>
      </c>
    </row>
    <row r="192" spans="1:15" ht="18.75" x14ac:dyDescent="0.25">
      <c r="A192" s="66" t="s">
        <v>35</v>
      </c>
      <c r="B192" s="69">
        <f>+ENERO!$AG191</f>
        <v>1</v>
      </c>
      <c r="C192" s="69">
        <f>+FEBRERO!$AG191</f>
        <v>0</v>
      </c>
      <c r="D192" s="69">
        <f>+MARZO!$AG191</f>
        <v>1</v>
      </c>
      <c r="E192" s="69">
        <f>+ABRIL!$AG191</f>
        <v>0</v>
      </c>
      <c r="F192" s="69">
        <f>+MAYO!$AG191</f>
        <v>0</v>
      </c>
      <c r="G192" s="69">
        <f>+JUNIO!$AG192</f>
        <v>1</v>
      </c>
      <c r="H192" s="69">
        <f>+JULIO!$AG192</f>
        <v>1</v>
      </c>
      <c r="I192" s="69">
        <f>+AGOSTO!$AG192</f>
        <v>1</v>
      </c>
      <c r="J192" s="69">
        <f>+SEPTIEMBRE!$AG192</f>
        <v>1</v>
      </c>
      <c r="K192" s="69">
        <f>+OCTUBRE!$AG192</f>
        <v>8</v>
      </c>
      <c r="L192" s="69">
        <f>+NOVIEMBRE!$AG192</f>
        <v>6</v>
      </c>
      <c r="M192" s="69">
        <f>+DICIEMBRE!$AG192</f>
        <v>0</v>
      </c>
      <c r="N192" s="64">
        <f t="shared" si="7"/>
        <v>20</v>
      </c>
    </row>
    <row r="193" spans="1:14" ht="18.75" x14ac:dyDescent="0.25">
      <c r="A193" s="66" t="s">
        <v>34</v>
      </c>
      <c r="B193" s="69">
        <f>+ENERO!$AG192</f>
        <v>0</v>
      </c>
      <c r="C193" s="69">
        <f>+FEBRERO!$AG192</f>
        <v>1</v>
      </c>
      <c r="D193" s="69">
        <f>+MARZO!$AG192</f>
        <v>0</v>
      </c>
      <c r="E193" s="69">
        <f>+ABRIL!$AG192</f>
        <v>0</v>
      </c>
      <c r="F193" s="69">
        <f>+MAYO!$AG192</f>
        <v>0</v>
      </c>
      <c r="G193" s="69">
        <f>+JUNIO!$AG193</f>
        <v>0</v>
      </c>
      <c r="H193" s="69">
        <f>+JULIO!$AG193</f>
        <v>0</v>
      </c>
      <c r="I193" s="69">
        <f>+AGOSTO!$AG193</f>
        <v>2</v>
      </c>
      <c r="J193" s="69">
        <f>+SEPTIEMBRE!$AG193</f>
        <v>0</v>
      </c>
      <c r="K193" s="69">
        <f>+OCTUBRE!$AG193</f>
        <v>1</v>
      </c>
      <c r="L193" s="69">
        <f>+NOVIEMBRE!$AG193</f>
        <v>2</v>
      </c>
      <c r="M193" s="69">
        <f>+DICIEMBRE!$AG193</f>
        <v>0</v>
      </c>
      <c r="N193" s="64">
        <f t="shared" si="7"/>
        <v>6</v>
      </c>
    </row>
    <row r="194" spans="1:14" ht="18.75" x14ac:dyDescent="0.25">
      <c r="A194" s="66" t="s">
        <v>33</v>
      </c>
      <c r="B194" s="69">
        <f>+ENERO!$AG193</f>
        <v>1</v>
      </c>
      <c r="C194" s="69">
        <f>+FEBRERO!$AG193</f>
        <v>0</v>
      </c>
      <c r="D194" s="69">
        <f>+MARZO!$AG193</f>
        <v>0</v>
      </c>
      <c r="E194" s="69">
        <f>+ABRIL!$AG193</f>
        <v>1</v>
      </c>
      <c r="F194" s="69">
        <f>+MAYO!$AG193</f>
        <v>0</v>
      </c>
      <c r="G194" s="69">
        <f>+JUNIO!$AG194</f>
        <v>0</v>
      </c>
      <c r="H194" s="69">
        <f>+JULIO!$AG194</f>
        <v>0</v>
      </c>
      <c r="I194" s="69">
        <f>+AGOSTO!$AG194</f>
        <v>0</v>
      </c>
      <c r="J194" s="69">
        <f>+SEPTIEMBRE!$AG194</f>
        <v>0</v>
      </c>
      <c r="K194" s="69">
        <f>+OCTUBRE!$AG194</f>
        <v>0</v>
      </c>
      <c r="L194" s="69">
        <f>+NOVIEMBRE!$AG194</f>
        <v>0</v>
      </c>
      <c r="M194" s="69">
        <f>+DICIEMBRE!$AG194</f>
        <v>0</v>
      </c>
      <c r="N194" s="64">
        <f t="shared" si="7"/>
        <v>2</v>
      </c>
    </row>
    <row r="195" spans="1:14" ht="18.75" x14ac:dyDescent="0.25">
      <c r="A195" s="66" t="s">
        <v>32</v>
      </c>
      <c r="B195" s="69">
        <f>+ENERO!$AG194</f>
        <v>0</v>
      </c>
      <c r="C195" s="69">
        <f>+FEBRERO!$AG194</f>
        <v>0</v>
      </c>
      <c r="D195" s="69">
        <f>+MARZO!$AG194</f>
        <v>0</v>
      </c>
      <c r="E195" s="69">
        <f>+ABRIL!$AG194</f>
        <v>0</v>
      </c>
      <c r="F195" s="69">
        <f>+MAYO!$AG194</f>
        <v>0</v>
      </c>
      <c r="G195" s="69">
        <f>+JUNIO!$AG195</f>
        <v>0</v>
      </c>
      <c r="H195" s="69">
        <f>+JULIO!$AG195</f>
        <v>0</v>
      </c>
      <c r="I195" s="69">
        <f>+AGOSTO!$AG195</f>
        <v>0</v>
      </c>
      <c r="J195" s="69">
        <f>+SEPTIEMBRE!$AG195</f>
        <v>0</v>
      </c>
      <c r="K195" s="69">
        <f>+OCTUBRE!$AG195</f>
        <v>0</v>
      </c>
      <c r="L195" s="69">
        <f>+NOVIEMBRE!$AG195</f>
        <v>2</v>
      </c>
      <c r="M195" s="69">
        <f>+DICIEMBRE!$AG195</f>
        <v>0</v>
      </c>
      <c r="N195" s="64">
        <f t="shared" si="7"/>
        <v>2</v>
      </c>
    </row>
    <row r="196" spans="1:14" ht="18.75" x14ac:dyDescent="0.25">
      <c r="A196" s="75" t="s">
        <v>31</v>
      </c>
      <c r="B196" s="74">
        <f>+ENERO!$AG195</f>
        <v>22</v>
      </c>
      <c r="C196" s="74">
        <f>+FEBRERO!$AG195</f>
        <v>21</v>
      </c>
      <c r="D196" s="74">
        <f>+MARZO!$AG195</f>
        <v>22</v>
      </c>
      <c r="E196" s="74">
        <f>+ABRIL!$AG195</f>
        <v>23</v>
      </c>
      <c r="F196" s="74">
        <f>+MAYO!$AG195</f>
        <v>48</v>
      </c>
      <c r="G196" s="74">
        <f>+JUNIO!$AG196</f>
        <v>41</v>
      </c>
      <c r="H196" s="74">
        <f>+JULIO!$AG196</f>
        <v>47</v>
      </c>
      <c r="I196" s="74">
        <f>+AGOSTO!$AG196</f>
        <v>31</v>
      </c>
      <c r="J196" s="74">
        <f>+SEPTIEMBRE!$AG196</f>
        <v>30</v>
      </c>
      <c r="K196" s="74">
        <f>+OCTUBRE!$AG196</f>
        <v>37</v>
      </c>
      <c r="L196" s="74">
        <f>+NOVIEMBRE!$AG196</f>
        <v>18</v>
      </c>
      <c r="M196" s="74">
        <f>+DICIEMBRE!$AG196</f>
        <v>10</v>
      </c>
      <c r="N196" s="71">
        <f t="shared" si="7"/>
        <v>350</v>
      </c>
    </row>
    <row r="197" spans="1:14" ht="18.75" x14ac:dyDescent="0.25">
      <c r="A197" s="70" t="s">
        <v>30</v>
      </c>
      <c r="B197" s="69">
        <f>+ENERO!$AG196</f>
        <v>0</v>
      </c>
      <c r="C197" s="69">
        <f>+FEBRERO!$AG196</f>
        <v>0</v>
      </c>
      <c r="D197" s="69">
        <f>+MARZO!$AG196</f>
        <v>0</v>
      </c>
      <c r="E197" s="69">
        <f>+ABRIL!$AG196</f>
        <v>0</v>
      </c>
      <c r="F197" s="69">
        <f>+MAYO!$AG196</f>
        <v>0</v>
      </c>
      <c r="G197" s="69">
        <f>+JUNIO!$AG197</f>
        <v>0</v>
      </c>
      <c r="H197" s="69">
        <f>+JULIO!$AG197</f>
        <v>0</v>
      </c>
      <c r="I197" s="69">
        <f>+AGOSTO!$AG197</f>
        <v>0</v>
      </c>
      <c r="J197" s="69">
        <f>+SEPTIEMBRE!$AG197</f>
        <v>0</v>
      </c>
      <c r="K197" s="69">
        <f>+OCTUBRE!$AG197</f>
        <v>0</v>
      </c>
      <c r="L197" s="69">
        <f>+NOVIEMBRE!$AG197</f>
        <v>0</v>
      </c>
      <c r="M197" s="69">
        <f>+DICIEMBRE!$AG197</f>
        <v>0</v>
      </c>
      <c r="N197" s="64">
        <f t="shared" si="7"/>
        <v>0</v>
      </c>
    </row>
    <row r="198" spans="1:14" ht="18.75" x14ac:dyDescent="0.25">
      <c r="A198" s="70" t="s">
        <v>29</v>
      </c>
      <c r="B198" s="69">
        <f>+ENERO!$AG197</f>
        <v>0</v>
      </c>
      <c r="C198" s="69">
        <f>+FEBRERO!$AG197</f>
        <v>0</v>
      </c>
      <c r="D198" s="69">
        <f>+MARZO!$AG197</f>
        <v>0</v>
      </c>
      <c r="E198" s="69">
        <f>+ABRIL!$AG197</f>
        <v>0</v>
      </c>
      <c r="F198" s="69">
        <f>+MAYO!$AG197</f>
        <v>0</v>
      </c>
      <c r="G198" s="69">
        <f>+JUNIO!$AG198</f>
        <v>0</v>
      </c>
      <c r="H198" s="69">
        <f>+JULIO!$AG198</f>
        <v>0</v>
      </c>
      <c r="I198" s="69">
        <f>+AGOSTO!$AG198</f>
        <v>0</v>
      </c>
      <c r="J198" s="69">
        <f>+SEPTIEMBRE!$AG198</f>
        <v>0</v>
      </c>
      <c r="K198" s="69">
        <f>+OCTUBRE!$AG198</f>
        <v>0</v>
      </c>
      <c r="L198" s="69">
        <f>+NOVIEMBRE!$AG198</f>
        <v>1</v>
      </c>
      <c r="M198" s="69">
        <f>+DICIEMBRE!$AG198</f>
        <v>0</v>
      </c>
      <c r="N198" s="64">
        <f t="shared" si="7"/>
        <v>1</v>
      </c>
    </row>
    <row r="199" spans="1:14" ht="18.75" x14ac:dyDescent="0.25">
      <c r="A199" s="70" t="s">
        <v>28</v>
      </c>
      <c r="B199" s="69">
        <f>+ENERO!$AG198</f>
        <v>1</v>
      </c>
      <c r="C199" s="69">
        <f>+FEBRERO!$AG198</f>
        <v>0</v>
      </c>
      <c r="D199" s="69">
        <f>+MARZO!$AG198</f>
        <v>0</v>
      </c>
      <c r="E199" s="69">
        <f>+ABRIL!$AG198</f>
        <v>0</v>
      </c>
      <c r="F199" s="69">
        <f>+MAYO!$AG198</f>
        <v>0</v>
      </c>
      <c r="G199" s="69">
        <f>+JUNIO!$AG199</f>
        <v>1</v>
      </c>
      <c r="H199" s="69">
        <f>+JULIO!$AG199</f>
        <v>0</v>
      </c>
      <c r="I199" s="69">
        <f>+AGOSTO!$AG199</f>
        <v>0</v>
      </c>
      <c r="J199" s="69">
        <f>+SEPTIEMBRE!$AG199</f>
        <v>0</v>
      </c>
      <c r="K199" s="69">
        <f>+OCTUBRE!$AG199</f>
        <v>0</v>
      </c>
      <c r="L199" s="69">
        <f>+NOVIEMBRE!$AG199</f>
        <v>1</v>
      </c>
      <c r="M199" s="69">
        <f>+DICIEMBRE!$AG199</f>
        <v>0</v>
      </c>
      <c r="N199" s="64">
        <f t="shared" si="7"/>
        <v>3</v>
      </c>
    </row>
    <row r="200" spans="1:14" ht="18.75" x14ac:dyDescent="0.25">
      <c r="A200" s="70" t="s">
        <v>27</v>
      </c>
      <c r="B200" s="69">
        <f>+ENERO!$AG199</f>
        <v>1</v>
      </c>
      <c r="C200" s="69">
        <f>+FEBRERO!$AG199</f>
        <v>1</v>
      </c>
      <c r="D200" s="69">
        <f>+MARZO!$AG199</f>
        <v>3</v>
      </c>
      <c r="E200" s="69">
        <f>+ABRIL!$AG199</f>
        <v>2</v>
      </c>
      <c r="F200" s="69">
        <f>+MAYO!$AG199</f>
        <v>0</v>
      </c>
      <c r="G200" s="69">
        <f>+JUNIO!$AG200</f>
        <v>2</v>
      </c>
      <c r="H200" s="69">
        <f>+JULIO!$AG200</f>
        <v>0</v>
      </c>
      <c r="I200" s="69">
        <f>+AGOSTO!$AG200</f>
        <v>0</v>
      </c>
      <c r="J200" s="69">
        <f>+SEPTIEMBRE!$AG200</f>
        <v>0</v>
      </c>
      <c r="K200" s="69">
        <f>+OCTUBRE!$AG200</f>
        <v>4</v>
      </c>
      <c r="L200" s="69">
        <f>+NOVIEMBRE!$AG200</f>
        <v>0</v>
      </c>
      <c r="M200" s="69">
        <f>+DICIEMBRE!$AG200</f>
        <v>0</v>
      </c>
      <c r="N200" s="64">
        <f t="shared" si="7"/>
        <v>13</v>
      </c>
    </row>
    <row r="201" spans="1:14" ht="18.75" x14ac:dyDescent="0.25">
      <c r="A201" s="70" t="s">
        <v>26</v>
      </c>
      <c r="B201" s="69">
        <f>+ENERO!$AG200</f>
        <v>0</v>
      </c>
      <c r="C201" s="69">
        <f>+FEBRERO!$AG200</f>
        <v>0</v>
      </c>
      <c r="D201" s="69">
        <f>+MARZO!$AG200</f>
        <v>0</v>
      </c>
      <c r="E201" s="69">
        <f>+ABRIL!$AG200</f>
        <v>0</v>
      </c>
      <c r="F201" s="69">
        <f>+MAYO!$AG200</f>
        <v>0</v>
      </c>
      <c r="G201" s="69">
        <f>+JUNIO!$AG201</f>
        <v>0</v>
      </c>
      <c r="H201" s="69">
        <f>+JULIO!$AG201</f>
        <v>0</v>
      </c>
      <c r="I201" s="69">
        <f>+AGOSTO!$AG201</f>
        <v>0</v>
      </c>
      <c r="J201" s="69">
        <f>+SEPTIEMBRE!$AG201</f>
        <v>0</v>
      </c>
      <c r="K201" s="69">
        <f>+OCTUBRE!$AG201</f>
        <v>0</v>
      </c>
      <c r="L201" s="69">
        <f>+NOVIEMBRE!$AG201</f>
        <v>0</v>
      </c>
      <c r="M201" s="69">
        <f>+DICIEMBRE!$AG201</f>
        <v>0</v>
      </c>
      <c r="N201" s="64">
        <f t="shared" si="7"/>
        <v>0</v>
      </c>
    </row>
    <row r="202" spans="1:14" ht="18.75" x14ac:dyDescent="0.25">
      <c r="A202" s="70" t="s">
        <v>25</v>
      </c>
      <c r="B202" s="69">
        <f>+ENERO!$AG201</f>
        <v>0</v>
      </c>
      <c r="C202" s="69">
        <f>+FEBRERO!$AG201</f>
        <v>0</v>
      </c>
      <c r="D202" s="69">
        <f>+MARZO!$AG201</f>
        <v>3</v>
      </c>
      <c r="E202" s="69">
        <f>+ABRIL!$AG201</f>
        <v>0</v>
      </c>
      <c r="F202" s="69">
        <f>+MAYO!$AG201</f>
        <v>3</v>
      </c>
      <c r="G202" s="69">
        <f>+JUNIO!$AG202</f>
        <v>2</v>
      </c>
      <c r="H202" s="69">
        <f>+JULIO!$AG202</f>
        <v>3</v>
      </c>
      <c r="I202" s="69">
        <f>+AGOSTO!$AG202</f>
        <v>0</v>
      </c>
      <c r="J202" s="69">
        <f>+SEPTIEMBRE!$AG202</f>
        <v>0</v>
      </c>
      <c r="K202" s="69">
        <f>+OCTUBRE!$AG202</f>
        <v>2</v>
      </c>
      <c r="L202" s="69">
        <f>+NOVIEMBRE!$AG202</f>
        <v>1</v>
      </c>
      <c r="M202" s="69">
        <f>+DICIEMBRE!$AG202</f>
        <v>0</v>
      </c>
      <c r="N202" s="64">
        <f t="shared" si="7"/>
        <v>14</v>
      </c>
    </row>
    <row r="203" spans="1:14" ht="18.75" x14ac:dyDescent="0.25">
      <c r="A203" s="66" t="s">
        <v>24</v>
      </c>
      <c r="B203" s="69">
        <f>+ENERO!$AG202</f>
        <v>3</v>
      </c>
      <c r="C203" s="69">
        <f>+FEBRERO!$AG202</f>
        <v>0</v>
      </c>
      <c r="D203" s="69">
        <f>+MARZO!$AG202</f>
        <v>3</v>
      </c>
      <c r="E203" s="69">
        <f>+ABRIL!$AG202</f>
        <v>1</v>
      </c>
      <c r="F203" s="69">
        <f>+MAYO!$AG202</f>
        <v>1</v>
      </c>
      <c r="G203" s="69">
        <f>+JUNIO!$AG203</f>
        <v>1</v>
      </c>
      <c r="H203" s="69">
        <f>+JULIO!$AG203</f>
        <v>1</v>
      </c>
      <c r="I203" s="69">
        <f>+AGOSTO!$AG203</f>
        <v>3</v>
      </c>
      <c r="J203" s="69">
        <f>+SEPTIEMBRE!$AG203</f>
        <v>5</v>
      </c>
      <c r="K203" s="69">
        <f>+OCTUBRE!$AG203</f>
        <v>3</v>
      </c>
      <c r="L203" s="69">
        <f>+NOVIEMBRE!$AG203</f>
        <v>2</v>
      </c>
      <c r="M203" s="69">
        <f>+DICIEMBRE!$AG203</f>
        <v>0</v>
      </c>
      <c r="N203" s="64">
        <f t="shared" si="7"/>
        <v>23</v>
      </c>
    </row>
    <row r="204" spans="1:14" ht="18.75" x14ac:dyDescent="0.25">
      <c r="A204" s="66" t="s">
        <v>23</v>
      </c>
      <c r="B204" s="69">
        <f>+ENERO!$AG203</f>
        <v>0</v>
      </c>
      <c r="C204" s="69">
        <f>+FEBRERO!$AG203</f>
        <v>0</v>
      </c>
      <c r="D204" s="69">
        <f>+MARZO!$AG203</f>
        <v>0</v>
      </c>
      <c r="E204" s="69">
        <f>+ABRIL!$AG203</f>
        <v>0</v>
      </c>
      <c r="F204" s="69">
        <f>+MAYO!$AG203</f>
        <v>0</v>
      </c>
      <c r="G204" s="69">
        <f>+JUNIO!$AG204</f>
        <v>0</v>
      </c>
      <c r="H204" s="69">
        <f>+JULIO!$AG204</f>
        <v>1</v>
      </c>
      <c r="I204" s="69">
        <f>+AGOSTO!$AG204</f>
        <v>0</v>
      </c>
      <c r="J204" s="69">
        <f>+SEPTIEMBRE!$AG204</f>
        <v>0</v>
      </c>
      <c r="K204" s="69">
        <f>+OCTUBRE!$AG204</f>
        <v>0</v>
      </c>
      <c r="L204" s="69">
        <f>+NOVIEMBRE!$AG204</f>
        <v>0</v>
      </c>
      <c r="M204" s="69">
        <f>+DICIEMBRE!$AG204</f>
        <v>0</v>
      </c>
      <c r="N204" s="64">
        <f t="shared" si="7"/>
        <v>1</v>
      </c>
    </row>
    <row r="205" spans="1:14" ht="18.75" x14ac:dyDescent="0.25">
      <c r="A205" s="66" t="s">
        <v>22</v>
      </c>
      <c r="B205" s="69">
        <f>+ENERO!$AG204</f>
        <v>2</v>
      </c>
      <c r="C205" s="69">
        <f>+FEBRERO!$AG204</f>
        <v>2</v>
      </c>
      <c r="D205" s="69">
        <f>+MARZO!$AG204</f>
        <v>2</v>
      </c>
      <c r="E205" s="69">
        <f>+ABRIL!$AG204</f>
        <v>1</v>
      </c>
      <c r="F205" s="69">
        <f>+MAYO!$AG204</f>
        <v>6</v>
      </c>
      <c r="G205" s="69">
        <f>+JUNIO!$AG205</f>
        <v>5</v>
      </c>
      <c r="H205" s="69">
        <f>+JULIO!$AG205</f>
        <v>2</v>
      </c>
      <c r="I205" s="69">
        <f>+AGOSTO!$AG205</f>
        <v>1</v>
      </c>
      <c r="J205" s="69">
        <f>+SEPTIEMBRE!$AG205</f>
        <v>3</v>
      </c>
      <c r="K205" s="69">
        <f>+OCTUBRE!$AG205</f>
        <v>5</v>
      </c>
      <c r="L205" s="69">
        <f>+NOVIEMBRE!$AG205</f>
        <v>4</v>
      </c>
      <c r="M205" s="69">
        <f>+DICIEMBRE!$AG205</f>
        <v>0</v>
      </c>
      <c r="N205" s="64">
        <f t="shared" si="7"/>
        <v>33</v>
      </c>
    </row>
    <row r="206" spans="1:14" ht="18.75" x14ac:dyDescent="0.25">
      <c r="A206" s="66" t="s">
        <v>21</v>
      </c>
      <c r="B206" s="62">
        <f>+ENERO!$AG205</f>
        <v>10</v>
      </c>
      <c r="C206" s="62">
        <f>+FEBRERO!$AG205</f>
        <v>13</v>
      </c>
      <c r="D206" s="62">
        <f>+MARZO!$AG205</f>
        <v>18</v>
      </c>
      <c r="E206" s="62">
        <f>+ABRIL!$AG205</f>
        <v>7</v>
      </c>
      <c r="F206" s="62">
        <f>+MAYO!$AG205</f>
        <v>7</v>
      </c>
      <c r="G206" s="62">
        <f>+JUNIO!$AG206</f>
        <v>17</v>
      </c>
      <c r="H206" s="62">
        <f>+JULIO!$AG206</f>
        <v>18</v>
      </c>
      <c r="I206" s="62">
        <f>+AGOSTO!$AG206</f>
        <v>14</v>
      </c>
      <c r="J206" s="62">
        <f>+SEPTIEMBRE!$AG206</f>
        <v>15</v>
      </c>
      <c r="K206" s="62">
        <f>+OCTUBRE!$AG206</f>
        <v>15</v>
      </c>
      <c r="L206" s="62">
        <f>+NOVIEMBRE!$AG206</f>
        <v>13</v>
      </c>
      <c r="M206" s="62">
        <f>+DICIEMBRE!$AG206</f>
        <v>3</v>
      </c>
      <c r="N206" s="64">
        <f t="shared" si="7"/>
        <v>150</v>
      </c>
    </row>
    <row r="207" spans="1:14" ht="18.75" x14ac:dyDescent="0.25">
      <c r="A207" s="65" t="s">
        <v>20</v>
      </c>
      <c r="B207" s="62">
        <f>+ENERO!$AG206</f>
        <v>6</v>
      </c>
      <c r="C207" s="62">
        <f>+FEBRERO!$AG206</f>
        <v>4</v>
      </c>
      <c r="D207" s="62">
        <f>+MARZO!$AG206</f>
        <v>5</v>
      </c>
      <c r="E207" s="62">
        <f>+ABRIL!$AG206</f>
        <v>4</v>
      </c>
      <c r="F207" s="62">
        <f>+MAYO!$AG206</f>
        <v>5</v>
      </c>
      <c r="G207" s="62">
        <f>+JUNIO!$AG207</f>
        <v>3</v>
      </c>
      <c r="H207" s="62">
        <f>+JULIO!$AG207</f>
        <v>3</v>
      </c>
      <c r="I207" s="62">
        <f>+AGOSTO!$AG207</f>
        <v>5</v>
      </c>
      <c r="J207" s="62">
        <f>+SEPTIEMBRE!$AG207</f>
        <v>4</v>
      </c>
      <c r="K207" s="62">
        <f>+OCTUBRE!$AG207</f>
        <v>4</v>
      </c>
      <c r="L207" s="62">
        <f>+NOVIEMBRE!$AG207</f>
        <v>2</v>
      </c>
      <c r="M207" s="62">
        <f>+DICIEMBRE!$AG207</f>
        <v>1</v>
      </c>
      <c r="N207" s="64">
        <f t="shared" si="7"/>
        <v>46</v>
      </c>
    </row>
    <row r="208" spans="1:14" ht="19.5" thickBot="1" x14ac:dyDescent="0.3">
      <c r="A208" s="63" t="s">
        <v>19</v>
      </c>
      <c r="B208" s="62">
        <f>+ENERO!$AG207</f>
        <v>1</v>
      </c>
      <c r="C208" s="62">
        <f>+FEBRERO!$AG207</f>
        <v>0</v>
      </c>
      <c r="D208" s="62">
        <f>+MARZO!$AG207</f>
        <v>0</v>
      </c>
      <c r="E208" s="62">
        <f>+ABRIL!$AG207</f>
        <v>0</v>
      </c>
      <c r="F208" s="62">
        <f>+MAYO!$AG207</f>
        <v>0</v>
      </c>
      <c r="G208" s="62">
        <f>+JUNIO!$AG208</f>
        <v>1</v>
      </c>
      <c r="H208" s="62">
        <f>+JULIO!$AG208</f>
        <v>0</v>
      </c>
      <c r="I208" s="62">
        <f>+AGOSTO!$AG208</f>
        <v>1</v>
      </c>
      <c r="J208" s="62">
        <f>+SEPTIEMBRE!$AG208</f>
        <v>2</v>
      </c>
      <c r="K208" s="62">
        <f>+OCTUBRE!$AG208</f>
        <v>2</v>
      </c>
      <c r="L208" s="62">
        <f>+NOVIEMBRE!$AG208</f>
        <v>1</v>
      </c>
      <c r="M208" s="62">
        <f>+DICIEMBRE!$AG208</f>
        <v>0</v>
      </c>
      <c r="N208" s="10">
        <f t="shared" si="7"/>
        <v>8</v>
      </c>
    </row>
    <row r="209" spans="1:15" ht="19.5" thickBot="1" x14ac:dyDescent="0.3">
      <c r="A209" s="59" t="s">
        <v>18</v>
      </c>
      <c r="B209" s="58">
        <f>+ENERO!$AG208</f>
        <v>4102</v>
      </c>
      <c r="C209" s="57">
        <f>+FEBRERO!$AG208</f>
        <v>4159</v>
      </c>
      <c r="D209" s="58">
        <f>+MARZO!$AG208</f>
        <v>4448</v>
      </c>
      <c r="E209" s="58">
        <f>+ABRIL!$AG208</f>
        <v>3879</v>
      </c>
      <c r="F209" s="58">
        <f>+MAYO!$AG208</f>
        <v>4360</v>
      </c>
      <c r="G209" s="58">
        <f>+JUNIO!$AG209</f>
        <v>4348</v>
      </c>
      <c r="H209" s="58">
        <f>+JULIO!$AG209</f>
        <v>4318</v>
      </c>
      <c r="I209" s="58">
        <f>+AGOSTO!$AG209</f>
        <v>4336</v>
      </c>
      <c r="J209" s="58">
        <f>+SEPTIEMBRE!$AG209</f>
        <v>3845</v>
      </c>
      <c r="K209" s="58">
        <f>+OCTUBRE!$AG209</f>
        <v>4549</v>
      </c>
      <c r="L209" s="58">
        <f>+NOVIEMBRE!$AG209</f>
        <v>4912</v>
      </c>
      <c r="M209" s="58">
        <f>+DICIEMBRE!$AG209</f>
        <v>1296</v>
      </c>
      <c r="N209" s="54">
        <f t="shared" si="7"/>
        <v>48552</v>
      </c>
      <c r="O209" s="53" t="str">
        <f>IF(N209&lt;&gt;N93,"X","")</f>
        <v>X</v>
      </c>
    </row>
    <row r="210" spans="1:15" ht="18.75" x14ac:dyDescent="0.25">
      <c r="A210" s="52" t="s">
        <v>17</v>
      </c>
      <c r="B210" s="51">
        <f>+ENERO!$AG209</f>
        <v>1</v>
      </c>
      <c r="C210" s="51">
        <f>+FEBRERO!$AG209</f>
        <v>1</v>
      </c>
      <c r="D210" s="51">
        <f>+MARZO!$AG209</f>
        <v>0</v>
      </c>
      <c r="E210" s="51">
        <f>+ABRIL!$AG209</f>
        <v>1</v>
      </c>
      <c r="F210" s="51">
        <f>+MAYO!$AG209</f>
        <v>0</v>
      </c>
      <c r="G210" s="51">
        <f>+JUNIO!$AG210</f>
        <v>0</v>
      </c>
      <c r="H210" s="51">
        <f>+JULIO!$AG210</f>
        <v>0</v>
      </c>
      <c r="I210" s="51">
        <f>+AGOSTO!$AG210</f>
        <v>0</v>
      </c>
      <c r="J210" s="51">
        <f>+SEPTIEMBRE!$AG210</f>
        <v>0</v>
      </c>
      <c r="K210" s="51">
        <f>+OCTUBRE!$AG210</f>
        <v>1</v>
      </c>
      <c r="L210" s="51">
        <f>+NOVIEMBRE!$AG210</f>
        <v>0</v>
      </c>
      <c r="M210" s="51">
        <f>+DICIEMBRE!$AG210</f>
        <v>0</v>
      </c>
      <c r="N210" s="48">
        <f t="shared" si="7"/>
        <v>4</v>
      </c>
    </row>
    <row r="211" spans="1:15" ht="18.75" x14ac:dyDescent="0.25">
      <c r="A211" s="47" t="s">
        <v>16</v>
      </c>
      <c r="B211" s="46">
        <f>+ENERO!$AG210</f>
        <v>32</v>
      </c>
      <c r="C211" s="46">
        <f>+FEBRERO!$AG210</f>
        <v>25</v>
      </c>
      <c r="D211" s="46">
        <f>+MARZO!$AG210</f>
        <v>21</v>
      </c>
      <c r="E211" s="46">
        <f>+ABRIL!$AG210</f>
        <v>33</v>
      </c>
      <c r="F211" s="46">
        <f>+MAYO!$AG210</f>
        <v>35</v>
      </c>
      <c r="G211" s="46">
        <f>+JUNIO!$AG211</f>
        <v>16</v>
      </c>
      <c r="H211" s="46">
        <f>+JULIO!$AG211</f>
        <v>15</v>
      </c>
      <c r="I211" s="46">
        <f>+AGOSTO!$AG211</f>
        <v>35</v>
      </c>
      <c r="J211" s="46">
        <f>+SEPTIEMBRE!$AG211</f>
        <v>22</v>
      </c>
      <c r="K211" s="46">
        <f>+OCTUBRE!$AG211</f>
        <v>33</v>
      </c>
      <c r="L211" s="46">
        <f>+NOVIEMBRE!$AG211</f>
        <v>25</v>
      </c>
      <c r="M211" s="46">
        <f>+DICIEMBRE!$AG211</f>
        <v>8</v>
      </c>
      <c r="N211" s="43">
        <f t="shared" si="7"/>
        <v>300</v>
      </c>
    </row>
    <row r="212" spans="1:15" ht="18.75" x14ac:dyDescent="0.25">
      <c r="A212" s="47" t="s">
        <v>15</v>
      </c>
      <c r="B212" s="46">
        <f>+ENERO!$AG211</f>
        <v>346</v>
      </c>
      <c r="C212" s="46">
        <f>+FEBRERO!$AG211</f>
        <v>404</v>
      </c>
      <c r="D212" s="46">
        <f>+MARZO!$AG211</f>
        <v>406</v>
      </c>
      <c r="E212" s="46">
        <f>+ABRIL!$AG211</f>
        <v>352</v>
      </c>
      <c r="F212" s="46">
        <f>+MAYO!$AG211</f>
        <v>453</v>
      </c>
      <c r="G212" s="46">
        <f>+JUNIO!$AG212</f>
        <v>439</v>
      </c>
      <c r="H212" s="46">
        <f>+JULIO!$AG212</f>
        <v>355</v>
      </c>
      <c r="I212" s="46">
        <f>+AGOSTO!$AG212</f>
        <v>364</v>
      </c>
      <c r="J212" s="46">
        <f>+SEPTIEMBRE!$AG212</f>
        <v>345</v>
      </c>
      <c r="K212" s="46">
        <f>+OCTUBRE!$AG212</f>
        <v>424</v>
      </c>
      <c r="L212" s="46">
        <f>+NOVIEMBRE!$AG212</f>
        <v>459</v>
      </c>
      <c r="M212" s="46">
        <f>+DICIEMBRE!$AG212</f>
        <v>136</v>
      </c>
      <c r="N212" s="43">
        <f t="shared" ref="N212:N223" si="8">SUM(B212:M212)</f>
        <v>4483</v>
      </c>
    </row>
    <row r="213" spans="1:15" ht="18.75" x14ac:dyDescent="0.25">
      <c r="A213" s="47" t="s">
        <v>14</v>
      </c>
      <c r="B213" s="46">
        <f>+ENERO!$AG212</f>
        <v>2815</v>
      </c>
      <c r="C213" s="46">
        <f>+FEBRERO!$AG212</f>
        <v>2845</v>
      </c>
      <c r="D213" s="46">
        <f>+MARZO!$AG212</f>
        <v>3191</v>
      </c>
      <c r="E213" s="46">
        <f>+ABRIL!$AG212</f>
        <v>2680</v>
      </c>
      <c r="F213" s="46">
        <f>+MAYO!$AG212</f>
        <v>3134</v>
      </c>
      <c r="G213" s="46">
        <f>+JUNIO!$AG213</f>
        <v>3390</v>
      </c>
      <c r="H213" s="46">
        <f>+JULIO!$AG213</f>
        <v>3213</v>
      </c>
      <c r="I213" s="46">
        <f>+AGOSTO!$AG213</f>
        <v>3146</v>
      </c>
      <c r="J213" s="46">
        <f>+SEPTIEMBRE!$AG213</f>
        <v>2744</v>
      </c>
      <c r="K213" s="46">
        <f>+OCTUBRE!$AG213</f>
        <v>3139</v>
      </c>
      <c r="L213" s="46">
        <f>+NOVIEMBRE!$AG213</f>
        <v>3604</v>
      </c>
      <c r="M213" s="46">
        <f>+DICIEMBRE!$AG213</f>
        <v>965</v>
      </c>
      <c r="N213" s="43">
        <f t="shared" si="8"/>
        <v>34866</v>
      </c>
    </row>
    <row r="214" spans="1:15" ht="19.5" thickBot="1" x14ac:dyDescent="0.3">
      <c r="A214" s="42" t="s">
        <v>13</v>
      </c>
      <c r="B214" s="41">
        <f>+ENERO!$AG213</f>
        <v>908</v>
      </c>
      <c r="C214" s="41">
        <f>+FEBRERO!$AG213</f>
        <v>884</v>
      </c>
      <c r="D214" s="41">
        <f>+MARZO!$AG213</f>
        <v>830</v>
      </c>
      <c r="E214" s="41">
        <f>+ABRIL!$AG213</f>
        <v>813</v>
      </c>
      <c r="F214" s="41">
        <f>+MAYO!$AG213</f>
        <v>738</v>
      </c>
      <c r="G214" s="41">
        <f>+JUNIO!$AG214</f>
        <v>503</v>
      </c>
      <c r="H214" s="41">
        <f>+JULIO!$AG214</f>
        <v>735</v>
      </c>
      <c r="I214" s="41">
        <f>+AGOSTO!$AG214</f>
        <v>791</v>
      </c>
      <c r="J214" s="41">
        <f>+SEPTIEMBRE!$AG214</f>
        <v>734</v>
      </c>
      <c r="K214" s="41">
        <f>+OCTUBRE!$AG214</f>
        <v>952</v>
      </c>
      <c r="L214" s="41">
        <f>+NOVIEMBRE!$AG214</f>
        <v>824</v>
      </c>
      <c r="M214" s="41">
        <f>+DICIEMBRE!$AG214</f>
        <v>187</v>
      </c>
      <c r="N214" s="38">
        <f t="shared" si="8"/>
        <v>8899</v>
      </c>
    </row>
    <row r="215" spans="1:15" ht="19.5" thickBot="1" x14ac:dyDescent="0.3">
      <c r="A215" s="37" t="s">
        <v>12</v>
      </c>
      <c r="B215" s="36">
        <f>+ENERO!$AG214</f>
        <v>1676</v>
      </c>
      <c r="C215" s="36">
        <f>+FEBRERO!$AG214</f>
        <v>1592</v>
      </c>
      <c r="D215" s="36">
        <f>+MARZO!$AG214</f>
        <v>1966</v>
      </c>
      <c r="E215" s="36">
        <f>+ABRIL!$AG214</f>
        <v>277</v>
      </c>
      <c r="F215" s="36">
        <f>+MAYO!$AG214</f>
        <v>1101</v>
      </c>
      <c r="G215" s="36">
        <f>+JUNIO!$AG215</f>
        <v>1352</v>
      </c>
      <c r="H215" s="36">
        <f>+JULIO!$AG215</f>
        <v>1343</v>
      </c>
      <c r="I215" s="36">
        <f>+AGOSTO!$AG215</f>
        <v>1309</v>
      </c>
      <c r="J215" s="36">
        <f>+SEPTIEMBRE!$AG215</f>
        <v>993</v>
      </c>
      <c r="K215" s="36">
        <f>+OCTUBRE!$AG215</f>
        <v>929</v>
      </c>
      <c r="L215" s="36">
        <f>+NOVIEMBRE!$AG215</f>
        <v>1659</v>
      </c>
      <c r="M215" s="36">
        <f>+DICIEMBRE!$AG215</f>
        <v>381</v>
      </c>
      <c r="N215" s="33">
        <f t="shared" si="8"/>
        <v>14578</v>
      </c>
    </row>
    <row r="216" spans="1:15" ht="18.75" x14ac:dyDescent="0.25">
      <c r="A216" s="32" t="s">
        <v>7</v>
      </c>
      <c r="B216" s="31">
        <f>+ENERO!$AG221</f>
        <v>372</v>
      </c>
      <c r="C216" s="31">
        <f>+FEBRERO!$AG221</f>
        <v>333</v>
      </c>
      <c r="D216" s="31">
        <f>+MARZO!$AG221</f>
        <v>433</v>
      </c>
      <c r="E216" s="31">
        <f>+ABRIL!$AG215</f>
        <v>42</v>
      </c>
      <c r="F216" s="31">
        <f>+MAYO!$AG215</f>
        <v>201</v>
      </c>
      <c r="G216" s="31">
        <f>+JUNIO!$AG216</f>
        <v>136</v>
      </c>
      <c r="H216" s="31">
        <f>+JULIO!$AG216</f>
        <v>63</v>
      </c>
      <c r="I216" s="31">
        <f>+AGOSTO!$AG216</f>
        <v>34</v>
      </c>
      <c r="J216" s="31">
        <f>+SEPTIEMBRE!$AG216</f>
        <v>12</v>
      </c>
      <c r="K216" s="31">
        <f>+OCTUBRE!$AG216</f>
        <v>45</v>
      </c>
      <c r="L216" s="31">
        <f>+NOVIEMBRE!$AG216</f>
        <v>143</v>
      </c>
      <c r="M216" s="31">
        <f>+DICIEMBRE!$AG216</f>
        <v>24</v>
      </c>
      <c r="N216" s="28">
        <f t="shared" si="8"/>
        <v>1838</v>
      </c>
    </row>
    <row r="217" spans="1:15" ht="18.75" x14ac:dyDescent="0.25">
      <c r="A217" s="27" t="s">
        <v>11</v>
      </c>
      <c r="B217" s="25">
        <f>+ENERO!$AG215</f>
        <v>1298</v>
      </c>
      <c r="C217" s="25">
        <f>+FEBRERO!$AG215</f>
        <v>1244</v>
      </c>
      <c r="D217" s="25">
        <f>+MARZO!$AG215</f>
        <v>1496</v>
      </c>
      <c r="E217" s="25">
        <f>+ABRIL!$AG216</f>
        <v>230</v>
      </c>
      <c r="F217" s="25">
        <f>+MAYO!$AG216</f>
        <v>802</v>
      </c>
      <c r="G217" s="25">
        <f>+JUNIO!$AG217</f>
        <v>1135</v>
      </c>
      <c r="H217" s="25">
        <f>+JULIO!$AG217</f>
        <v>1099</v>
      </c>
      <c r="I217" s="25">
        <f>+AGOSTO!$AG217</f>
        <v>1208</v>
      </c>
      <c r="J217" s="25">
        <f>+SEPTIEMBRE!$AG217</f>
        <v>909</v>
      </c>
      <c r="K217" s="25">
        <f>+OCTUBRE!$AG217</f>
        <v>827</v>
      </c>
      <c r="L217" s="25">
        <f>+NOVIEMBRE!$AG217</f>
        <v>1314</v>
      </c>
      <c r="M217" s="25">
        <f>+DICIEMBRE!$AG217</f>
        <v>323</v>
      </c>
      <c r="N217" s="21">
        <f t="shared" si="8"/>
        <v>11885</v>
      </c>
    </row>
    <row r="218" spans="1:15" ht="18.75" x14ac:dyDescent="0.25">
      <c r="A218" s="26" t="s">
        <v>169</v>
      </c>
      <c r="B218" s="367"/>
      <c r="C218" s="367"/>
      <c r="D218" s="367"/>
      <c r="E218" s="367"/>
      <c r="F218" s="367"/>
      <c r="G218" s="367"/>
      <c r="H218" s="367"/>
      <c r="I218" s="367"/>
      <c r="J218" s="367"/>
      <c r="K218" s="367"/>
      <c r="L218" s="367"/>
      <c r="M218" s="367"/>
      <c r="N218" s="21">
        <f t="shared" si="8"/>
        <v>0</v>
      </c>
    </row>
    <row r="219" spans="1:15" ht="19.5" thickBot="1" x14ac:dyDescent="0.3">
      <c r="A219" s="26" t="s">
        <v>8</v>
      </c>
      <c r="B219" s="25">
        <f>+ENERO!$AG220</f>
        <v>5</v>
      </c>
      <c r="C219" s="25">
        <f>+FEBRERO!$AG220</f>
        <v>7</v>
      </c>
      <c r="D219" s="25">
        <f>+MARZO!$AG220</f>
        <v>31</v>
      </c>
      <c r="E219" s="25">
        <f>+ABRIL!$AG217</f>
        <v>0</v>
      </c>
      <c r="F219" s="25">
        <f>+MAYO!$AG217</f>
        <v>98</v>
      </c>
      <c r="G219" s="25">
        <f>+JUNIO!$AG218</f>
        <v>81</v>
      </c>
      <c r="H219" s="25">
        <f>+JULIO!$AG218</f>
        <v>181</v>
      </c>
      <c r="I219" s="25">
        <f>+AGOSTO!$AG218</f>
        <v>5</v>
      </c>
      <c r="J219" s="25">
        <f>+SEPTIEMBRE!$AG218</f>
        <v>0</v>
      </c>
      <c r="K219" s="25">
        <f>+OCTUBRE!$AG218</f>
        <v>5</v>
      </c>
      <c r="L219" s="25">
        <f>+NOVIEMBRE!$AG218</f>
        <v>2</v>
      </c>
      <c r="M219" s="25">
        <f>+DICIEMBRE!$AG218</f>
        <v>0</v>
      </c>
      <c r="N219" s="21">
        <f t="shared" si="8"/>
        <v>415</v>
      </c>
    </row>
    <row r="220" spans="1:15" ht="19.5" thickBot="1" x14ac:dyDescent="0.3">
      <c r="A220" s="144" t="s">
        <v>164</v>
      </c>
      <c r="B220" s="360"/>
      <c r="C220" s="360"/>
      <c r="D220" s="360"/>
      <c r="E220" s="143">
        <f>+ABRIL!$AG218</f>
        <v>174</v>
      </c>
      <c r="F220" s="143">
        <f>+MAYO!$AG218</f>
        <v>867</v>
      </c>
      <c r="G220" s="143">
        <f>+JUNIO!$AG219</f>
        <v>622</v>
      </c>
      <c r="H220" s="143">
        <f>+JULIO!$AG219</f>
        <v>406</v>
      </c>
      <c r="I220" s="143">
        <f>+AGOSTO!$AG219</f>
        <v>62</v>
      </c>
      <c r="J220" s="143">
        <f>+SEPTIEMBRE!$AG219</f>
        <v>72</v>
      </c>
      <c r="K220" s="143">
        <f>+OCTUBRE!$AG219</f>
        <v>52</v>
      </c>
      <c r="L220" s="143">
        <f>+NOVIEMBRE!$AG219</f>
        <v>200</v>
      </c>
      <c r="M220" s="143">
        <f>+DICIEMBRE!$AG219</f>
        <v>34</v>
      </c>
      <c r="N220" s="86">
        <f t="shared" si="8"/>
        <v>2489</v>
      </c>
    </row>
    <row r="221" spans="1:15" ht="18.75" x14ac:dyDescent="0.25">
      <c r="A221" s="223" t="s">
        <v>165</v>
      </c>
      <c r="B221" s="228"/>
      <c r="C221" s="228"/>
      <c r="D221" s="228"/>
      <c r="E221" s="218">
        <f>+ABRIL!$AG219</f>
        <v>43</v>
      </c>
      <c r="F221" s="218">
        <f>+MAYO!$AG219</f>
        <v>162</v>
      </c>
      <c r="G221" s="218">
        <f>+JUNIO!$AG220</f>
        <v>74</v>
      </c>
      <c r="H221" s="218">
        <f>+JULIO!$AG220</f>
        <v>28</v>
      </c>
      <c r="I221" s="218">
        <f>+AGOSTO!$AG220</f>
        <v>216</v>
      </c>
      <c r="J221" s="218">
        <f>+SEPTIEMBRE!$AG220</f>
        <v>102</v>
      </c>
      <c r="K221" s="218">
        <f>+OCTUBRE!$AG220</f>
        <v>321</v>
      </c>
      <c r="L221" s="218">
        <f>+NOVIEMBRE!$AG220</f>
        <v>363</v>
      </c>
      <c r="M221" s="218">
        <f>+DICIEMBRE!$AG220</f>
        <v>128</v>
      </c>
      <c r="N221" s="225">
        <f t="shared" si="8"/>
        <v>1437</v>
      </c>
    </row>
    <row r="222" spans="1:15" ht="18.75" x14ac:dyDescent="0.25">
      <c r="A222" s="230" t="s">
        <v>166</v>
      </c>
      <c r="B222" s="245"/>
      <c r="C222" s="245"/>
      <c r="D222" s="245"/>
      <c r="E222" s="124">
        <f>+ABRIL!$AG220</f>
        <v>130</v>
      </c>
      <c r="F222" s="124">
        <f>+MAYO!$AG220</f>
        <v>703</v>
      </c>
      <c r="G222" s="124">
        <f>+JUNIO!$AG221</f>
        <v>548</v>
      </c>
      <c r="H222" s="124">
        <f>+JULIO!$AG221</f>
        <v>378</v>
      </c>
      <c r="I222" s="124">
        <f>+AGOSTO!$AG221</f>
        <v>3</v>
      </c>
      <c r="J222" s="124">
        <f>+SEPTIEMBRE!$AG221</f>
        <v>7</v>
      </c>
      <c r="K222" s="124">
        <f>+OCTUBRE!$AG221</f>
        <v>6</v>
      </c>
      <c r="L222" s="124">
        <f>+NOVIEMBRE!$AG221</f>
        <v>47</v>
      </c>
      <c r="M222" s="124">
        <f>+DICIEMBRE!$AG221</f>
        <v>15</v>
      </c>
      <c r="N222" s="122">
        <f t="shared" si="8"/>
        <v>1837</v>
      </c>
    </row>
    <row r="223" spans="1:15" ht="19.5" thickBot="1" x14ac:dyDescent="0.3">
      <c r="A223" s="141" t="s">
        <v>167</v>
      </c>
      <c r="B223" s="229"/>
      <c r="C223" s="229"/>
      <c r="D223" s="229"/>
      <c r="E223" s="140">
        <f>+ABRIL!$AG221</f>
        <v>1</v>
      </c>
      <c r="F223" s="140">
        <f>+MAYO!$AG221</f>
        <v>2</v>
      </c>
      <c r="G223" s="140">
        <f>+JUNIO!$AG222</f>
        <v>0</v>
      </c>
      <c r="H223" s="140">
        <f>+JULIO!$AG222</f>
        <v>0</v>
      </c>
      <c r="I223" s="140">
        <f>+AGOSTO!$AG222</f>
        <v>213</v>
      </c>
      <c r="J223" s="140">
        <f>+SEPTIEMBRE!$AG222</f>
        <v>95</v>
      </c>
      <c r="K223" s="140">
        <f>+OCTUBRE!$AG222</f>
        <v>289</v>
      </c>
      <c r="L223" s="140">
        <f>+NOVIEMBRE!$AG222</f>
        <v>306</v>
      </c>
      <c r="M223" s="140">
        <f>+DICIEMBRE!$AG222</f>
        <v>113</v>
      </c>
      <c r="N223" s="138">
        <f t="shared" si="8"/>
        <v>1019</v>
      </c>
    </row>
    <row r="224" spans="1:15" ht="18.75" x14ac:dyDescent="0.25">
      <c r="A224" s="9" t="s">
        <v>4</v>
      </c>
      <c r="B224" s="8">
        <f>+ENERO!$AG224</f>
        <v>297</v>
      </c>
      <c r="C224" s="8">
        <f>+FEBRERO!$AG224</f>
        <v>256</v>
      </c>
      <c r="D224" s="8">
        <f>+MARZO!$AG224</f>
        <v>271</v>
      </c>
      <c r="E224" s="8">
        <f>+ABRIL!$AG222</f>
        <v>259</v>
      </c>
      <c r="F224" s="8">
        <f>+MAYO!$AG222</f>
        <v>190</v>
      </c>
      <c r="G224" s="8">
        <f>+JUNIO!$AG223</f>
        <v>264</v>
      </c>
      <c r="H224" s="8">
        <f>+JULIO!$AG223</f>
        <v>260</v>
      </c>
      <c r="I224" s="8">
        <f>+AGOSTO!$AG223</f>
        <v>0</v>
      </c>
      <c r="J224" s="8">
        <f>+SEPTIEMBRE!$AG223</f>
        <v>0</v>
      </c>
      <c r="K224" s="8">
        <f>+OCTUBRE!$AG223</f>
        <v>26</v>
      </c>
      <c r="L224" s="8">
        <f>+NOVIEMBRE!$AG223</f>
        <v>10</v>
      </c>
      <c r="M224" s="8">
        <f>+DICIEMBRE!$AG223</f>
        <v>0</v>
      </c>
      <c r="N224" s="7">
        <f t="shared" ref="N224:N227" si="9">SUM(B224:M224)</f>
        <v>1833</v>
      </c>
      <c r="O224" s="406" t="s">
        <v>3</v>
      </c>
    </row>
    <row r="225" spans="1:15" ht="18.75" x14ac:dyDescent="0.25">
      <c r="A225" s="6" t="s">
        <v>2</v>
      </c>
      <c r="B225" s="3">
        <f>+ENERO!$AG225</f>
        <v>149</v>
      </c>
      <c r="C225" s="3">
        <f>+FEBRERO!$AG225</f>
        <v>131</v>
      </c>
      <c r="D225" s="3">
        <f>+MARZO!$AG225</f>
        <v>151</v>
      </c>
      <c r="E225" s="3">
        <f>+ABRIL!$AG223</f>
        <v>113</v>
      </c>
      <c r="F225" s="3">
        <f>+MAYO!$AG223</f>
        <v>104</v>
      </c>
      <c r="G225" s="3">
        <f>+JUNIO!$AG224</f>
        <v>138</v>
      </c>
      <c r="H225" s="3">
        <f>+JULIO!$AG224</f>
        <v>121</v>
      </c>
      <c r="I225" s="3">
        <f>+AGOSTO!$AG224</f>
        <v>209</v>
      </c>
      <c r="J225" s="3">
        <f>+SEPTIEMBRE!$AG224</f>
        <v>214</v>
      </c>
      <c r="K225" s="3">
        <f>+OCTUBRE!$AG224</f>
        <v>181</v>
      </c>
      <c r="L225" s="3">
        <f>+NOVIEMBRE!$AG224</f>
        <v>222</v>
      </c>
      <c r="M225" s="3">
        <f>+DICIEMBRE!$AG224</f>
        <v>59</v>
      </c>
      <c r="N225" s="64">
        <f t="shared" si="9"/>
        <v>1792</v>
      </c>
      <c r="O225" s="407"/>
    </row>
    <row r="226" spans="1:15" ht="18.75" x14ac:dyDescent="0.25">
      <c r="A226" s="6" t="s">
        <v>1</v>
      </c>
      <c r="B226" s="3">
        <f>+ENERO!$AG226</f>
        <v>148</v>
      </c>
      <c r="C226" s="3">
        <f>+FEBRERO!$AG226</f>
        <v>125</v>
      </c>
      <c r="D226" s="3">
        <f>+MARZO!$AG226</f>
        <v>121</v>
      </c>
      <c r="E226" s="3">
        <f>+ABRIL!$AG224</f>
        <v>146</v>
      </c>
      <c r="F226" s="3">
        <f>+MAYO!$AG224</f>
        <v>86</v>
      </c>
      <c r="G226" s="3">
        <f>+JUNIO!$AG225</f>
        <v>126</v>
      </c>
      <c r="H226" s="3">
        <f>+JULIO!$AG225</f>
        <v>139</v>
      </c>
      <c r="I226" s="3">
        <f>+AGOSTO!$AG225</f>
        <v>100</v>
      </c>
      <c r="J226" s="3">
        <f>+SEPTIEMBRE!$AG225</f>
        <v>114</v>
      </c>
      <c r="K226" s="3">
        <f>+OCTUBRE!$AG225</f>
        <v>84</v>
      </c>
      <c r="L226" s="3">
        <f>+NOVIEMBRE!$AG225</f>
        <v>124</v>
      </c>
      <c r="M226" s="3">
        <f>+DICIEMBRE!$AG225</f>
        <v>32</v>
      </c>
      <c r="N226" s="64">
        <f t="shared" si="9"/>
        <v>1345</v>
      </c>
      <c r="O226" s="407"/>
    </row>
    <row r="227" spans="1:15" ht="19.5" thickBot="1" x14ac:dyDescent="0.3">
      <c r="A227" s="239" t="s">
        <v>0</v>
      </c>
      <c r="B227" s="240">
        <f>+ENERO!$AG227</f>
        <v>0</v>
      </c>
      <c r="C227" s="240">
        <f>+FEBRERO!$AG227</f>
        <v>0</v>
      </c>
      <c r="D227" s="240">
        <f>+MARZO!$AG227</f>
        <v>0</v>
      </c>
      <c r="E227" s="240">
        <f>+ABRIL!$AG225</f>
        <v>0</v>
      </c>
      <c r="F227" s="240">
        <f>+MAYO!$AG225</f>
        <v>0</v>
      </c>
      <c r="G227" s="240">
        <f>+JUNIO!$AG226</f>
        <v>0</v>
      </c>
      <c r="H227" s="240">
        <f>+JULIO!$AG226</f>
        <v>0</v>
      </c>
      <c r="I227" s="240">
        <f>+AGOSTO!$AG226</f>
        <v>109</v>
      </c>
      <c r="J227" s="240">
        <f>+SEPTIEMBRE!$AG226</f>
        <v>100</v>
      </c>
      <c r="K227" s="240">
        <f>+OCTUBRE!$AG226</f>
        <v>97</v>
      </c>
      <c r="L227" s="240">
        <f>+NOVIEMBRE!$AG226</f>
        <v>98</v>
      </c>
      <c r="M227" s="240">
        <f>+DICIEMBRE!$AG226</f>
        <v>27</v>
      </c>
      <c r="N227" s="10">
        <f t="shared" si="9"/>
        <v>431</v>
      </c>
      <c r="O227" s="408"/>
    </row>
    <row r="247" ht="18.75" customHeight="1" x14ac:dyDescent="0.25"/>
    <row r="248" ht="18.75" customHeight="1" x14ac:dyDescent="0.25"/>
    <row r="249" ht="18.75" customHeight="1" x14ac:dyDescent="0.25"/>
    <row r="250" ht="18.75" customHeight="1" x14ac:dyDescent="0.25"/>
    <row r="251" ht="18.75" customHeight="1" x14ac:dyDescent="0.25"/>
    <row r="252" ht="18.75" customHeight="1" x14ac:dyDescent="0.25"/>
    <row r="253" ht="18.75" customHeight="1" x14ac:dyDescent="0.25"/>
    <row r="254" ht="18.75" customHeight="1" x14ac:dyDescent="0.25"/>
    <row r="255" ht="18.75" customHeight="1" x14ac:dyDescent="0.25"/>
    <row r="256" ht="18.75" customHeight="1" x14ac:dyDescent="0.25"/>
    <row r="257" ht="18.75" customHeight="1" x14ac:dyDescent="0.25"/>
    <row r="258" ht="19.5" customHeight="1" x14ac:dyDescent="0.25"/>
    <row r="260" ht="18.75" customHeight="1" x14ac:dyDescent="0.25"/>
    <row r="263" ht="18.75" customHeight="1" x14ac:dyDescent="0.25"/>
  </sheetData>
  <dataConsolidate link="1"/>
  <mergeCells count="3">
    <mergeCell ref="A1:N1"/>
    <mergeCell ref="P84:P86"/>
    <mergeCell ref="O224:O227"/>
  </mergeCells>
  <phoneticPr fontId="10" type="noConversion"/>
  <conditionalFormatting sqref="B29:M52">
    <cfRule type="cellIs" dxfId="128" priority="1" operator="lessThan">
      <formula>0</formula>
    </cfRule>
  </conditionalFormatting>
  <conditionalFormatting sqref="O81">
    <cfRule type="cellIs" dxfId="127" priority="12" operator="equal">
      <formula>"*"</formula>
    </cfRule>
  </conditionalFormatting>
  <conditionalFormatting sqref="O84 O87">
    <cfRule type="cellIs" dxfId="126" priority="13" operator="equal">
      <formula>"*"</formula>
    </cfRule>
  </conditionalFormatting>
  <conditionalFormatting sqref="O93">
    <cfRule type="cellIs" dxfId="125" priority="18" operator="equal">
      <formula>"*"</formula>
    </cfRule>
  </conditionalFormatting>
  <conditionalFormatting sqref="O130">
    <cfRule type="cellIs" dxfId="124" priority="16" operator="equal">
      <formula>"*"</formula>
    </cfRule>
  </conditionalFormatting>
  <conditionalFormatting sqref="O144:O145">
    <cfRule type="cellIs" dxfId="123" priority="17" operator="equal">
      <formula>"*"</formula>
    </cfRule>
  </conditionalFormatting>
  <conditionalFormatting sqref="O182">
    <cfRule type="cellIs" dxfId="122" priority="15" operator="equal">
      <formula>"*"</formula>
    </cfRule>
  </conditionalFormatting>
  <conditionalFormatting sqref="O209">
    <cfRule type="cellIs" dxfId="121" priority="11" operator="equal">
      <formula>"X"</formula>
    </cfRule>
  </conditionalFormatting>
  <dataValidations disablePrompts="1" count="1">
    <dataValidation type="whole" allowBlank="1" showInputMessage="1" showErrorMessage="1" errorTitle="ERROR" error="Por favor ingrese solo Números" sqref="A98:A99 A101:A115" xr:uid="{E494CD26-D1B0-44A7-9BA5-8A701A51F5B2}">
      <formula1>0</formula1>
      <formula2>1000000000</formula2>
    </dataValidation>
  </dataValidations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A1:AI263"/>
  <sheetViews>
    <sheetView zoomScale="80" zoomScaleNormal="80" workbookViewId="0">
      <pane xSplit="1" ySplit="3" topLeftCell="B4" activePane="bottomRight" state="frozen"/>
      <selection activeCell="AG3" sqref="AG3"/>
      <selection pane="topRight" activeCell="AG3" sqref="AG3"/>
      <selection pane="bottomLeft" activeCell="AG3" sqref="AG3"/>
      <selection pane="bottomRight" activeCell="B4" sqref="B4"/>
    </sheetView>
  </sheetViews>
  <sheetFormatPr baseColWidth="10" defaultRowHeight="15" x14ac:dyDescent="0.25"/>
  <cols>
    <col min="1" max="1" width="34.7109375" customWidth="1"/>
    <col min="2" max="13" width="8.28515625" customWidth="1"/>
    <col min="14" max="14" width="10.140625" customWidth="1"/>
    <col min="15" max="27" width="8.28515625" customWidth="1"/>
    <col min="28" max="28" width="9.7109375" customWidth="1"/>
    <col min="29" max="32" width="8.28515625" customWidth="1"/>
    <col min="33" max="33" width="11.140625" customWidth="1"/>
    <col min="34" max="34" width="12.42578125" customWidth="1"/>
  </cols>
  <sheetData>
    <row r="1" spans="1:33" ht="21.75" thickBot="1" x14ac:dyDescent="0.3">
      <c r="A1" s="400"/>
      <c r="B1" s="401"/>
      <c r="C1" s="401"/>
      <c r="D1" s="401"/>
      <c r="E1" s="401"/>
      <c r="F1" s="401"/>
      <c r="G1" s="401"/>
      <c r="H1" s="401"/>
      <c r="I1" s="401"/>
      <c r="J1" s="401"/>
      <c r="K1" s="401"/>
      <c r="L1" s="401"/>
      <c r="M1" s="401"/>
      <c r="N1" s="401"/>
      <c r="O1" s="401"/>
      <c r="P1" s="401"/>
      <c r="Q1" s="401"/>
      <c r="R1" s="401"/>
      <c r="S1" s="401"/>
      <c r="T1" s="401"/>
      <c r="U1" s="401"/>
      <c r="V1" s="401"/>
      <c r="W1" s="401"/>
      <c r="X1" s="401"/>
      <c r="Y1" s="401"/>
      <c r="Z1" s="401"/>
      <c r="AA1" s="401"/>
      <c r="AB1" s="401"/>
      <c r="AC1" s="401"/>
      <c r="AD1" s="401"/>
      <c r="AE1" s="401"/>
      <c r="AF1" s="401"/>
      <c r="AG1" s="402"/>
    </row>
    <row r="2" spans="1:33" ht="21.75" thickBot="1" x14ac:dyDescent="0.3">
      <c r="A2" s="298" t="s">
        <v>151</v>
      </c>
      <c r="B2" s="354">
        <v>1</v>
      </c>
      <c r="C2" s="217">
        <f t="shared" ref="C2:AA2" si="0">+B2+1</f>
        <v>2</v>
      </c>
      <c r="D2" s="217">
        <f t="shared" si="0"/>
        <v>3</v>
      </c>
      <c r="E2" s="215">
        <f t="shared" si="0"/>
        <v>4</v>
      </c>
      <c r="F2" s="215">
        <f t="shared" si="0"/>
        <v>5</v>
      </c>
      <c r="G2" s="215">
        <f t="shared" si="0"/>
        <v>6</v>
      </c>
      <c r="H2" s="215">
        <f t="shared" si="0"/>
        <v>7</v>
      </c>
      <c r="I2" s="215">
        <f t="shared" si="0"/>
        <v>8</v>
      </c>
      <c r="J2" s="217">
        <f t="shared" si="0"/>
        <v>9</v>
      </c>
      <c r="K2" s="217">
        <f t="shared" si="0"/>
        <v>10</v>
      </c>
      <c r="L2" s="215">
        <f t="shared" si="0"/>
        <v>11</v>
      </c>
      <c r="M2" s="215">
        <f t="shared" si="0"/>
        <v>12</v>
      </c>
      <c r="N2" s="215">
        <f t="shared" si="0"/>
        <v>13</v>
      </c>
      <c r="O2" s="215">
        <f t="shared" si="0"/>
        <v>14</v>
      </c>
      <c r="P2" s="215">
        <f t="shared" si="0"/>
        <v>15</v>
      </c>
      <c r="Q2" s="217">
        <f t="shared" si="0"/>
        <v>16</v>
      </c>
      <c r="R2" s="217">
        <f t="shared" si="0"/>
        <v>17</v>
      </c>
      <c r="S2" s="215">
        <f t="shared" si="0"/>
        <v>18</v>
      </c>
      <c r="T2" s="215">
        <f t="shared" si="0"/>
        <v>19</v>
      </c>
      <c r="U2" s="215">
        <f t="shared" si="0"/>
        <v>20</v>
      </c>
      <c r="V2" s="215">
        <f t="shared" si="0"/>
        <v>21</v>
      </c>
      <c r="W2" s="215">
        <f t="shared" si="0"/>
        <v>22</v>
      </c>
      <c r="X2" s="217">
        <f t="shared" si="0"/>
        <v>23</v>
      </c>
      <c r="Y2" s="217">
        <f t="shared" si="0"/>
        <v>24</v>
      </c>
      <c r="Z2" s="215">
        <f t="shared" si="0"/>
        <v>25</v>
      </c>
      <c r="AA2" s="215">
        <f t="shared" si="0"/>
        <v>26</v>
      </c>
      <c r="AB2" s="215">
        <v>27</v>
      </c>
      <c r="AC2" s="215">
        <f>+AB2+1</f>
        <v>28</v>
      </c>
      <c r="AD2" s="215">
        <v>29</v>
      </c>
      <c r="AE2" s="217">
        <v>30</v>
      </c>
      <c r="AF2" s="217">
        <v>31</v>
      </c>
      <c r="AG2" s="214" t="s">
        <v>148</v>
      </c>
    </row>
    <row r="3" spans="1:33" ht="19.5" thickBot="1" x14ac:dyDescent="0.3">
      <c r="A3" s="299" t="s">
        <v>147</v>
      </c>
      <c r="B3" s="247">
        <f t="shared" ref="B3:AF3" si="1">SUM(B4:B27)</f>
        <v>123</v>
      </c>
      <c r="C3" s="120">
        <f t="shared" si="1"/>
        <v>143</v>
      </c>
      <c r="D3" s="120">
        <f t="shared" si="1"/>
        <v>148</v>
      </c>
      <c r="E3" s="120">
        <f t="shared" si="1"/>
        <v>140</v>
      </c>
      <c r="F3" s="120">
        <f t="shared" si="1"/>
        <v>133</v>
      </c>
      <c r="G3" s="120">
        <f t="shared" si="1"/>
        <v>119</v>
      </c>
      <c r="H3" s="120">
        <f t="shared" si="1"/>
        <v>139</v>
      </c>
      <c r="I3" s="120">
        <f t="shared" si="1"/>
        <v>122</v>
      </c>
      <c r="J3" s="120">
        <f t="shared" si="1"/>
        <v>125</v>
      </c>
      <c r="K3" s="120">
        <f t="shared" si="1"/>
        <v>149</v>
      </c>
      <c r="L3" s="120">
        <f t="shared" si="1"/>
        <v>145</v>
      </c>
      <c r="M3" s="120">
        <f t="shared" si="1"/>
        <v>111</v>
      </c>
      <c r="N3" s="120">
        <f t="shared" si="1"/>
        <v>148</v>
      </c>
      <c r="O3" s="120">
        <f t="shared" si="1"/>
        <v>114</v>
      </c>
      <c r="P3" s="120">
        <f t="shared" si="1"/>
        <v>111</v>
      </c>
      <c r="Q3" s="120">
        <f t="shared" si="1"/>
        <v>128</v>
      </c>
      <c r="R3" s="120">
        <f t="shared" si="1"/>
        <v>159</v>
      </c>
      <c r="S3" s="120">
        <f t="shared" si="1"/>
        <v>170</v>
      </c>
      <c r="T3" s="120">
        <f t="shared" si="1"/>
        <v>153</v>
      </c>
      <c r="U3" s="120">
        <f t="shared" si="1"/>
        <v>135</v>
      </c>
      <c r="V3" s="120">
        <f t="shared" si="1"/>
        <v>137</v>
      </c>
      <c r="W3" s="120">
        <f t="shared" si="1"/>
        <v>145</v>
      </c>
      <c r="X3" s="120">
        <f t="shared" si="1"/>
        <v>133</v>
      </c>
      <c r="Y3" s="120">
        <f t="shared" si="1"/>
        <v>131</v>
      </c>
      <c r="Z3" s="120">
        <f t="shared" si="1"/>
        <v>173</v>
      </c>
      <c r="AA3" s="120">
        <f t="shared" si="1"/>
        <v>196</v>
      </c>
      <c r="AB3" s="120">
        <f t="shared" si="1"/>
        <v>164</v>
      </c>
      <c r="AC3" s="120">
        <f t="shared" si="1"/>
        <v>154</v>
      </c>
      <c r="AD3" s="120">
        <f t="shared" si="1"/>
        <v>132</v>
      </c>
      <c r="AE3" s="120">
        <f t="shared" si="1"/>
        <v>164</v>
      </c>
      <c r="AF3" s="120">
        <f t="shared" si="1"/>
        <v>137</v>
      </c>
      <c r="AG3" s="118">
        <f t="shared" ref="AG3:AG66" si="2">SUM(B3:AF3)</f>
        <v>4381</v>
      </c>
    </row>
    <row r="4" spans="1:33" ht="18.75" x14ac:dyDescent="0.25">
      <c r="A4" s="300" t="s">
        <v>144</v>
      </c>
      <c r="B4" s="248">
        <v>2</v>
      </c>
      <c r="C4" s="199">
        <v>5</v>
      </c>
      <c r="D4" s="199">
        <v>6</v>
      </c>
      <c r="E4" s="199">
        <v>6</v>
      </c>
      <c r="F4" s="199">
        <v>2</v>
      </c>
      <c r="G4" s="199">
        <v>1</v>
      </c>
      <c r="H4" s="199">
        <v>1</v>
      </c>
      <c r="I4" s="199">
        <v>3</v>
      </c>
      <c r="J4" s="199">
        <v>1</v>
      </c>
      <c r="K4" s="199">
        <v>2</v>
      </c>
      <c r="L4" s="199">
        <v>3</v>
      </c>
      <c r="M4" s="199">
        <v>2</v>
      </c>
      <c r="N4" s="199">
        <v>4</v>
      </c>
      <c r="O4" s="199">
        <v>5</v>
      </c>
      <c r="P4" s="199">
        <v>2</v>
      </c>
      <c r="Q4" s="199">
        <v>2</v>
      </c>
      <c r="R4" s="199">
        <v>4</v>
      </c>
      <c r="S4" s="199">
        <v>2</v>
      </c>
      <c r="T4" s="199">
        <v>7</v>
      </c>
      <c r="U4" s="199"/>
      <c r="V4" s="199">
        <v>2</v>
      </c>
      <c r="W4" s="199">
        <v>4</v>
      </c>
      <c r="X4" s="199">
        <v>4</v>
      </c>
      <c r="Y4" s="199">
        <v>7</v>
      </c>
      <c r="Z4" s="199">
        <v>6</v>
      </c>
      <c r="AA4" s="199">
        <v>12</v>
      </c>
      <c r="AB4" s="199">
        <v>4</v>
      </c>
      <c r="AC4" s="199">
        <v>6</v>
      </c>
      <c r="AD4" s="199">
        <v>3</v>
      </c>
      <c r="AE4" s="199">
        <v>5</v>
      </c>
      <c r="AF4" s="206">
        <v>4</v>
      </c>
      <c r="AG4" s="134">
        <f t="shared" si="2"/>
        <v>117</v>
      </c>
    </row>
    <row r="5" spans="1:33" ht="18.75" x14ac:dyDescent="0.25">
      <c r="A5" s="301" t="s">
        <v>143</v>
      </c>
      <c r="B5" s="249">
        <v>2</v>
      </c>
      <c r="C5" s="162">
        <v>11</v>
      </c>
      <c r="D5" s="162">
        <v>3</v>
      </c>
      <c r="E5" s="162">
        <v>6</v>
      </c>
      <c r="F5" s="162">
        <v>2</v>
      </c>
      <c r="G5" s="162">
        <v>2</v>
      </c>
      <c r="H5" s="162">
        <v>1</v>
      </c>
      <c r="I5" s="162">
        <v>1</v>
      </c>
      <c r="J5" s="162">
        <v>4</v>
      </c>
      <c r="K5" s="162">
        <v>5</v>
      </c>
      <c r="L5" s="162">
        <v>5</v>
      </c>
      <c r="M5" s="162">
        <v>1</v>
      </c>
      <c r="N5" s="162">
        <v>3</v>
      </c>
      <c r="O5" s="162">
        <v>4</v>
      </c>
      <c r="P5" s="162"/>
      <c r="Q5" s="162">
        <v>4</v>
      </c>
      <c r="R5" s="162">
        <v>5</v>
      </c>
      <c r="S5" s="162">
        <v>5</v>
      </c>
      <c r="T5" s="162">
        <v>6</v>
      </c>
      <c r="U5" s="162">
        <v>6</v>
      </c>
      <c r="V5" s="162">
        <v>5</v>
      </c>
      <c r="W5" s="162">
        <v>3</v>
      </c>
      <c r="X5" s="162">
        <v>6</v>
      </c>
      <c r="Y5" s="162">
        <v>3</v>
      </c>
      <c r="Z5" s="162">
        <v>2</v>
      </c>
      <c r="AA5" s="162">
        <v>8</v>
      </c>
      <c r="AB5" s="162">
        <v>7</v>
      </c>
      <c r="AC5" s="162">
        <v>5</v>
      </c>
      <c r="AD5" s="162">
        <v>3</v>
      </c>
      <c r="AE5" s="162">
        <v>6</v>
      </c>
      <c r="AF5" s="161">
        <v>5</v>
      </c>
      <c r="AG5" s="64">
        <f t="shared" si="2"/>
        <v>129</v>
      </c>
    </row>
    <row r="6" spans="1:33" ht="18.75" x14ac:dyDescent="0.25">
      <c r="A6" s="301" t="s">
        <v>142</v>
      </c>
      <c r="B6" s="249">
        <v>5</v>
      </c>
      <c r="C6" s="162">
        <v>12</v>
      </c>
      <c r="D6" s="162">
        <v>7</v>
      </c>
      <c r="E6" s="162">
        <v>2</v>
      </c>
      <c r="F6" s="162">
        <v>1</v>
      </c>
      <c r="G6" s="162">
        <v>3</v>
      </c>
      <c r="H6" s="162">
        <v>6</v>
      </c>
      <c r="I6" s="162">
        <v>4</v>
      </c>
      <c r="J6" s="162">
        <v>14</v>
      </c>
      <c r="K6" s="162">
        <v>8</v>
      </c>
      <c r="L6" s="162">
        <v>5</v>
      </c>
      <c r="M6" s="162">
        <v>2</v>
      </c>
      <c r="N6" s="162">
        <v>4</v>
      </c>
      <c r="O6" s="162">
        <v>2</v>
      </c>
      <c r="P6" s="162">
        <v>1</v>
      </c>
      <c r="Q6" s="162">
        <v>2</v>
      </c>
      <c r="R6" s="162">
        <v>6</v>
      </c>
      <c r="S6" s="162">
        <v>3</v>
      </c>
      <c r="T6" s="162">
        <v>5</v>
      </c>
      <c r="U6" s="162">
        <v>5</v>
      </c>
      <c r="V6" s="162">
        <v>2</v>
      </c>
      <c r="W6" s="162">
        <v>1</v>
      </c>
      <c r="X6" s="162">
        <v>8</v>
      </c>
      <c r="Y6" s="162">
        <v>5</v>
      </c>
      <c r="Z6" s="162">
        <v>11</v>
      </c>
      <c r="AA6" s="162">
        <v>13</v>
      </c>
      <c r="AB6" s="162">
        <v>11</v>
      </c>
      <c r="AC6" s="162">
        <v>8</v>
      </c>
      <c r="AD6" s="162">
        <v>5</v>
      </c>
      <c r="AE6" s="162">
        <v>14</v>
      </c>
      <c r="AF6" s="161">
        <v>11</v>
      </c>
      <c r="AG6" s="64">
        <f t="shared" si="2"/>
        <v>186</v>
      </c>
    </row>
    <row r="7" spans="1:33" ht="18.75" x14ac:dyDescent="0.25">
      <c r="A7" s="301" t="s">
        <v>141</v>
      </c>
      <c r="B7" s="249">
        <v>7</v>
      </c>
      <c r="C7" s="162">
        <v>4</v>
      </c>
      <c r="D7" s="162">
        <v>5</v>
      </c>
      <c r="E7" s="162">
        <v>4</v>
      </c>
      <c r="F7" s="162">
        <v>1</v>
      </c>
      <c r="G7" s="162">
        <v>2</v>
      </c>
      <c r="H7" s="162">
        <v>1</v>
      </c>
      <c r="I7" s="162">
        <v>5</v>
      </c>
      <c r="J7" s="162">
        <v>9</v>
      </c>
      <c r="K7" s="162">
        <v>8</v>
      </c>
      <c r="L7" s="162"/>
      <c r="M7" s="162">
        <v>4</v>
      </c>
      <c r="N7" s="162">
        <v>5</v>
      </c>
      <c r="O7" s="162">
        <v>3</v>
      </c>
      <c r="P7" s="162">
        <v>4</v>
      </c>
      <c r="Q7" s="162">
        <v>10</v>
      </c>
      <c r="R7" s="162">
        <v>9</v>
      </c>
      <c r="S7" s="162">
        <v>4</v>
      </c>
      <c r="T7" s="162">
        <v>9</v>
      </c>
      <c r="U7" s="162">
        <v>9</v>
      </c>
      <c r="V7" s="162">
        <v>6</v>
      </c>
      <c r="W7" s="162">
        <v>3</v>
      </c>
      <c r="X7" s="162">
        <v>16</v>
      </c>
      <c r="Y7" s="162">
        <v>5</v>
      </c>
      <c r="Z7" s="162">
        <v>8</v>
      </c>
      <c r="AA7" s="162">
        <v>12</v>
      </c>
      <c r="AB7" s="162">
        <v>4</v>
      </c>
      <c r="AC7" s="162">
        <v>5</v>
      </c>
      <c r="AD7" s="162">
        <v>8</v>
      </c>
      <c r="AE7" s="162">
        <v>13</v>
      </c>
      <c r="AF7" s="161">
        <v>9</v>
      </c>
      <c r="AG7" s="64">
        <f t="shared" si="2"/>
        <v>192</v>
      </c>
    </row>
    <row r="8" spans="1:33" ht="18.75" x14ac:dyDescent="0.25">
      <c r="A8" s="301" t="s">
        <v>140</v>
      </c>
      <c r="B8" s="249">
        <v>9</v>
      </c>
      <c r="C8" s="162">
        <v>9</v>
      </c>
      <c r="D8" s="162">
        <v>13</v>
      </c>
      <c r="E8" s="162">
        <v>1</v>
      </c>
      <c r="F8" s="162">
        <v>4</v>
      </c>
      <c r="G8" s="162">
        <v>5</v>
      </c>
      <c r="H8" s="162">
        <v>8</v>
      </c>
      <c r="I8" s="162">
        <v>3</v>
      </c>
      <c r="J8" s="162">
        <v>7</v>
      </c>
      <c r="K8" s="162">
        <v>10</v>
      </c>
      <c r="L8" s="162">
        <v>8</v>
      </c>
      <c r="M8" s="162">
        <v>4</v>
      </c>
      <c r="N8" s="162">
        <v>3</v>
      </c>
      <c r="O8" s="162">
        <v>1</v>
      </c>
      <c r="P8" s="162">
        <v>2</v>
      </c>
      <c r="Q8" s="162">
        <v>13</v>
      </c>
      <c r="R8" s="162">
        <v>16</v>
      </c>
      <c r="S8" s="162">
        <v>5</v>
      </c>
      <c r="T8" s="162">
        <v>8</v>
      </c>
      <c r="U8" s="162">
        <v>7</v>
      </c>
      <c r="V8" s="162">
        <v>1</v>
      </c>
      <c r="W8" s="162">
        <v>5</v>
      </c>
      <c r="X8" s="162">
        <v>17</v>
      </c>
      <c r="Y8" s="162">
        <v>10</v>
      </c>
      <c r="Z8" s="162">
        <v>8</v>
      </c>
      <c r="AA8" s="162">
        <v>8</v>
      </c>
      <c r="AB8" s="162">
        <v>12</v>
      </c>
      <c r="AC8" s="162">
        <v>6</v>
      </c>
      <c r="AD8" s="162">
        <v>9</v>
      </c>
      <c r="AE8" s="162">
        <v>14</v>
      </c>
      <c r="AF8" s="161">
        <v>4</v>
      </c>
      <c r="AG8" s="64">
        <f t="shared" si="2"/>
        <v>230</v>
      </c>
    </row>
    <row r="9" spans="1:33" ht="18.75" x14ac:dyDescent="0.25">
      <c r="A9" s="301" t="s">
        <v>139</v>
      </c>
      <c r="B9" s="249">
        <v>13</v>
      </c>
      <c r="C9" s="162">
        <v>11</v>
      </c>
      <c r="D9" s="162">
        <v>13</v>
      </c>
      <c r="E9" s="162">
        <v>5</v>
      </c>
      <c r="F9" s="162">
        <v>2</v>
      </c>
      <c r="G9" s="162">
        <v>1</v>
      </c>
      <c r="H9" s="162">
        <v>5</v>
      </c>
      <c r="I9" s="162">
        <v>1</v>
      </c>
      <c r="J9" s="162">
        <v>7</v>
      </c>
      <c r="K9" s="162">
        <v>8</v>
      </c>
      <c r="L9" s="162">
        <v>3</v>
      </c>
      <c r="M9" s="162">
        <v>2</v>
      </c>
      <c r="N9" s="162">
        <v>8</v>
      </c>
      <c r="O9" s="162">
        <v>2</v>
      </c>
      <c r="P9" s="162">
        <v>5</v>
      </c>
      <c r="Q9" s="162">
        <v>7</v>
      </c>
      <c r="R9" s="162">
        <v>7</v>
      </c>
      <c r="S9" s="162">
        <v>13</v>
      </c>
      <c r="T9" s="162">
        <v>7</v>
      </c>
      <c r="U9" s="162">
        <v>4</v>
      </c>
      <c r="V9" s="162">
        <v>3</v>
      </c>
      <c r="W9" s="162">
        <v>3</v>
      </c>
      <c r="X9" s="162">
        <v>5</v>
      </c>
      <c r="Y9" s="162">
        <v>6</v>
      </c>
      <c r="Z9" s="162">
        <v>10</v>
      </c>
      <c r="AA9" s="162">
        <v>8</v>
      </c>
      <c r="AB9" s="162">
        <v>5</v>
      </c>
      <c r="AC9" s="162">
        <v>6</v>
      </c>
      <c r="AD9" s="162">
        <v>10</v>
      </c>
      <c r="AE9" s="162">
        <v>9</v>
      </c>
      <c r="AF9" s="161">
        <v>8</v>
      </c>
      <c r="AG9" s="64">
        <f t="shared" si="2"/>
        <v>197</v>
      </c>
    </row>
    <row r="10" spans="1:33" ht="18.75" x14ac:dyDescent="0.25">
      <c r="A10" s="301" t="s">
        <v>138</v>
      </c>
      <c r="B10" s="249">
        <v>7</v>
      </c>
      <c r="C10" s="162">
        <v>5</v>
      </c>
      <c r="D10" s="162">
        <v>4</v>
      </c>
      <c r="E10" s="162">
        <v>7</v>
      </c>
      <c r="F10" s="162">
        <v>4</v>
      </c>
      <c r="G10" s="162">
        <v>4</v>
      </c>
      <c r="H10" s="162">
        <v>1</v>
      </c>
      <c r="I10" s="162">
        <v>6</v>
      </c>
      <c r="J10" s="162">
        <v>6</v>
      </c>
      <c r="K10" s="162">
        <v>3</v>
      </c>
      <c r="L10" s="162">
        <v>2</v>
      </c>
      <c r="M10" s="162">
        <v>2</v>
      </c>
      <c r="N10" s="162">
        <v>6</v>
      </c>
      <c r="O10" s="162">
        <v>1</v>
      </c>
      <c r="P10" s="162">
        <v>4</v>
      </c>
      <c r="Q10" s="162">
        <v>6</v>
      </c>
      <c r="R10" s="162">
        <v>7</v>
      </c>
      <c r="S10" s="162">
        <v>6</v>
      </c>
      <c r="T10" s="162">
        <v>3</v>
      </c>
      <c r="U10" s="162"/>
      <c r="V10" s="162">
        <v>9</v>
      </c>
      <c r="W10" s="162">
        <v>4</v>
      </c>
      <c r="X10" s="162">
        <v>5</v>
      </c>
      <c r="Y10" s="162">
        <v>7</v>
      </c>
      <c r="Z10" s="162">
        <v>13</v>
      </c>
      <c r="AA10" s="162">
        <v>17</v>
      </c>
      <c r="AB10" s="162">
        <v>2</v>
      </c>
      <c r="AC10" s="162">
        <v>11</v>
      </c>
      <c r="AD10" s="162">
        <v>4</v>
      </c>
      <c r="AE10" s="162">
        <v>7</v>
      </c>
      <c r="AF10" s="161">
        <v>7</v>
      </c>
      <c r="AG10" s="64">
        <f t="shared" si="2"/>
        <v>170</v>
      </c>
    </row>
    <row r="11" spans="1:33" ht="18.75" x14ac:dyDescent="0.25">
      <c r="A11" s="301" t="s">
        <v>137</v>
      </c>
      <c r="B11" s="249">
        <v>6</v>
      </c>
      <c r="C11" s="162">
        <v>11</v>
      </c>
      <c r="D11" s="162">
        <v>13</v>
      </c>
      <c r="E11" s="162"/>
      <c r="F11" s="162">
        <v>4</v>
      </c>
      <c r="G11" s="162">
        <v>4</v>
      </c>
      <c r="H11" s="162">
        <v>7</v>
      </c>
      <c r="I11" s="162"/>
      <c r="J11" s="162">
        <v>13</v>
      </c>
      <c r="K11" s="162">
        <v>7</v>
      </c>
      <c r="L11" s="162">
        <v>5</v>
      </c>
      <c r="M11" s="162">
        <v>3</v>
      </c>
      <c r="N11" s="162">
        <v>3</v>
      </c>
      <c r="O11" s="162">
        <v>4</v>
      </c>
      <c r="P11" s="162">
        <v>3</v>
      </c>
      <c r="Q11" s="162">
        <v>8</v>
      </c>
      <c r="R11" s="162">
        <v>18</v>
      </c>
      <c r="S11" s="162">
        <v>2</v>
      </c>
      <c r="T11" s="162">
        <v>5</v>
      </c>
      <c r="U11" s="162">
        <v>3</v>
      </c>
      <c r="V11" s="162">
        <v>3</v>
      </c>
      <c r="W11" s="162"/>
      <c r="X11" s="162">
        <v>5</v>
      </c>
      <c r="Y11" s="162">
        <v>13</v>
      </c>
      <c r="Z11" s="162">
        <v>8</v>
      </c>
      <c r="AA11" s="162">
        <v>13</v>
      </c>
      <c r="AB11" s="162">
        <v>5</v>
      </c>
      <c r="AC11" s="162">
        <v>3</v>
      </c>
      <c r="AD11" s="162">
        <v>5</v>
      </c>
      <c r="AE11" s="162">
        <v>13</v>
      </c>
      <c r="AF11" s="161">
        <v>8</v>
      </c>
      <c r="AG11" s="64">
        <f t="shared" si="2"/>
        <v>195</v>
      </c>
    </row>
    <row r="12" spans="1:33" ht="18.75" x14ac:dyDescent="0.25">
      <c r="A12" s="301" t="s">
        <v>136</v>
      </c>
      <c r="B12" s="249">
        <v>7</v>
      </c>
      <c r="C12" s="162">
        <v>14</v>
      </c>
      <c r="D12" s="162">
        <v>14</v>
      </c>
      <c r="E12" s="162">
        <v>1</v>
      </c>
      <c r="F12" s="162">
        <v>2</v>
      </c>
      <c r="G12" s="162"/>
      <c r="H12" s="162">
        <v>1</v>
      </c>
      <c r="I12" s="162">
        <v>5</v>
      </c>
      <c r="J12" s="162">
        <v>12</v>
      </c>
      <c r="K12" s="162">
        <v>16</v>
      </c>
      <c r="L12" s="162">
        <v>1</v>
      </c>
      <c r="M12" s="162">
        <v>6</v>
      </c>
      <c r="N12" s="162">
        <v>3</v>
      </c>
      <c r="O12" s="162">
        <v>2</v>
      </c>
      <c r="P12" s="162">
        <v>4</v>
      </c>
      <c r="Q12" s="162">
        <v>13</v>
      </c>
      <c r="R12" s="162">
        <v>23</v>
      </c>
      <c r="S12" s="162">
        <v>11</v>
      </c>
      <c r="T12" s="162">
        <v>12</v>
      </c>
      <c r="U12" s="162">
        <v>6</v>
      </c>
      <c r="V12" s="162">
        <v>7</v>
      </c>
      <c r="W12" s="162">
        <v>7</v>
      </c>
      <c r="X12" s="162">
        <v>6</v>
      </c>
      <c r="Y12" s="162">
        <v>10</v>
      </c>
      <c r="Z12" s="162">
        <v>16</v>
      </c>
      <c r="AA12" s="162">
        <v>9</v>
      </c>
      <c r="AB12" s="162">
        <v>13</v>
      </c>
      <c r="AC12" s="162">
        <v>11</v>
      </c>
      <c r="AD12" s="162">
        <v>14</v>
      </c>
      <c r="AE12" s="162">
        <v>9</v>
      </c>
      <c r="AF12" s="161">
        <v>16</v>
      </c>
      <c r="AG12" s="64">
        <f t="shared" si="2"/>
        <v>271</v>
      </c>
    </row>
    <row r="13" spans="1:33" ht="18.75" x14ac:dyDescent="0.25">
      <c r="A13" s="301" t="s">
        <v>135</v>
      </c>
      <c r="B13" s="249">
        <v>2</v>
      </c>
      <c r="C13" s="162">
        <v>9</v>
      </c>
      <c r="D13" s="162">
        <v>11</v>
      </c>
      <c r="E13" s="162">
        <v>39</v>
      </c>
      <c r="F13" s="162">
        <v>35</v>
      </c>
      <c r="G13" s="162">
        <v>34</v>
      </c>
      <c r="H13" s="162">
        <v>31</v>
      </c>
      <c r="I13" s="162">
        <v>33</v>
      </c>
      <c r="J13" s="162">
        <v>7</v>
      </c>
      <c r="K13" s="162">
        <v>16</v>
      </c>
      <c r="L13" s="162">
        <v>42</v>
      </c>
      <c r="M13" s="162">
        <v>24</v>
      </c>
      <c r="N13" s="162">
        <v>37</v>
      </c>
      <c r="O13" s="162">
        <v>38</v>
      </c>
      <c r="P13" s="162">
        <v>32</v>
      </c>
      <c r="Q13" s="162">
        <v>5</v>
      </c>
      <c r="R13" s="162">
        <v>10</v>
      </c>
      <c r="S13" s="162">
        <v>35</v>
      </c>
      <c r="T13" s="162">
        <v>25</v>
      </c>
      <c r="U13" s="162">
        <v>18</v>
      </c>
      <c r="V13" s="162">
        <v>32</v>
      </c>
      <c r="W13" s="162">
        <v>37</v>
      </c>
      <c r="X13" s="162">
        <v>15</v>
      </c>
      <c r="Y13" s="162">
        <v>6</v>
      </c>
      <c r="Z13" s="162">
        <v>11</v>
      </c>
      <c r="AA13" s="162">
        <v>21</v>
      </c>
      <c r="AB13" s="162">
        <v>34</v>
      </c>
      <c r="AC13" s="162">
        <v>31</v>
      </c>
      <c r="AD13" s="162">
        <v>14</v>
      </c>
      <c r="AE13" s="162">
        <v>8</v>
      </c>
      <c r="AF13" s="161">
        <v>17</v>
      </c>
      <c r="AG13" s="64">
        <f t="shared" si="2"/>
        <v>709</v>
      </c>
    </row>
    <row r="14" spans="1:33" ht="18.75" x14ac:dyDescent="0.25">
      <c r="A14" s="301" t="s">
        <v>134</v>
      </c>
      <c r="B14" s="249">
        <v>8</v>
      </c>
      <c r="C14" s="162">
        <v>12</v>
      </c>
      <c r="D14" s="162">
        <v>9</v>
      </c>
      <c r="E14" s="162">
        <v>7</v>
      </c>
      <c r="F14" s="162">
        <v>16</v>
      </c>
      <c r="G14" s="162">
        <v>10</v>
      </c>
      <c r="H14" s="162">
        <v>8</v>
      </c>
      <c r="I14" s="162">
        <v>14</v>
      </c>
      <c r="J14" s="162">
        <v>7</v>
      </c>
      <c r="K14" s="162">
        <v>12</v>
      </c>
      <c r="L14" s="162">
        <v>18</v>
      </c>
      <c r="M14" s="162">
        <v>15</v>
      </c>
      <c r="N14" s="162">
        <v>11</v>
      </c>
      <c r="O14" s="162">
        <v>10</v>
      </c>
      <c r="P14" s="162">
        <v>8</v>
      </c>
      <c r="Q14" s="162">
        <v>14</v>
      </c>
      <c r="R14" s="162">
        <v>6</v>
      </c>
      <c r="S14" s="162">
        <v>21</v>
      </c>
      <c r="T14" s="162">
        <v>15</v>
      </c>
      <c r="U14" s="162">
        <v>9</v>
      </c>
      <c r="V14" s="162">
        <v>7</v>
      </c>
      <c r="W14" s="162">
        <v>10</v>
      </c>
      <c r="X14" s="162">
        <v>7</v>
      </c>
      <c r="Y14" s="162">
        <v>9</v>
      </c>
      <c r="Z14" s="162">
        <v>19</v>
      </c>
      <c r="AA14" s="162">
        <v>19</v>
      </c>
      <c r="AB14" s="162">
        <v>18</v>
      </c>
      <c r="AC14" s="162">
        <v>27</v>
      </c>
      <c r="AD14" s="162">
        <v>11</v>
      </c>
      <c r="AE14" s="162">
        <v>14</v>
      </c>
      <c r="AF14" s="161">
        <v>11</v>
      </c>
      <c r="AG14" s="64">
        <f t="shared" si="2"/>
        <v>382</v>
      </c>
    </row>
    <row r="15" spans="1:33" ht="18.75" x14ac:dyDescent="0.25">
      <c r="A15" s="301" t="s">
        <v>133</v>
      </c>
      <c r="B15" s="249">
        <v>10</v>
      </c>
      <c r="C15" s="162">
        <v>13</v>
      </c>
      <c r="D15" s="162">
        <v>5</v>
      </c>
      <c r="E15" s="162">
        <v>15</v>
      </c>
      <c r="F15" s="162">
        <v>16</v>
      </c>
      <c r="G15" s="162">
        <v>12</v>
      </c>
      <c r="H15" s="162">
        <v>20</v>
      </c>
      <c r="I15" s="162">
        <v>12</v>
      </c>
      <c r="J15" s="162">
        <v>5</v>
      </c>
      <c r="K15" s="162">
        <v>9</v>
      </c>
      <c r="L15" s="162">
        <v>13</v>
      </c>
      <c r="M15" s="162">
        <v>10</v>
      </c>
      <c r="N15" s="162">
        <v>17</v>
      </c>
      <c r="O15" s="162">
        <v>17</v>
      </c>
      <c r="P15" s="162">
        <v>3</v>
      </c>
      <c r="Q15" s="162">
        <v>13</v>
      </c>
      <c r="R15" s="162">
        <v>12</v>
      </c>
      <c r="S15" s="162">
        <v>17</v>
      </c>
      <c r="T15" s="162">
        <v>12</v>
      </c>
      <c r="U15" s="162">
        <v>14</v>
      </c>
      <c r="V15" s="162">
        <v>8</v>
      </c>
      <c r="W15" s="162">
        <v>9</v>
      </c>
      <c r="X15" s="162">
        <v>5</v>
      </c>
      <c r="Y15" s="162">
        <v>9</v>
      </c>
      <c r="Z15" s="162">
        <v>18</v>
      </c>
      <c r="AA15" s="162">
        <v>14</v>
      </c>
      <c r="AB15" s="162">
        <v>9</v>
      </c>
      <c r="AC15" s="162">
        <v>11</v>
      </c>
      <c r="AD15" s="162">
        <v>9</v>
      </c>
      <c r="AE15" s="162">
        <v>5</v>
      </c>
      <c r="AF15" s="161">
        <v>6</v>
      </c>
      <c r="AG15" s="64">
        <f t="shared" si="2"/>
        <v>348</v>
      </c>
    </row>
    <row r="16" spans="1:33" ht="18.75" x14ac:dyDescent="0.25">
      <c r="A16" s="301" t="s">
        <v>132</v>
      </c>
      <c r="B16" s="249">
        <v>6</v>
      </c>
      <c r="C16" s="162">
        <v>2</v>
      </c>
      <c r="D16" s="162">
        <v>5</v>
      </c>
      <c r="E16" s="162">
        <v>7</v>
      </c>
      <c r="F16" s="162">
        <v>5</v>
      </c>
      <c r="G16" s="162">
        <v>5</v>
      </c>
      <c r="H16" s="162">
        <v>12</v>
      </c>
      <c r="I16" s="162">
        <v>9</v>
      </c>
      <c r="J16" s="162">
        <v>8</v>
      </c>
      <c r="K16" s="162">
        <v>7</v>
      </c>
      <c r="L16" s="162">
        <v>10</v>
      </c>
      <c r="M16" s="162">
        <v>10</v>
      </c>
      <c r="N16" s="162">
        <v>11</v>
      </c>
      <c r="O16" s="162">
        <v>6</v>
      </c>
      <c r="P16" s="162">
        <v>15</v>
      </c>
      <c r="Q16" s="162">
        <v>3</v>
      </c>
      <c r="R16" s="162">
        <v>6</v>
      </c>
      <c r="S16" s="162">
        <v>16</v>
      </c>
      <c r="T16" s="162">
        <v>7</v>
      </c>
      <c r="U16" s="162">
        <v>12</v>
      </c>
      <c r="V16" s="162">
        <v>6</v>
      </c>
      <c r="W16" s="162">
        <v>11</v>
      </c>
      <c r="X16" s="162">
        <v>5</v>
      </c>
      <c r="Y16" s="162">
        <v>10</v>
      </c>
      <c r="Z16" s="162">
        <v>11</v>
      </c>
      <c r="AA16" s="162">
        <v>9</v>
      </c>
      <c r="AB16" s="162">
        <v>10</v>
      </c>
      <c r="AC16" s="162">
        <v>3</v>
      </c>
      <c r="AD16" s="162">
        <v>9</v>
      </c>
      <c r="AE16" s="162">
        <v>13</v>
      </c>
      <c r="AF16" s="161">
        <v>11</v>
      </c>
      <c r="AG16" s="64">
        <f t="shared" si="2"/>
        <v>260</v>
      </c>
    </row>
    <row r="17" spans="1:33" ht="18.75" x14ac:dyDescent="0.25">
      <c r="A17" s="301" t="s">
        <v>131</v>
      </c>
      <c r="B17" s="249">
        <v>8</v>
      </c>
      <c r="C17" s="162">
        <v>6</v>
      </c>
      <c r="D17" s="162">
        <v>13</v>
      </c>
      <c r="E17" s="162">
        <v>14</v>
      </c>
      <c r="F17" s="162">
        <v>9</v>
      </c>
      <c r="G17" s="162">
        <v>7</v>
      </c>
      <c r="H17" s="162">
        <v>14</v>
      </c>
      <c r="I17" s="162">
        <v>7</v>
      </c>
      <c r="J17" s="162">
        <v>5</v>
      </c>
      <c r="K17" s="162">
        <v>13</v>
      </c>
      <c r="L17" s="162">
        <v>6</v>
      </c>
      <c r="M17" s="162">
        <v>10</v>
      </c>
      <c r="N17" s="162">
        <v>9</v>
      </c>
      <c r="O17" s="162">
        <v>7</v>
      </c>
      <c r="P17" s="162">
        <v>7</v>
      </c>
      <c r="Q17" s="162">
        <v>8</v>
      </c>
      <c r="R17" s="162">
        <v>8</v>
      </c>
      <c r="S17" s="162">
        <v>8</v>
      </c>
      <c r="T17" s="162">
        <v>9</v>
      </c>
      <c r="U17" s="162">
        <v>12</v>
      </c>
      <c r="V17" s="162">
        <v>14</v>
      </c>
      <c r="W17" s="162">
        <v>12</v>
      </c>
      <c r="X17" s="162">
        <v>7</v>
      </c>
      <c r="Y17" s="162">
        <v>13</v>
      </c>
      <c r="Z17" s="162">
        <v>14</v>
      </c>
      <c r="AA17" s="162">
        <v>8</v>
      </c>
      <c r="AB17" s="162">
        <v>6</v>
      </c>
      <c r="AC17" s="162">
        <v>12</v>
      </c>
      <c r="AD17" s="162">
        <v>8</v>
      </c>
      <c r="AE17" s="162">
        <v>9</v>
      </c>
      <c r="AF17" s="161">
        <v>4</v>
      </c>
      <c r="AG17" s="64">
        <f t="shared" si="2"/>
        <v>287</v>
      </c>
    </row>
    <row r="18" spans="1:33" ht="18.75" x14ac:dyDescent="0.25">
      <c r="A18" s="301" t="s">
        <v>130</v>
      </c>
      <c r="B18" s="249">
        <v>6</v>
      </c>
      <c r="C18" s="162">
        <v>5</v>
      </c>
      <c r="D18" s="162">
        <v>12</v>
      </c>
      <c r="E18" s="162">
        <v>11</v>
      </c>
      <c r="F18" s="162">
        <v>12</v>
      </c>
      <c r="G18" s="162">
        <v>12</v>
      </c>
      <c r="H18" s="162">
        <v>4</v>
      </c>
      <c r="I18" s="162">
        <v>5</v>
      </c>
      <c r="J18" s="162">
        <v>10</v>
      </c>
      <c r="K18" s="162">
        <v>5</v>
      </c>
      <c r="L18" s="162">
        <v>11</v>
      </c>
      <c r="M18" s="162">
        <v>10</v>
      </c>
      <c r="N18" s="162">
        <v>6</v>
      </c>
      <c r="O18" s="162">
        <v>2</v>
      </c>
      <c r="P18" s="162">
        <v>8</v>
      </c>
      <c r="Q18" s="162">
        <v>6</v>
      </c>
      <c r="R18" s="162">
        <v>4</v>
      </c>
      <c r="S18" s="162">
        <v>5</v>
      </c>
      <c r="T18" s="162">
        <v>5</v>
      </c>
      <c r="U18" s="162">
        <v>9</v>
      </c>
      <c r="V18" s="162">
        <v>12</v>
      </c>
      <c r="W18" s="162">
        <v>13</v>
      </c>
      <c r="X18" s="162">
        <v>6</v>
      </c>
      <c r="Y18" s="162">
        <v>4</v>
      </c>
      <c r="Z18" s="162">
        <v>7</v>
      </c>
      <c r="AA18" s="162">
        <v>7</v>
      </c>
      <c r="AB18" s="162">
        <v>12</v>
      </c>
      <c r="AC18" s="162">
        <v>3</v>
      </c>
      <c r="AD18" s="162">
        <v>2</v>
      </c>
      <c r="AE18" s="162">
        <v>6</v>
      </c>
      <c r="AF18" s="161">
        <v>3</v>
      </c>
      <c r="AG18" s="64">
        <f t="shared" si="2"/>
        <v>223</v>
      </c>
    </row>
    <row r="19" spans="1:33" ht="18.75" x14ac:dyDescent="0.25">
      <c r="A19" s="301" t="s">
        <v>129</v>
      </c>
      <c r="B19" s="249">
        <v>5</v>
      </c>
      <c r="C19" s="162"/>
      <c r="D19" s="162">
        <v>5</v>
      </c>
      <c r="E19" s="162">
        <v>6</v>
      </c>
      <c r="F19" s="162">
        <v>5</v>
      </c>
      <c r="G19" s="162">
        <v>5</v>
      </c>
      <c r="H19" s="162">
        <v>1</v>
      </c>
      <c r="I19" s="162">
        <v>6</v>
      </c>
      <c r="J19" s="162">
        <v>3</v>
      </c>
      <c r="K19" s="162">
        <v>9</v>
      </c>
      <c r="L19" s="162">
        <v>4</v>
      </c>
      <c r="M19" s="162">
        <v>2</v>
      </c>
      <c r="N19" s="162">
        <v>6</v>
      </c>
      <c r="O19" s="162">
        <v>2</v>
      </c>
      <c r="P19" s="162">
        <v>1</v>
      </c>
      <c r="Q19" s="162">
        <v>4</v>
      </c>
      <c r="R19" s="162">
        <v>8</v>
      </c>
      <c r="S19" s="162">
        <v>6</v>
      </c>
      <c r="T19" s="162">
        <v>11</v>
      </c>
      <c r="U19" s="162">
        <v>8</v>
      </c>
      <c r="V19" s="162">
        <v>10</v>
      </c>
      <c r="W19" s="162">
        <v>10</v>
      </c>
      <c r="X19" s="162">
        <v>5</v>
      </c>
      <c r="Y19" s="162">
        <v>1</v>
      </c>
      <c r="Z19" s="162">
        <v>2</v>
      </c>
      <c r="AA19" s="162">
        <v>7</v>
      </c>
      <c r="AB19" s="162">
        <v>4</v>
      </c>
      <c r="AC19" s="162">
        <v>4</v>
      </c>
      <c r="AD19" s="162">
        <v>6</v>
      </c>
      <c r="AE19" s="162">
        <v>3</v>
      </c>
      <c r="AF19" s="161">
        <v>5</v>
      </c>
      <c r="AG19" s="64">
        <f t="shared" si="2"/>
        <v>154</v>
      </c>
    </row>
    <row r="20" spans="1:33" ht="18.75" x14ac:dyDescent="0.25">
      <c r="A20" s="301" t="s">
        <v>128</v>
      </c>
      <c r="B20" s="249">
        <v>8</v>
      </c>
      <c r="C20" s="162">
        <v>3</v>
      </c>
      <c r="D20" s="162">
        <v>3</v>
      </c>
      <c r="E20" s="162">
        <v>4</v>
      </c>
      <c r="F20" s="162">
        <v>6</v>
      </c>
      <c r="G20" s="162">
        <v>2</v>
      </c>
      <c r="H20" s="162">
        <v>8</v>
      </c>
      <c r="I20" s="162">
        <v>3</v>
      </c>
      <c r="J20" s="162">
        <v>1</v>
      </c>
      <c r="K20" s="162">
        <v>4</v>
      </c>
      <c r="L20" s="162">
        <v>2</v>
      </c>
      <c r="M20" s="162">
        <v>2</v>
      </c>
      <c r="N20" s="162">
        <v>4</v>
      </c>
      <c r="O20" s="162">
        <v>3</v>
      </c>
      <c r="P20" s="162">
        <v>2</v>
      </c>
      <c r="Q20" s="162">
        <v>5</v>
      </c>
      <c r="R20" s="162">
        <v>3</v>
      </c>
      <c r="S20" s="162">
        <v>4</v>
      </c>
      <c r="T20" s="162">
        <v>3</v>
      </c>
      <c r="U20" s="162">
        <v>5</v>
      </c>
      <c r="V20" s="162">
        <v>5</v>
      </c>
      <c r="W20" s="162">
        <v>3</v>
      </c>
      <c r="X20" s="162">
        <v>3</v>
      </c>
      <c r="Y20" s="162">
        <v>5</v>
      </c>
      <c r="Z20" s="162">
        <v>7</v>
      </c>
      <c r="AA20" s="162">
        <v>5</v>
      </c>
      <c r="AB20" s="162">
        <v>2</v>
      </c>
      <c r="AC20" s="162">
        <v>2</v>
      </c>
      <c r="AD20" s="162">
        <v>1</v>
      </c>
      <c r="AE20" s="162">
        <v>1</v>
      </c>
      <c r="AF20" s="161">
        <v>1</v>
      </c>
      <c r="AG20" s="64">
        <f t="shared" si="2"/>
        <v>110</v>
      </c>
    </row>
    <row r="21" spans="1:33" ht="18.75" x14ac:dyDescent="0.25">
      <c r="A21" s="301" t="s">
        <v>127</v>
      </c>
      <c r="B21" s="249">
        <v>6</v>
      </c>
      <c r="C21" s="162">
        <v>4</v>
      </c>
      <c r="D21" s="162">
        <v>1</v>
      </c>
      <c r="E21" s="162">
        <v>2</v>
      </c>
      <c r="F21" s="162"/>
      <c r="G21" s="162">
        <v>5</v>
      </c>
      <c r="H21" s="162">
        <v>1</v>
      </c>
      <c r="I21" s="162">
        <v>1</v>
      </c>
      <c r="J21" s="162">
        <v>2</v>
      </c>
      <c r="K21" s="162">
        <v>2</v>
      </c>
      <c r="L21" s="162">
        <v>5</v>
      </c>
      <c r="M21" s="162">
        <v>1</v>
      </c>
      <c r="N21" s="162">
        <v>3</v>
      </c>
      <c r="O21" s="162"/>
      <c r="P21" s="162">
        <v>3</v>
      </c>
      <c r="Q21" s="162">
        <v>4</v>
      </c>
      <c r="R21" s="162">
        <v>2</v>
      </c>
      <c r="S21" s="162">
        <v>2</v>
      </c>
      <c r="T21" s="162">
        <v>1</v>
      </c>
      <c r="U21" s="162">
        <v>2</v>
      </c>
      <c r="V21" s="162">
        <v>1</v>
      </c>
      <c r="W21" s="162">
        <v>1</v>
      </c>
      <c r="X21" s="162">
        <v>3</v>
      </c>
      <c r="Y21" s="162">
        <v>2</v>
      </c>
      <c r="Z21" s="162">
        <v>1</v>
      </c>
      <c r="AA21" s="162">
        <v>1</v>
      </c>
      <c r="AB21" s="162"/>
      <c r="AC21" s="162"/>
      <c r="AD21" s="162">
        <v>6</v>
      </c>
      <c r="AE21" s="162"/>
      <c r="AF21" s="161">
        <v>3</v>
      </c>
      <c r="AG21" s="64">
        <f t="shared" si="2"/>
        <v>65</v>
      </c>
    </row>
    <row r="22" spans="1:33" ht="18.75" x14ac:dyDescent="0.25">
      <c r="A22" s="301" t="s">
        <v>126</v>
      </c>
      <c r="B22" s="249">
        <v>3</v>
      </c>
      <c r="C22" s="162">
        <v>2</v>
      </c>
      <c r="D22" s="162"/>
      <c r="E22" s="162">
        <v>1</v>
      </c>
      <c r="F22" s="162"/>
      <c r="G22" s="162">
        <v>1</v>
      </c>
      <c r="H22" s="162">
        <v>2</v>
      </c>
      <c r="I22" s="162"/>
      <c r="J22" s="162"/>
      <c r="K22" s="162">
        <v>2</v>
      </c>
      <c r="L22" s="162"/>
      <c r="M22" s="162"/>
      <c r="N22" s="162"/>
      <c r="O22" s="162">
        <v>1</v>
      </c>
      <c r="P22" s="162">
        <v>5</v>
      </c>
      <c r="Q22" s="162"/>
      <c r="R22" s="162">
        <v>1</v>
      </c>
      <c r="S22" s="162">
        <v>1</v>
      </c>
      <c r="T22" s="162"/>
      <c r="U22" s="162">
        <v>2</v>
      </c>
      <c r="V22" s="162">
        <v>1</v>
      </c>
      <c r="W22" s="162">
        <v>4</v>
      </c>
      <c r="X22" s="162"/>
      <c r="Y22" s="162">
        <v>2</v>
      </c>
      <c r="Z22" s="162"/>
      <c r="AA22" s="162"/>
      <c r="AB22" s="162"/>
      <c r="AC22" s="162"/>
      <c r="AD22" s="162"/>
      <c r="AE22" s="162">
        <v>3</v>
      </c>
      <c r="AF22" s="161">
        <v>1</v>
      </c>
      <c r="AG22" s="64">
        <f t="shared" si="2"/>
        <v>32</v>
      </c>
    </row>
    <row r="23" spans="1:33" ht="18.75" x14ac:dyDescent="0.25">
      <c r="A23" s="301" t="s">
        <v>125</v>
      </c>
      <c r="B23" s="249">
        <v>1</v>
      </c>
      <c r="C23" s="162"/>
      <c r="D23" s="162">
        <v>1</v>
      </c>
      <c r="E23" s="162"/>
      <c r="F23" s="162">
        <v>2</v>
      </c>
      <c r="G23" s="162"/>
      <c r="H23" s="162"/>
      <c r="I23" s="162">
        <v>1</v>
      </c>
      <c r="J23" s="162">
        <v>2</v>
      </c>
      <c r="K23" s="162">
        <v>1</v>
      </c>
      <c r="L23" s="162"/>
      <c r="M23" s="162"/>
      <c r="N23" s="162">
        <v>2</v>
      </c>
      <c r="O23" s="162"/>
      <c r="P23" s="162"/>
      <c r="Q23" s="162"/>
      <c r="R23" s="162"/>
      <c r="S23" s="162">
        <v>1</v>
      </c>
      <c r="T23" s="162">
        <v>1</v>
      </c>
      <c r="U23" s="162"/>
      <c r="V23" s="162">
        <v>2</v>
      </c>
      <c r="W23" s="162">
        <v>2</v>
      </c>
      <c r="X23" s="162">
        <v>1</v>
      </c>
      <c r="Y23" s="162">
        <v>1</v>
      </c>
      <c r="Z23" s="162"/>
      <c r="AA23" s="162"/>
      <c r="AB23" s="162">
        <v>3</v>
      </c>
      <c r="AC23" s="162"/>
      <c r="AD23" s="162">
        <v>2</v>
      </c>
      <c r="AE23" s="162">
        <v>2</v>
      </c>
      <c r="AF23" s="161">
        <v>1</v>
      </c>
      <c r="AG23" s="64">
        <f t="shared" si="2"/>
        <v>26</v>
      </c>
    </row>
    <row r="24" spans="1:33" ht="18.75" x14ac:dyDescent="0.25">
      <c r="A24" s="301" t="s">
        <v>124</v>
      </c>
      <c r="B24" s="249"/>
      <c r="C24" s="162">
        <v>1</v>
      </c>
      <c r="D24" s="162"/>
      <c r="E24" s="162"/>
      <c r="F24" s="162">
        <v>1</v>
      </c>
      <c r="G24" s="162">
        <v>2</v>
      </c>
      <c r="H24" s="162">
        <v>1</v>
      </c>
      <c r="I24" s="162">
        <v>2</v>
      </c>
      <c r="J24" s="162">
        <v>1</v>
      </c>
      <c r="K24" s="162">
        <v>1</v>
      </c>
      <c r="L24" s="162">
        <v>1</v>
      </c>
      <c r="M24" s="162">
        <v>1</v>
      </c>
      <c r="N24" s="162">
        <v>2</v>
      </c>
      <c r="O24" s="162">
        <v>2</v>
      </c>
      <c r="P24" s="162">
        <v>1</v>
      </c>
      <c r="Q24" s="162"/>
      <c r="R24" s="162"/>
      <c r="S24" s="162">
        <v>1</v>
      </c>
      <c r="T24" s="162"/>
      <c r="U24" s="162">
        <v>1</v>
      </c>
      <c r="V24" s="162">
        <v>1</v>
      </c>
      <c r="W24" s="162"/>
      <c r="X24" s="162"/>
      <c r="Y24" s="162"/>
      <c r="Z24" s="162">
        <v>1</v>
      </c>
      <c r="AA24" s="162"/>
      <c r="AB24" s="162">
        <v>1</v>
      </c>
      <c r="AC24" s="162"/>
      <c r="AD24" s="162">
        <v>1</v>
      </c>
      <c r="AE24" s="162">
        <v>1</v>
      </c>
      <c r="AF24" s="161">
        <v>1</v>
      </c>
      <c r="AG24" s="64">
        <f t="shared" si="2"/>
        <v>24</v>
      </c>
    </row>
    <row r="25" spans="1:33" ht="18.75" x14ac:dyDescent="0.25">
      <c r="A25" s="301" t="s">
        <v>123</v>
      </c>
      <c r="B25" s="249"/>
      <c r="C25" s="162">
        <v>2</v>
      </c>
      <c r="D25" s="162">
        <v>4</v>
      </c>
      <c r="E25" s="162"/>
      <c r="F25" s="162">
        <v>3</v>
      </c>
      <c r="G25" s="162"/>
      <c r="H25" s="162"/>
      <c r="I25" s="162">
        <v>1</v>
      </c>
      <c r="J25" s="162"/>
      <c r="K25" s="162"/>
      <c r="L25" s="162">
        <v>1</v>
      </c>
      <c r="M25" s="162"/>
      <c r="N25" s="162"/>
      <c r="O25" s="162"/>
      <c r="P25" s="162"/>
      <c r="Q25" s="162"/>
      <c r="R25" s="162">
        <v>1</v>
      </c>
      <c r="S25" s="162"/>
      <c r="T25" s="162">
        <v>1</v>
      </c>
      <c r="U25" s="162"/>
      <c r="V25" s="162"/>
      <c r="W25" s="162"/>
      <c r="X25" s="162"/>
      <c r="Y25" s="162"/>
      <c r="Z25" s="162"/>
      <c r="AA25" s="162"/>
      <c r="AB25" s="162"/>
      <c r="AC25" s="162"/>
      <c r="AD25" s="162"/>
      <c r="AE25" s="162">
        <v>3</v>
      </c>
      <c r="AF25" s="161"/>
      <c r="AG25" s="64">
        <f t="shared" si="2"/>
        <v>16</v>
      </c>
    </row>
    <row r="26" spans="1:33" ht="18.75" x14ac:dyDescent="0.25">
      <c r="A26" s="301" t="s">
        <v>122</v>
      </c>
      <c r="B26" s="249">
        <v>1</v>
      </c>
      <c r="C26" s="162">
        <v>1</v>
      </c>
      <c r="D26" s="162">
        <v>1</v>
      </c>
      <c r="E26" s="162"/>
      <c r="F26" s="162">
        <v>1</v>
      </c>
      <c r="G26" s="162">
        <v>2</v>
      </c>
      <c r="H26" s="162">
        <v>5</v>
      </c>
      <c r="I26" s="162"/>
      <c r="J26" s="162">
        <v>1</v>
      </c>
      <c r="K26" s="162">
        <v>1</v>
      </c>
      <c r="L26" s="162"/>
      <c r="M26" s="162"/>
      <c r="N26" s="162">
        <v>1</v>
      </c>
      <c r="O26" s="162">
        <v>2</v>
      </c>
      <c r="P26" s="162"/>
      <c r="Q26" s="162">
        <v>1</v>
      </c>
      <c r="R26" s="162">
        <v>1</v>
      </c>
      <c r="S26" s="162"/>
      <c r="T26" s="162"/>
      <c r="U26" s="162">
        <v>2</v>
      </c>
      <c r="V26" s="162"/>
      <c r="W26" s="162">
        <v>1</v>
      </c>
      <c r="X26" s="162">
        <v>3</v>
      </c>
      <c r="Y26" s="162">
        <v>1</v>
      </c>
      <c r="Z26" s="162"/>
      <c r="AA26" s="162">
        <v>2</v>
      </c>
      <c r="AB26" s="162">
        <v>2</v>
      </c>
      <c r="AC26" s="162"/>
      <c r="AD26" s="162">
        <v>1</v>
      </c>
      <c r="AE26" s="162">
        <v>4</v>
      </c>
      <c r="AF26" s="161">
        <v>1</v>
      </c>
      <c r="AG26" s="64">
        <f t="shared" si="2"/>
        <v>35</v>
      </c>
    </row>
    <row r="27" spans="1:33" ht="19.5" thickBot="1" x14ac:dyDescent="0.3">
      <c r="A27" s="302" t="s">
        <v>121</v>
      </c>
      <c r="B27" s="250">
        <v>1</v>
      </c>
      <c r="C27" s="212">
        <v>1</v>
      </c>
      <c r="D27" s="212"/>
      <c r="E27" s="212">
        <v>2</v>
      </c>
      <c r="F27" s="212"/>
      <c r="G27" s="212"/>
      <c r="H27" s="212">
        <v>1</v>
      </c>
      <c r="I27" s="212"/>
      <c r="J27" s="212"/>
      <c r="K27" s="212"/>
      <c r="L27" s="212"/>
      <c r="M27" s="212"/>
      <c r="N27" s="212"/>
      <c r="O27" s="212"/>
      <c r="P27" s="212">
        <v>1</v>
      </c>
      <c r="Q27" s="212"/>
      <c r="R27" s="212">
        <v>2</v>
      </c>
      <c r="S27" s="212">
        <v>2</v>
      </c>
      <c r="T27" s="212">
        <v>1</v>
      </c>
      <c r="U27" s="212">
        <v>1</v>
      </c>
      <c r="V27" s="212"/>
      <c r="W27" s="212">
        <v>2</v>
      </c>
      <c r="X27" s="212">
        <v>1</v>
      </c>
      <c r="Y27" s="212">
        <v>2</v>
      </c>
      <c r="Z27" s="212"/>
      <c r="AA27" s="212">
        <v>3</v>
      </c>
      <c r="AB27" s="212"/>
      <c r="AC27" s="212"/>
      <c r="AD27" s="212">
        <v>1</v>
      </c>
      <c r="AE27" s="212">
        <v>2</v>
      </c>
      <c r="AF27" s="211"/>
      <c r="AG27" s="64">
        <f t="shared" si="2"/>
        <v>23</v>
      </c>
    </row>
    <row r="28" spans="1:33" ht="18.75" x14ac:dyDescent="0.25">
      <c r="A28" s="303" t="s">
        <v>146</v>
      </c>
      <c r="B28" s="251">
        <f t="shared" ref="B28:AF28" si="3">SUM(B29:B52)</f>
        <v>116</v>
      </c>
      <c r="C28" s="209">
        <f t="shared" si="3"/>
        <v>137</v>
      </c>
      <c r="D28" s="209">
        <f t="shared" si="3"/>
        <v>142</v>
      </c>
      <c r="E28" s="209">
        <f t="shared" si="3"/>
        <v>122</v>
      </c>
      <c r="F28" s="209">
        <f t="shared" si="3"/>
        <v>122</v>
      </c>
      <c r="G28" s="209">
        <f t="shared" si="3"/>
        <v>106</v>
      </c>
      <c r="H28" s="209">
        <f t="shared" si="3"/>
        <v>129</v>
      </c>
      <c r="I28" s="209">
        <f t="shared" si="3"/>
        <v>109</v>
      </c>
      <c r="J28" s="209">
        <f t="shared" si="3"/>
        <v>120</v>
      </c>
      <c r="K28" s="209">
        <f t="shared" si="3"/>
        <v>144</v>
      </c>
      <c r="L28" s="209">
        <f t="shared" si="3"/>
        <v>130</v>
      </c>
      <c r="M28" s="209">
        <f t="shared" si="3"/>
        <v>108</v>
      </c>
      <c r="N28" s="209">
        <f t="shared" si="3"/>
        <v>136</v>
      </c>
      <c r="O28" s="209">
        <f t="shared" si="3"/>
        <v>108</v>
      </c>
      <c r="P28" s="209">
        <f t="shared" si="3"/>
        <v>104</v>
      </c>
      <c r="Q28" s="209">
        <f t="shared" si="3"/>
        <v>123</v>
      </c>
      <c r="R28" s="209">
        <f t="shared" si="3"/>
        <v>149</v>
      </c>
      <c r="S28" s="209">
        <f t="shared" si="3"/>
        <v>145</v>
      </c>
      <c r="T28" s="209">
        <f t="shared" si="3"/>
        <v>145</v>
      </c>
      <c r="U28" s="209">
        <f t="shared" si="3"/>
        <v>129</v>
      </c>
      <c r="V28" s="209">
        <f t="shared" si="3"/>
        <v>125</v>
      </c>
      <c r="W28" s="209">
        <f t="shared" si="3"/>
        <v>129</v>
      </c>
      <c r="X28" s="209">
        <f t="shared" si="3"/>
        <v>128</v>
      </c>
      <c r="Y28" s="209">
        <f t="shared" si="3"/>
        <v>128</v>
      </c>
      <c r="Z28" s="209">
        <f t="shared" si="3"/>
        <v>158</v>
      </c>
      <c r="AA28" s="209">
        <f t="shared" si="3"/>
        <v>193</v>
      </c>
      <c r="AB28" s="209">
        <f t="shared" si="3"/>
        <v>157</v>
      </c>
      <c r="AC28" s="209">
        <f t="shared" si="3"/>
        <v>144</v>
      </c>
      <c r="AD28" s="209">
        <f t="shared" si="3"/>
        <v>128</v>
      </c>
      <c r="AE28" s="209">
        <f t="shared" si="3"/>
        <v>157</v>
      </c>
      <c r="AF28" s="209">
        <f t="shared" si="3"/>
        <v>131</v>
      </c>
      <c r="AG28" s="164">
        <f t="shared" si="2"/>
        <v>4102</v>
      </c>
    </row>
    <row r="29" spans="1:33" ht="18.75" x14ac:dyDescent="0.25">
      <c r="A29" s="301" t="s">
        <v>144</v>
      </c>
      <c r="B29" s="249">
        <v>2</v>
      </c>
      <c r="C29" s="162">
        <v>5</v>
      </c>
      <c r="D29" s="162">
        <v>3</v>
      </c>
      <c r="E29" s="162">
        <v>3</v>
      </c>
      <c r="F29" s="162">
        <v>2</v>
      </c>
      <c r="G29" s="162">
        <v>1</v>
      </c>
      <c r="H29" s="162">
        <v>1</v>
      </c>
      <c r="I29" s="162">
        <v>2</v>
      </c>
      <c r="J29" s="162"/>
      <c r="K29" s="162">
        <v>1</v>
      </c>
      <c r="L29" s="162"/>
      <c r="M29" s="162"/>
      <c r="N29" s="162">
        <v>2</v>
      </c>
      <c r="O29" s="162">
        <v>3</v>
      </c>
      <c r="P29" s="162">
        <v>2</v>
      </c>
      <c r="Q29" s="162">
        <v>1</v>
      </c>
      <c r="R29" s="162">
        <v>3</v>
      </c>
      <c r="S29" s="162">
        <v>2</v>
      </c>
      <c r="T29" s="162">
        <v>1</v>
      </c>
      <c r="U29" s="162"/>
      <c r="V29" s="162">
        <v>2</v>
      </c>
      <c r="W29" s="162">
        <v>1</v>
      </c>
      <c r="X29" s="162">
        <v>1</v>
      </c>
      <c r="Y29" s="162">
        <v>2</v>
      </c>
      <c r="Z29" s="162"/>
      <c r="AA29" s="162">
        <v>9</v>
      </c>
      <c r="AB29" s="162">
        <v>1</v>
      </c>
      <c r="AC29" s="162">
        <v>1</v>
      </c>
      <c r="AD29" s="162">
        <v>2</v>
      </c>
      <c r="AE29" s="162"/>
      <c r="AF29" s="161">
        <v>2</v>
      </c>
      <c r="AG29" s="64">
        <f t="shared" si="2"/>
        <v>55</v>
      </c>
    </row>
    <row r="30" spans="1:33" ht="18.75" x14ac:dyDescent="0.25">
      <c r="A30" s="301" t="s">
        <v>143</v>
      </c>
      <c r="B30" s="249">
        <v>1</v>
      </c>
      <c r="C30" s="162">
        <v>7</v>
      </c>
      <c r="D30" s="162">
        <v>5</v>
      </c>
      <c r="E30" s="162">
        <v>5</v>
      </c>
      <c r="F30" s="162">
        <v>2</v>
      </c>
      <c r="G30" s="162">
        <v>1</v>
      </c>
      <c r="H30" s="162">
        <v>1</v>
      </c>
      <c r="I30" s="162">
        <v>1</v>
      </c>
      <c r="J30" s="162">
        <v>4</v>
      </c>
      <c r="K30" s="162">
        <v>5</v>
      </c>
      <c r="L30" s="162">
        <v>4</v>
      </c>
      <c r="M30" s="162">
        <v>3</v>
      </c>
      <c r="N30" s="162">
        <v>2</v>
      </c>
      <c r="O30" s="162">
        <v>5</v>
      </c>
      <c r="P30" s="162"/>
      <c r="Q30" s="162">
        <v>1</v>
      </c>
      <c r="R30" s="162">
        <v>1</v>
      </c>
      <c r="S30" s="162">
        <v>3</v>
      </c>
      <c r="T30" s="162">
        <v>8</v>
      </c>
      <c r="U30" s="162">
        <v>3</v>
      </c>
      <c r="V30" s="162">
        <v>1</v>
      </c>
      <c r="W30" s="162">
        <v>2</v>
      </c>
      <c r="X30" s="162">
        <v>4</v>
      </c>
      <c r="Y30" s="162">
        <v>5</v>
      </c>
      <c r="Z30" s="162">
        <v>4</v>
      </c>
      <c r="AA30" s="162">
        <v>10</v>
      </c>
      <c r="AB30" s="162">
        <v>6</v>
      </c>
      <c r="AC30" s="162">
        <v>5</v>
      </c>
      <c r="AD30" s="162">
        <v>2</v>
      </c>
      <c r="AE30" s="162">
        <v>6</v>
      </c>
      <c r="AF30" s="161">
        <v>4</v>
      </c>
      <c r="AG30" s="64">
        <f t="shared" si="2"/>
        <v>111</v>
      </c>
    </row>
    <row r="31" spans="1:33" ht="18.75" x14ac:dyDescent="0.25">
      <c r="A31" s="301" t="s">
        <v>142</v>
      </c>
      <c r="B31" s="249">
        <v>6</v>
      </c>
      <c r="C31" s="162">
        <v>9</v>
      </c>
      <c r="D31" s="162">
        <v>5</v>
      </c>
      <c r="E31" s="162">
        <v>4</v>
      </c>
      <c r="F31" s="162">
        <v>1</v>
      </c>
      <c r="G31" s="162">
        <v>2</v>
      </c>
      <c r="H31" s="162">
        <v>4</v>
      </c>
      <c r="I31" s="162">
        <v>2</v>
      </c>
      <c r="J31" s="162">
        <v>6</v>
      </c>
      <c r="K31" s="162">
        <v>9</v>
      </c>
      <c r="L31" s="162">
        <v>5</v>
      </c>
      <c r="M31" s="162"/>
      <c r="N31" s="162">
        <v>3</v>
      </c>
      <c r="O31" s="162">
        <v>3</v>
      </c>
      <c r="P31" s="162"/>
      <c r="Q31" s="162">
        <v>5</v>
      </c>
      <c r="R31" s="162">
        <v>9</v>
      </c>
      <c r="S31" s="162">
        <v>3</v>
      </c>
      <c r="T31" s="162">
        <v>4</v>
      </c>
      <c r="U31" s="162">
        <v>5</v>
      </c>
      <c r="V31" s="162">
        <v>4</v>
      </c>
      <c r="W31" s="162">
        <v>2</v>
      </c>
      <c r="X31" s="162">
        <v>8</v>
      </c>
      <c r="Y31" s="162">
        <v>4</v>
      </c>
      <c r="Z31" s="162">
        <v>4</v>
      </c>
      <c r="AA31" s="162">
        <v>6</v>
      </c>
      <c r="AB31" s="162">
        <v>7</v>
      </c>
      <c r="AC31" s="162">
        <v>6</v>
      </c>
      <c r="AD31" s="162">
        <v>5</v>
      </c>
      <c r="AE31" s="162">
        <v>8</v>
      </c>
      <c r="AF31" s="161">
        <v>10</v>
      </c>
      <c r="AG31" s="64">
        <f t="shared" si="2"/>
        <v>149</v>
      </c>
    </row>
    <row r="32" spans="1:33" ht="18.75" x14ac:dyDescent="0.25">
      <c r="A32" s="301" t="s">
        <v>141</v>
      </c>
      <c r="B32" s="249">
        <v>3</v>
      </c>
      <c r="C32" s="162">
        <v>7</v>
      </c>
      <c r="D32" s="162">
        <v>7</v>
      </c>
      <c r="E32" s="162">
        <v>3</v>
      </c>
      <c r="F32" s="162">
        <v>1</v>
      </c>
      <c r="G32" s="162">
        <v>4</v>
      </c>
      <c r="H32" s="162">
        <v>4</v>
      </c>
      <c r="I32" s="162">
        <v>3</v>
      </c>
      <c r="J32" s="162">
        <v>12</v>
      </c>
      <c r="K32" s="162">
        <v>2</v>
      </c>
      <c r="L32" s="162">
        <v>4</v>
      </c>
      <c r="M32" s="162">
        <v>3</v>
      </c>
      <c r="N32" s="162">
        <v>5</v>
      </c>
      <c r="O32" s="162">
        <v>2</v>
      </c>
      <c r="P32" s="162">
        <v>4</v>
      </c>
      <c r="Q32" s="162">
        <v>4</v>
      </c>
      <c r="R32" s="162">
        <v>5</v>
      </c>
      <c r="S32" s="162">
        <v>3</v>
      </c>
      <c r="T32" s="162">
        <v>8</v>
      </c>
      <c r="U32" s="162">
        <v>5</v>
      </c>
      <c r="V32" s="162">
        <v>4</v>
      </c>
      <c r="W32" s="162">
        <v>3</v>
      </c>
      <c r="X32" s="162">
        <v>9</v>
      </c>
      <c r="Y32" s="162">
        <v>6</v>
      </c>
      <c r="Z32" s="162">
        <v>6</v>
      </c>
      <c r="AA32" s="162">
        <v>10</v>
      </c>
      <c r="AB32" s="162">
        <v>10</v>
      </c>
      <c r="AC32" s="162">
        <v>6</v>
      </c>
      <c r="AD32" s="162">
        <v>6</v>
      </c>
      <c r="AE32" s="162">
        <v>14</v>
      </c>
      <c r="AF32" s="161">
        <v>10</v>
      </c>
      <c r="AG32" s="64">
        <f t="shared" si="2"/>
        <v>173</v>
      </c>
    </row>
    <row r="33" spans="1:33" ht="18.75" x14ac:dyDescent="0.25">
      <c r="A33" s="301" t="s">
        <v>140</v>
      </c>
      <c r="B33" s="249">
        <v>9</v>
      </c>
      <c r="C33" s="162">
        <v>9</v>
      </c>
      <c r="D33" s="162">
        <v>8</v>
      </c>
      <c r="E33" s="162">
        <v>5</v>
      </c>
      <c r="F33" s="162"/>
      <c r="G33" s="162">
        <v>2</v>
      </c>
      <c r="H33" s="162">
        <v>4</v>
      </c>
      <c r="I33" s="162">
        <v>4</v>
      </c>
      <c r="J33" s="162">
        <v>7</v>
      </c>
      <c r="K33" s="162">
        <v>10</v>
      </c>
      <c r="L33" s="162">
        <v>1</v>
      </c>
      <c r="M33" s="162">
        <v>5</v>
      </c>
      <c r="N33" s="162">
        <v>2</v>
      </c>
      <c r="O33" s="162">
        <v>2</v>
      </c>
      <c r="P33" s="162">
        <v>2</v>
      </c>
      <c r="Q33" s="162">
        <v>10</v>
      </c>
      <c r="R33" s="162">
        <v>6</v>
      </c>
      <c r="S33" s="162">
        <v>6</v>
      </c>
      <c r="T33" s="162">
        <v>3</v>
      </c>
      <c r="U33" s="162">
        <v>10</v>
      </c>
      <c r="V33" s="162">
        <v>5</v>
      </c>
      <c r="W33" s="162">
        <v>4</v>
      </c>
      <c r="X33" s="162">
        <v>14</v>
      </c>
      <c r="Y33" s="162">
        <v>8</v>
      </c>
      <c r="Z33" s="162">
        <v>9</v>
      </c>
      <c r="AA33" s="162">
        <v>11</v>
      </c>
      <c r="AB33" s="162">
        <v>5</v>
      </c>
      <c r="AC33" s="162">
        <v>9</v>
      </c>
      <c r="AD33" s="162">
        <v>6</v>
      </c>
      <c r="AE33" s="162">
        <v>9</v>
      </c>
      <c r="AF33" s="161">
        <v>4</v>
      </c>
      <c r="AG33" s="64">
        <f t="shared" si="2"/>
        <v>189</v>
      </c>
    </row>
    <row r="34" spans="1:33" ht="18.75" x14ac:dyDescent="0.25">
      <c r="A34" s="301" t="s">
        <v>139</v>
      </c>
      <c r="B34" s="249">
        <v>7</v>
      </c>
      <c r="C34" s="162">
        <v>2</v>
      </c>
      <c r="D34" s="162">
        <v>12</v>
      </c>
      <c r="E34" s="162">
        <v>2</v>
      </c>
      <c r="F34" s="162">
        <v>3</v>
      </c>
      <c r="G34" s="162">
        <v>3</v>
      </c>
      <c r="H34" s="162">
        <v>7</v>
      </c>
      <c r="I34" s="162">
        <v>4</v>
      </c>
      <c r="J34" s="162">
        <v>5</v>
      </c>
      <c r="K34" s="162">
        <v>6</v>
      </c>
      <c r="L34" s="162">
        <v>4</v>
      </c>
      <c r="M34" s="162">
        <v>3</v>
      </c>
      <c r="N34" s="162">
        <v>3</v>
      </c>
      <c r="O34" s="162">
        <v>1</v>
      </c>
      <c r="P34" s="162">
        <v>3</v>
      </c>
      <c r="Q34" s="162">
        <v>12</v>
      </c>
      <c r="R34" s="162">
        <v>13</v>
      </c>
      <c r="S34" s="162">
        <v>4</v>
      </c>
      <c r="T34" s="162">
        <v>9</v>
      </c>
      <c r="U34" s="162">
        <v>4</v>
      </c>
      <c r="V34" s="162"/>
      <c r="W34" s="162">
        <v>2</v>
      </c>
      <c r="X34" s="162">
        <v>10</v>
      </c>
      <c r="Y34" s="162">
        <v>2</v>
      </c>
      <c r="Z34" s="162">
        <v>6</v>
      </c>
      <c r="AA34" s="162">
        <v>8</v>
      </c>
      <c r="AB34" s="162">
        <v>5</v>
      </c>
      <c r="AC34" s="162">
        <v>1</v>
      </c>
      <c r="AD34" s="162">
        <v>7</v>
      </c>
      <c r="AE34" s="162">
        <v>8</v>
      </c>
      <c r="AF34" s="161">
        <v>3</v>
      </c>
      <c r="AG34" s="64">
        <f t="shared" si="2"/>
        <v>159</v>
      </c>
    </row>
    <row r="35" spans="1:33" ht="18.75" x14ac:dyDescent="0.25">
      <c r="A35" s="301" t="s">
        <v>138</v>
      </c>
      <c r="B35" s="249">
        <v>12</v>
      </c>
      <c r="C35" s="162">
        <v>11</v>
      </c>
      <c r="D35" s="162">
        <v>9</v>
      </c>
      <c r="E35" s="162">
        <v>3</v>
      </c>
      <c r="F35" s="162">
        <v>3</v>
      </c>
      <c r="G35" s="162">
        <v>3</v>
      </c>
      <c r="H35" s="162">
        <v>2</v>
      </c>
      <c r="I35" s="162">
        <v>2</v>
      </c>
      <c r="J35" s="162">
        <v>6</v>
      </c>
      <c r="K35" s="162">
        <v>7</v>
      </c>
      <c r="L35" s="162">
        <v>4</v>
      </c>
      <c r="M35" s="162">
        <v>2</v>
      </c>
      <c r="N35" s="162">
        <v>4</v>
      </c>
      <c r="O35" s="162">
        <v>2</v>
      </c>
      <c r="P35" s="162">
        <v>2</v>
      </c>
      <c r="Q35" s="162">
        <v>8</v>
      </c>
      <c r="R35" s="162">
        <v>9</v>
      </c>
      <c r="S35" s="162">
        <v>6</v>
      </c>
      <c r="T35" s="162">
        <v>8</v>
      </c>
      <c r="U35" s="162">
        <v>3</v>
      </c>
      <c r="V35" s="162">
        <v>4</v>
      </c>
      <c r="W35" s="162">
        <v>3</v>
      </c>
      <c r="X35" s="162">
        <v>8</v>
      </c>
      <c r="Y35" s="162">
        <v>6</v>
      </c>
      <c r="Z35" s="162">
        <v>7</v>
      </c>
      <c r="AA35" s="162">
        <v>13</v>
      </c>
      <c r="AB35" s="162">
        <v>9</v>
      </c>
      <c r="AC35" s="162">
        <v>6</v>
      </c>
      <c r="AD35" s="162">
        <v>9</v>
      </c>
      <c r="AE35" s="162">
        <v>12</v>
      </c>
      <c r="AF35" s="161">
        <v>8</v>
      </c>
      <c r="AG35" s="64">
        <f t="shared" si="2"/>
        <v>191</v>
      </c>
    </row>
    <row r="36" spans="1:33" ht="18.75" x14ac:dyDescent="0.25">
      <c r="A36" s="301" t="s">
        <v>137</v>
      </c>
      <c r="B36" s="249">
        <v>6</v>
      </c>
      <c r="C36" s="162">
        <v>8</v>
      </c>
      <c r="D36" s="162">
        <v>7</v>
      </c>
      <c r="E36" s="162">
        <v>6</v>
      </c>
      <c r="F36" s="162">
        <v>6</v>
      </c>
      <c r="G36" s="162">
        <v>3</v>
      </c>
      <c r="H36" s="162">
        <v>2</v>
      </c>
      <c r="I36" s="162">
        <v>3</v>
      </c>
      <c r="J36" s="162">
        <v>8</v>
      </c>
      <c r="K36" s="162">
        <v>4</v>
      </c>
      <c r="L36" s="162">
        <v>3</v>
      </c>
      <c r="M36" s="162">
        <v>3</v>
      </c>
      <c r="N36" s="162">
        <v>4</v>
      </c>
      <c r="O36" s="162">
        <v>3</v>
      </c>
      <c r="P36" s="162">
        <v>2</v>
      </c>
      <c r="Q36" s="162">
        <v>4</v>
      </c>
      <c r="R36" s="162">
        <v>12</v>
      </c>
      <c r="S36" s="162">
        <v>6</v>
      </c>
      <c r="T36" s="162">
        <v>3</v>
      </c>
      <c r="U36" s="162">
        <v>1</v>
      </c>
      <c r="V36" s="162">
        <v>5</v>
      </c>
      <c r="W36" s="162">
        <v>5</v>
      </c>
      <c r="X36" s="162">
        <v>6</v>
      </c>
      <c r="Y36" s="162">
        <v>11</v>
      </c>
      <c r="Z36" s="162">
        <v>7</v>
      </c>
      <c r="AA36" s="162">
        <v>13</v>
      </c>
      <c r="AB36" s="162">
        <v>5</v>
      </c>
      <c r="AC36" s="162">
        <v>9</v>
      </c>
      <c r="AD36" s="162">
        <v>5</v>
      </c>
      <c r="AE36" s="162">
        <v>9</v>
      </c>
      <c r="AF36" s="161">
        <v>12</v>
      </c>
      <c r="AG36" s="64">
        <f t="shared" si="2"/>
        <v>181</v>
      </c>
    </row>
    <row r="37" spans="1:33" ht="18.75" x14ac:dyDescent="0.25">
      <c r="A37" s="301" t="s">
        <v>136</v>
      </c>
      <c r="B37" s="249">
        <v>8</v>
      </c>
      <c r="C37" s="162">
        <v>9</v>
      </c>
      <c r="D37" s="162">
        <v>10</v>
      </c>
      <c r="E37" s="162">
        <v>3</v>
      </c>
      <c r="F37" s="162">
        <v>3</v>
      </c>
      <c r="G37" s="162">
        <v>3</v>
      </c>
      <c r="H37" s="162">
        <v>7</v>
      </c>
      <c r="I37" s="162">
        <v>2</v>
      </c>
      <c r="J37" s="162">
        <v>6</v>
      </c>
      <c r="K37" s="162">
        <v>14</v>
      </c>
      <c r="L37" s="162">
        <v>5</v>
      </c>
      <c r="M37" s="162">
        <v>3</v>
      </c>
      <c r="N37" s="162">
        <v>3</v>
      </c>
      <c r="O37" s="162">
        <v>8</v>
      </c>
      <c r="P37" s="162">
        <v>2</v>
      </c>
      <c r="Q37" s="162">
        <v>10</v>
      </c>
      <c r="R37" s="162">
        <v>15</v>
      </c>
      <c r="S37" s="162">
        <v>8</v>
      </c>
      <c r="T37" s="162">
        <v>5</v>
      </c>
      <c r="U37" s="162">
        <v>5</v>
      </c>
      <c r="V37" s="162">
        <v>3</v>
      </c>
      <c r="W37" s="162">
        <v>5</v>
      </c>
      <c r="X37" s="162">
        <v>8</v>
      </c>
      <c r="Y37" s="162">
        <v>15</v>
      </c>
      <c r="Z37" s="162">
        <v>11</v>
      </c>
      <c r="AA37" s="162">
        <v>11</v>
      </c>
      <c r="AB37" s="162">
        <v>9</v>
      </c>
      <c r="AC37" s="162">
        <v>7</v>
      </c>
      <c r="AD37" s="162">
        <v>6</v>
      </c>
      <c r="AE37" s="162">
        <v>12</v>
      </c>
      <c r="AF37" s="161">
        <v>11</v>
      </c>
      <c r="AG37" s="64">
        <f t="shared" si="2"/>
        <v>227</v>
      </c>
    </row>
    <row r="38" spans="1:33" ht="18.75" x14ac:dyDescent="0.25">
      <c r="A38" s="301" t="s">
        <v>135</v>
      </c>
      <c r="B38" s="249">
        <v>5</v>
      </c>
      <c r="C38" s="162">
        <v>4</v>
      </c>
      <c r="D38" s="162">
        <v>13</v>
      </c>
      <c r="E38" s="162">
        <v>7</v>
      </c>
      <c r="F38" s="162">
        <v>8</v>
      </c>
      <c r="G38" s="162">
        <v>6</v>
      </c>
      <c r="H38" s="162">
        <v>4</v>
      </c>
      <c r="I38" s="162">
        <v>9</v>
      </c>
      <c r="J38" s="162">
        <v>15</v>
      </c>
      <c r="K38" s="162">
        <v>16</v>
      </c>
      <c r="L38" s="162">
        <v>6</v>
      </c>
      <c r="M38" s="162">
        <v>6</v>
      </c>
      <c r="N38" s="162">
        <v>10</v>
      </c>
      <c r="O38" s="162">
        <v>17</v>
      </c>
      <c r="P38" s="162">
        <v>10</v>
      </c>
      <c r="Q38" s="162">
        <v>9</v>
      </c>
      <c r="R38" s="162">
        <v>19</v>
      </c>
      <c r="S38" s="162">
        <v>5</v>
      </c>
      <c r="T38" s="162">
        <v>12</v>
      </c>
      <c r="U38" s="162">
        <v>7</v>
      </c>
      <c r="V38" s="162">
        <v>8</v>
      </c>
      <c r="W38" s="162">
        <v>5</v>
      </c>
      <c r="X38" s="162">
        <v>10</v>
      </c>
      <c r="Y38" s="162">
        <v>9</v>
      </c>
      <c r="Z38" s="162">
        <v>9</v>
      </c>
      <c r="AA38" s="162">
        <v>10</v>
      </c>
      <c r="AB38" s="162">
        <v>8</v>
      </c>
      <c r="AC38" s="162">
        <v>12</v>
      </c>
      <c r="AD38" s="162">
        <v>9</v>
      </c>
      <c r="AE38" s="162">
        <v>12</v>
      </c>
      <c r="AF38" s="161">
        <v>15</v>
      </c>
      <c r="AG38" s="64">
        <f t="shared" si="2"/>
        <v>295</v>
      </c>
    </row>
    <row r="39" spans="1:33" ht="18.75" x14ac:dyDescent="0.25">
      <c r="A39" s="301" t="s">
        <v>134</v>
      </c>
      <c r="B39" s="249">
        <v>7</v>
      </c>
      <c r="C39" s="162">
        <v>13</v>
      </c>
      <c r="D39" s="162">
        <v>8</v>
      </c>
      <c r="E39" s="162">
        <v>8</v>
      </c>
      <c r="F39" s="162">
        <v>15</v>
      </c>
      <c r="G39" s="162">
        <v>11</v>
      </c>
      <c r="H39" s="162">
        <v>13</v>
      </c>
      <c r="I39" s="162">
        <v>9</v>
      </c>
      <c r="J39" s="162">
        <v>7</v>
      </c>
      <c r="K39" s="162">
        <v>13</v>
      </c>
      <c r="L39" s="162">
        <v>15</v>
      </c>
      <c r="M39" s="162">
        <v>13</v>
      </c>
      <c r="N39" s="162">
        <v>12</v>
      </c>
      <c r="O39" s="162">
        <v>17</v>
      </c>
      <c r="P39" s="162">
        <v>10</v>
      </c>
      <c r="Q39" s="162">
        <v>11</v>
      </c>
      <c r="R39" s="162">
        <v>3</v>
      </c>
      <c r="S39" s="162">
        <v>10</v>
      </c>
      <c r="T39" s="162">
        <v>17</v>
      </c>
      <c r="U39" s="162">
        <v>9</v>
      </c>
      <c r="V39" s="162">
        <v>17</v>
      </c>
      <c r="W39" s="162">
        <v>13</v>
      </c>
      <c r="X39" s="162">
        <v>9</v>
      </c>
      <c r="Y39" s="162">
        <v>3</v>
      </c>
      <c r="Z39" s="162">
        <v>16</v>
      </c>
      <c r="AA39" s="162">
        <v>17</v>
      </c>
      <c r="AB39" s="162">
        <v>20</v>
      </c>
      <c r="AC39" s="162">
        <v>16</v>
      </c>
      <c r="AD39" s="162">
        <v>11</v>
      </c>
      <c r="AE39" s="162">
        <v>13</v>
      </c>
      <c r="AF39" s="161">
        <v>12</v>
      </c>
      <c r="AG39" s="64">
        <f t="shared" si="2"/>
        <v>368</v>
      </c>
    </row>
    <row r="40" spans="1:33" ht="18.75" x14ac:dyDescent="0.25">
      <c r="A40" s="301" t="s">
        <v>133</v>
      </c>
      <c r="B40" s="249">
        <v>5</v>
      </c>
      <c r="C40" s="162">
        <v>10</v>
      </c>
      <c r="D40" s="162">
        <v>8</v>
      </c>
      <c r="E40" s="162">
        <v>10</v>
      </c>
      <c r="F40" s="162">
        <v>12</v>
      </c>
      <c r="G40" s="162">
        <v>8</v>
      </c>
      <c r="H40" s="162">
        <v>21</v>
      </c>
      <c r="I40" s="162">
        <v>13</v>
      </c>
      <c r="J40" s="162">
        <v>7</v>
      </c>
      <c r="K40" s="162">
        <v>9</v>
      </c>
      <c r="L40" s="162">
        <v>12</v>
      </c>
      <c r="M40" s="162">
        <v>17</v>
      </c>
      <c r="N40" s="162">
        <v>16</v>
      </c>
      <c r="O40" s="162">
        <v>15</v>
      </c>
      <c r="P40" s="162">
        <v>13</v>
      </c>
      <c r="Q40" s="162">
        <v>12</v>
      </c>
      <c r="R40" s="162">
        <v>12</v>
      </c>
      <c r="S40" s="162">
        <v>15</v>
      </c>
      <c r="T40" s="162">
        <v>20</v>
      </c>
      <c r="U40" s="162">
        <v>14</v>
      </c>
      <c r="V40" s="162">
        <v>20</v>
      </c>
      <c r="W40" s="162">
        <v>14</v>
      </c>
      <c r="X40" s="162">
        <v>8</v>
      </c>
      <c r="Y40" s="162">
        <v>13</v>
      </c>
      <c r="Z40" s="162">
        <v>17</v>
      </c>
      <c r="AA40" s="162">
        <v>17</v>
      </c>
      <c r="AB40" s="162">
        <v>24</v>
      </c>
      <c r="AC40" s="162">
        <v>25</v>
      </c>
      <c r="AD40" s="162">
        <v>17</v>
      </c>
      <c r="AE40" s="162">
        <v>9</v>
      </c>
      <c r="AF40" s="161">
        <v>9</v>
      </c>
      <c r="AG40" s="64">
        <f t="shared" si="2"/>
        <v>422</v>
      </c>
    </row>
    <row r="41" spans="1:33" ht="18.75" x14ac:dyDescent="0.25">
      <c r="A41" s="301" t="s">
        <v>132</v>
      </c>
      <c r="B41" s="249">
        <v>9</v>
      </c>
      <c r="C41" s="162">
        <v>15</v>
      </c>
      <c r="D41" s="162">
        <v>8</v>
      </c>
      <c r="E41" s="162">
        <v>8</v>
      </c>
      <c r="F41" s="162">
        <v>15</v>
      </c>
      <c r="G41" s="162">
        <v>9</v>
      </c>
      <c r="H41" s="162">
        <v>12</v>
      </c>
      <c r="I41" s="162">
        <v>15</v>
      </c>
      <c r="J41" s="162">
        <v>8</v>
      </c>
      <c r="K41" s="162">
        <v>11</v>
      </c>
      <c r="L41" s="162">
        <v>19</v>
      </c>
      <c r="M41" s="162">
        <v>13</v>
      </c>
      <c r="N41" s="162">
        <v>13</v>
      </c>
      <c r="O41" s="162">
        <v>15</v>
      </c>
      <c r="P41" s="162">
        <v>17</v>
      </c>
      <c r="Q41" s="162">
        <v>9</v>
      </c>
      <c r="R41" s="162">
        <v>9</v>
      </c>
      <c r="S41" s="162">
        <v>13</v>
      </c>
      <c r="T41" s="162">
        <v>14</v>
      </c>
      <c r="U41" s="162">
        <v>15</v>
      </c>
      <c r="V41" s="162">
        <v>6</v>
      </c>
      <c r="W41" s="162">
        <v>16</v>
      </c>
      <c r="X41" s="162">
        <v>5</v>
      </c>
      <c r="Y41" s="162">
        <v>9</v>
      </c>
      <c r="Z41" s="162">
        <v>25</v>
      </c>
      <c r="AA41" s="162">
        <v>17</v>
      </c>
      <c r="AB41" s="162">
        <v>14</v>
      </c>
      <c r="AC41" s="162">
        <v>19</v>
      </c>
      <c r="AD41" s="162">
        <v>10</v>
      </c>
      <c r="AE41" s="162">
        <v>7</v>
      </c>
      <c r="AF41" s="161">
        <v>7</v>
      </c>
      <c r="AG41" s="64">
        <f t="shared" si="2"/>
        <v>382</v>
      </c>
    </row>
    <row r="42" spans="1:33" ht="18.75" x14ac:dyDescent="0.25">
      <c r="A42" s="301" t="s">
        <v>131</v>
      </c>
      <c r="B42" s="249">
        <v>5</v>
      </c>
      <c r="C42" s="162">
        <v>6</v>
      </c>
      <c r="D42" s="162">
        <v>8</v>
      </c>
      <c r="E42" s="162">
        <v>10</v>
      </c>
      <c r="F42" s="162">
        <v>12</v>
      </c>
      <c r="G42" s="162">
        <v>10</v>
      </c>
      <c r="H42" s="162">
        <v>14</v>
      </c>
      <c r="I42" s="162">
        <v>9</v>
      </c>
      <c r="J42" s="162">
        <v>8</v>
      </c>
      <c r="K42" s="162">
        <v>3</v>
      </c>
      <c r="L42" s="162">
        <v>10</v>
      </c>
      <c r="M42" s="162">
        <v>15</v>
      </c>
      <c r="N42" s="162">
        <v>15</v>
      </c>
      <c r="O42" s="162">
        <v>6</v>
      </c>
      <c r="P42" s="162">
        <v>7</v>
      </c>
      <c r="Q42" s="162">
        <v>4</v>
      </c>
      <c r="R42" s="162">
        <v>7</v>
      </c>
      <c r="S42" s="162">
        <v>17</v>
      </c>
      <c r="T42" s="162">
        <v>6</v>
      </c>
      <c r="U42" s="162">
        <v>12</v>
      </c>
      <c r="V42" s="162">
        <v>10</v>
      </c>
      <c r="W42" s="162">
        <v>15</v>
      </c>
      <c r="X42" s="162">
        <v>6</v>
      </c>
      <c r="Y42" s="162">
        <v>13</v>
      </c>
      <c r="Z42" s="162">
        <v>13</v>
      </c>
      <c r="AA42" s="162">
        <v>10</v>
      </c>
      <c r="AB42" s="162">
        <v>7</v>
      </c>
      <c r="AC42" s="162">
        <v>11</v>
      </c>
      <c r="AD42" s="162">
        <v>8</v>
      </c>
      <c r="AE42" s="162">
        <v>9</v>
      </c>
      <c r="AF42" s="161">
        <v>7</v>
      </c>
      <c r="AG42" s="64">
        <f t="shared" si="2"/>
        <v>293</v>
      </c>
    </row>
    <row r="43" spans="1:33" ht="18.75" x14ac:dyDescent="0.25">
      <c r="A43" s="301" t="s">
        <v>130</v>
      </c>
      <c r="B43" s="249">
        <v>7</v>
      </c>
      <c r="C43" s="162">
        <v>4</v>
      </c>
      <c r="D43" s="162">
        <v>7</v>
      </c>
      <c r="E43" s="162">
        <v>15</v>
      </c>
      <c r="F43" s="162">
        <v>15</v>
      </c>
      <c r="G43" s="162">
        <v>8</v>
      </c>
      <c r="H43" s="162">
        <v>13</v>
      </c>
      <c r="I43" s="162">
        <v>15</v>
      </c>
      <c r="J43" s="162">
        <v>7</v>
      </c>
      <c r="K43" s="162">
        <v>6</v>
      </c>
      <c r="L43" s="162">
        <v>13</v>
      </c>
      <c r="M43" s="162">
        <v>5</v>
      </c>
      <c r="N43" s="162">
        <v>14</v>
      </c>
      <c r="O43" s="162">
        <v>3</v>
      </c>
      <c r="P43" s="162">
        <v>15</v>
      </c>
      <c r="Q43" s="162">
        <v>7</v>
      </c>
      <c r="R43" s="162">
        <v>6</v>
      </c>
      <c r="S43" s="162">
        <v>11</v>
      </c>
      <c r="T43" s="162">
        <v>7</v>
      </c>
      <c r="U43" s="162">
        <v>10</v>
      </c>
      <c r="V43" s="162">
        <v>9</v>
      </c>
      <c r="W43" s="162">
        <v>12</v>
      </c>
      <c r="X43" s="162">
        <v>5</v>
      </c>
      <c r="Y43" s="162">
        <v>7</v>
      </c>
      <c r="Z43" s="162">
        <v>9</v>
      </c>
      <c r="AA43" s="162">
        <v>6</v>
      </c>
      <c r="AB43" s="162">
        <v>13</v>
      </c>
      <c r="AC43" s="162">
        <v>6</v>
      </c>
      <c r="AD43" s="162">
        <v>8</v>
      </c>
      <c r="AE43" s="162">
        <v>8</v>
      </c>
      <c r="AF43" s="161">
        <v>4</v>
      </c>
      <c r="AG43" s="64">
        <f t="shared" si="2"/>
        <v>275</v>
      </c>
    </row>
    <row r="44" spans="1:33" ht="18.75" x14ac:dyDescent="0.25">
      <c r="A44" s="301" t="s">
        <v>129</v>
      </c>
      <c r="B44" s="249">
        <v>5</v>
      </c>
      <c r="C44" s="162">
        <v>5</v>
      </c>
      <c r="D44" s="162">
        <v>12</v>
      </c>
      <c r="E44" s="162">
        <v>13</v>
      </c>
      <c r="F44" s="162">
        <v>7</v>
      </c>
      <c r="G44" s="162">
        <v>7</v>
      </c>
      <c r="H44" s="162">
        <v>5</v>
      </c>
      <c r="I44" s="162">
        <v>7</v>
      </c>
      <c r="J44" s="162">
        <v>7</v>
      </c>
      <c r="K44" s="162">
        <v>10</v>
      </c>
      <c r="L44" s="162">
        <v>12</v>
      </c>
      <c r="M44" s="162">
        <v>9</v>
      </c>
      <c r="N44" s="162">
        <v>14</v>
      </c>
      <c r="O44" s="162"/>
      <c r="P44" s="162">
        <v>3</v>
      </c>
      <c r="Q44" s="162">
        <v>5</v>
      </c>
      <c r="R44" s="162">
        <v>6</v>
      </c>
      <c r="S44" s="162">
        <v>14</v>
      </c>
      <c r="T44" s="162">
        <v>7</v>
      </c>
      <c r="U44" s="162">
        <v>8</v>
      </c>
      <c r="V44" s="162">
        <v>7</v>
      </c>
      <c r="W44" s="162">
        <v>10</v>
      </c>
      <c r="X44" s="162">
        <v>4</v>
      </c>
      <c r="Y44" s="162">
        <v>1</v>
      </c>
      <c r="Z44" s="162">
        <v>6</v>
      </c>
      <c r="AA44" s="162">
        <v>4</v>
      </c>
      <c r="AB44" s="162">
        <v>5</v>
      </c>
      <c r="AC44" s="162">
        <v>2</v>
      </c>
      <c r="AD44" s="162">
        <v>2</v>
      </c>
      <c r="AE44" s="162">
        <v>3</v>
      </c>
      <c r="AF44" s="161">
        <v>3</v>
      </c>
      <c r="AG44" s="64">
        <f t="shared" si="2"/>
        <v>203</v>
      </c>
    </row>
    <row r="45" spans="1:33" ht="18.75" x14ac:dyDescent="0.25">
      <c r="A45" s="301" t="s">
        <v>128</v>
      </c>
      <c r="B45" s="249">
        <v>7</v>
      </c>
      <c r="C45" s="162">
        <v>3</v>
      </c>
      <c r="D45" s="162">
        <v>5</v>
      </c>
      <c r="E45" s="162">
        <v>11</v>
      </c>
      <c r="F45" s="162">
        <v>10</v>
      </c>
      <c r="G45" s="162">
        <v>9</v>
      </c>
      <c r="H45" s="162">
        <v>5</v>
      </c>
      <c r="I45" s="162">
        <v>2</v>
      </c>
      <c r="J45" s="162">
        <v>1</v>
      </c>
      <c r="K45" s="162">
        <v>8</v>
      </c>
      <c r="L45" s="162">
        <v>6</v>
      </c>
      <c r="M45" s="162">
        <v>5</v>
      </c>
      <c r="N45" s="162">
        <v>6</v>
      </c>
      <c r="O45" s="162">
        <v>3</v>
      </c>
      <c r="P45" s="162">
        <v>3</v>
      </c>
      <c r="Q45" s="162">
        <v>6</v>
      </c>
      <c r="R45" s="162">
        <v>6</v>
      </c>
      <c r="S45" s="162">
        <v>7</v>
      </c>
      <c r="T45" s="162">
        <v>6</v>
      </c>
      <c r="U45" s="162">
        <v>7</v>
      </c>
      <c r="V45" s="162">
        <v>13</v>
      </c>
      <c r="W45" s="162">
        <v>6</v>
      </c>
      <c r="X45" s="162">
        <v>5</v>
      </c>
      <c r="Y45" s="162">
        <v>4</v>
      </c>
      <c r="Z45" s="162">
        <v>6</v>
      </c>
      <c r="AA45" s="162">
        <v>8</v>
      </c>
      <c r="AB45" s="162">
        <v>3</v>
      </c>
      <c r="AC45" s="162">
        <v>3</v>
      </c>
      <c r="AD45" s="162">
        <v>4</v>
      </c>
      <c r="AE45" s="162">
        <v>3</v>
      </c>
      <c r="AF45" s="161">
        <v>4</v>
      </c>
      <c r="AG45" s="64">
        <f t="shared" si="2"/>
        <v>175</v>
      </c>
    </row>
    <row r="46" spans="1:33" ht="18.75" x14ac:dyDescent="0.25">
      <c r="A46" s="301" t="s">
        <v>127</v>
      </c>
      <c r="B46" s="249">
        <v>3</v>
      </c>
      <c r="C46" s="162">
        <v>2</v>
      </c>
      <c r="D46" s="162">
        <v>2</v>
      </c>
      <c r="E46" s="162">
        <v>5</v>
      </c>
      <c r="F46" s="162"/>
      <c r="G46" s="162">
        <v>8</v>
      </c>
      <c r="H46" s="162">
        <v>3</v>
      </c>
      <c r="I46" s="162">
        <v>3</v>
      </c>
      <c r="J46" s="162">
        <v>2</v>
      </c>
      <c r="K46" s="162">
        <v>5</v>
      </c>
      <c r="L46" s="162">
        <v>5</v>
      </c>
      <c r="M46" s="162">
        <v>2</v>
      </c>
      <c r="N46" s="162">
        <v>3</v>
      </c>
      <c r="O46" s="162"/>
      <c r="P46" s="162">
        <v>3</v>
      </c>
      <c r="Q46" s="162">
        <v>3</v>
      </c>
      <c r="R46" s="162">
        <v>2</v>
      </c>
      <c r="S46" s="162">
        <v>6</v>
      </c>
      <c r="T46" s="162">
        <v>5</v>
      </c>
      <c r="U46" s="162">
        <v>5</v>
      </c>
      <c r="V46" s="162">
        <v>3</v>
      </c>
      <c r="W46" s="162">
        <v>2</v>
      </c>
      <c r="X46" s="162">
        <v>3</v>
      </c>
      <c r="Y46" s="162">
        <v>3</v>
      </c>
      <c r="Z46" s="162">
        <v>2</v>
      </c>
      <c r="AA46" s="162">
        <v>7</v>
      </c>
      <c r="AB46" s="162"/>
      <c r="AC46" s="162"/>
      <c r="AD46" s="162">
        <v>6</v>
      </c>
      <c r="AE46" s="162"/>
      <c r="AF46" s="161">
        <v>1</v>
      </c>
      <c r="AG46" s="64">
        <f t="shared" si="2"/>
        <v>94</v>
      </c>
    </row>
    <row r="47" spans="1:33" ht="18.75" x14ac:dyDescent="0.25">
      <c r="A47" s="301" t="s">
        <v>126</v>
      </c>
      <c r="B47" s="249">
        <v>6</v>
      </c>
      <c r="C47" s="162">
        <v>4</v>
      </c>
      <c r="D47" s="162"/>
      <c r="E47" s="162">
        <v>1</v>
      </c>
      <c r="F47" s="162"/>
      <c r="G47" s="162">
        <v>4</v>
      </c>
      <c r="H47" s="162">
        <v>2</v>
      </c>
      <c r="I47" s="162"/>
      <c r="J47" s="162"/>
      <c r="K47" s="162">
        <v>2</v>
      </c>
      <c r="L47" s="162"/>
      <c r="M47" s="162"/>
      <c r="N47" s="162"/>
      <c r="O47" s="162">
        <v>1</v>
      </c>
      <c r="P47" s="162">
        <v>5</v>
      </c>
      <c r="Q47" s="162">
        <v>1</v>
      </c>
      <c r="R47" s="162">
        <v>1</v>
      </c>
      <c r="S47" s="162">
        <v>2</v>
      </c>
      <c r="T47" s="162"/>
      <c r="U47" s="162">
        <v>2</v>
      </c>
      <c r="V47" s="162">
        <v>1</v>
      </c>
      <c r="W47" s="162">
        <v>4</v>
      </c>
      <c r="X47" s="162"/>
      <c r="Y47" s="162">
        <v>2</v>
      </c>
      <c r="Z47" s="162"/>
      <c r="AA47" s="162">
        <v>3</v>
      </c>
      <c r="AB47" s="162"/>
      <c r="AC47" s="162"/>
      <c r="AD47" s="162">
        <v>1</v>
      </c>
      <c r="AE47" s="162">
        <v>3</v>
      </c>
      <c r="AF47" s="161">
        <v>2</v>
      </c>
      <c r="AG47" s="64">
        <f t="shared" si="2"/>
        <v>47</v>
      </c>
    </row>
    <row r="48" spans="1:33" ht="18.75" x14ac:dyDescent="0.25">
      <c r="A48" s="301" t="s">
        <v>125</v>
      </c>
      <c r="B48" s="249">
        <v>2</v>
      </c>
      <c r="C48" s="162"/>
      <c r="D48" s="162">
        <v>1</v>
      </c>
      <c r="E48" s="162"/>
      <c r="F48" s="162">
        <v>1</v>
      </c>
      <c r="G48" s="162"/>
      <c r="H48" s="162"/>
      <c r="I48" s="162">
        <v>1</v>
      </c>
      <c r="J48" s="162">
        <v>2</v>
      </c>
      <c r="K48" s="162">
        <v>1</v>
      </c>
      <c r="L48" s="162"/>
      <c r="M48" s="162"/>
      <c r="N48" s="162"/>
      <c r="O48" s="162"/>
      <c r="P48" s="162"/>
      <c r="Q48" s="162"/>
      <c r="R48" s="162">
        <v>1</v>
      </c>
      <c r="S48" s="162">
        <v>1</v>
      </c>
      <c r="T48" s="162">
        <v>1</v>
      </c>
      <c r="U48" s="162"/>
      <c r="V48" s="162">
        <v>1</v>
      </c>
      <c r="W48" s="162">
        <v>3</v>
      </c>
      <c r="X48" s="162">
        <v>1</v>
      </c>
      <c r="Y48" s="162">
        <v>2</v>
      </c>
      <c r="Z48" s="162"/>
      <c r="AA48" s="162"/>
      <c r="AB48" s="162">
        <v>1</v>
      </c>
      <c r="AC48" s="162"/>
      <c r="AD48" s="162">
        <v>1</v>
      </c>
      <c r="AE48" s="162">
        <v>2</v>
      </c>
      <c r="AF48" s="161"/>
      <c r="AG48" s="64">
        <f t="shared" si="2"/>
        <v>22</v>
      </c>
    </row>
    <row r="49" spans="1:33" ht="18.75" x14ac:dyDescent="0.25">
      <c r="A49" s="301" t="s">
        <v>124</v>
      </c>
      <c r="B49" s="249"/>
      <c r="C49" s="162">
        <v>1</v>
      </c>
      <c r="D49" s="162"/>
      <c r="E49" s="162"/>
      <c r="F49" s="162">
        <v>2</v>
      </c>
      <c r="G49" s="162">
        <v>1</v>
      </c>
      <c r="H49" s="162"/>
      <c r="I49" s="162">
        <v>2</v>
      </c>
      <c r="J49" s="162"/>
      <c r="K49" s="162">
        <v>1</v>
      </c>
      <c r="L49" s="162"/>
      <c r="M49" s="162">
        <v>1</v>
      </c>
      <c r="N49" s="162">
        <v>4</v>
      </c>
      <c r="O49" s="162">
        <v>1</v>
      </c>
      <c r="P49" s="162">
        <v>1</v>
      </c>
      <c r="Q49" s="162"/>
      <c r="R49" s="162"/>
      <c r="S49" s="162"/>
      <c r="T49" s="162"/>
      <c r="U49" s="162"/>
      <c r="V49" s="162">
        <v>2</v>
      </c>
      <c r="W49" s="162"/>
      <c r="X49" s="162"/>
      <c r="Y49" s="162"/>
      <c r="Z49" s="162"/>
      <c r="AA49" s="162"/>
      <c r="AB49" s="162">
        <v>2</v>
      </c>
      <c r="AC49" s="162"/>
      <c r="AD49" s="162">
        <v>2</v>
      </c>
      <c r="AE49" s="162"/>
      <c r="AF49" s="161">
        <v>1</v>
      </c>
      <c r="AG49" s="64">
        <f t="shared" si="2"/>
        <v>21</v>
      </c>
    </row>
    <row r="50" spans="1:33" ht="18.75" x14ac:dyDescent="0.25">
      <c r="A50" s="301" t="s">
        <v>123</v>
      </c>
      <c r="B50" s="249"/>
      <c r="C50" s="162">
        <v>2</v>
      </c>
      <c r="D50" s="162">
        <v>2</v>
      </c>
      <c r="E50" s="162"/>
      <c r="F50" s="162">
        <v>3</v>
      </c>
      <c r="G50" s="162">
        <v>1</v>
      </c>
      <c r="H50" s="162">
        <v>1</v>
      </c>
      <c r="I50" s="162">
        <v>1</v>
      </c>
      <c r="J50" s="162">
        <v>1</v>
      </c>
      <c r="K50" s="162"/>
      <c r="L50" s="162">
        <v>2</v>
      </c>
      <c r="M50" s="162"/>
      <c r="N50" s="162"/>
      <c r="O50" s="162"/>
      <c r="P50" s="162"/>
      <c r="Q50" s="162"/>
      <c r="R50" s="162"/>
      <c r="S50" s="162">
        <v>1</v>
      </c>
      <c r="T50" s="162">
        <v>1</v>
      </c>
      <c r="U50" s="162">
        <v>1</v>
      </c>
      <c r="V50" s="162"/>
      <c r="W50" s="162"/>
      <c r="X50" s="162"/>
      <c r="Y50" s="162"/>
      <c r="Z50" s="162">
        <v>1</v>
      </c>
      <c r="AA50" s="162"/>
      <c r="AB50" s="162">
        <v>1</v>
      </c>
      <c r="AC50" s="162"/>
      <c r="AD50" s="162"/>
      <c r="AE50" s="162">
        <v>1</v>
      </c>
      <c r="AF50" s="161">
        <v>1</v>
      </c>
      <c r="AG50" s="64">
        <f t="shared" si="2"/>
        <v>20</v>
      </c>
    </row>
    <row r="51" spans="1:33" ht="18.75" x14ac:dyDescent="0.25">
      <c r="A51" s="301" t="s">
        <v>122</v>
      </c>
      <c r="B51" s="249">
        <v>1</v>
      </c>
      <c r="C51" s="162"/>
      <c r="D51" s="162">
        <v>1</v>
      </c>
      <c r="E51" s="162"/>
      <c r="F51" s="162">
        <v>1</v>
      </c>
      <c r="G51" s="162">
        <v>2</v>
      </c>
      <c r="H51" s="162">
        <v>4</v>
      </c>
      <c r="I51" s="162"/>
      <c r="J51" s="162">
        <v>1</v>
      </c>
      <c r="K51" s="162">
        <v>1</v>
      </c>
      <c r="L51" s="162"/>
      <c r="M51" s="162"/>
      <c r="N51" s="162"/>
      <c r="O51" s="162">
        <v>1</v>
      </c>
      <c r="P51" s="162"/>
      <c r="Q51" s="162">
        <v>1</v>
      </c>
      <c r="R51" s="162">
        <v>1</v>
      </c>
      <c r="S51" s="162"/>
      <c r="T51" s="162"/>
      <c r="U51" s="162">
        <v>2</v>
      </c>
      <c r="V51" s="162"/>
      <c r="W51" s="162">
        <v>1</v>
      </c>
      <c r="X51" s="162">
        <v>2</v>
      </c>
      <c r="Y51" s="162"/>
      <c r="Z51" s="162"/>
      <c r="AA51" s="162">
        <v>1</v>
      </c>
      <c r="AB51" s="162">
        <v>2</v>
      </c>
      <c r="AC51" s="162"/>
      <c r="AD51" s="162"/>
      <c r="AE51" s="162">
        <v>7</v>
      </c>
      <c r="AF51" s="161"/>
      <c r="AG51" s="64">
        <f t="shared" si="2"/>
        <v>29</v>
      </c>
    </row>
    <row r="52" spans="1:33" ht="19.5" thickBot="1" x14ac:dyDescent="0.3">
      <c r="A52" s="304" t="s">
        <v>121</v>
      </c>
      <c r="B52" s="252"/>
      <c r="C52" s="181">
        <v>1</v>
      </c>
      <c r="D52" s="181">
        <v>1</v>
      </c>
      <c r="E52" s="181"/>
      <c r="F52" s="181"/>
      <c r="G52" s="181"/>
      <c r="H52" s="181"/>
      <c r="I52" s="181"/>
      <c r="J52" s="181"/>
      <c r="K52" s="181"/>
      <c r="L52" s="181"/>
      <c r="M52" s="181"/>
      <c r="N52" s="181">
        <v>1</v>
      </c>
      <c r="O52" s="181"/>
      <c r="P52" s="181"/>
      <c r="Q52" s="181"/>
      <c r="R52" s="181">
        <v>3</v>
      </c>
      <c r="S52" s="181">
        <v>2</v>
      </c>
      <c r="T52" s="181"/>
      <c r="U52" s="181">
        <v>1</v>
      </c>
      <c r="V52" s="181"/>
      <c r="W52" s="181">
        <v>1</v>
      </c>
      <c r="X52" s="181">
        <v>2</v>
      </c>
      <c r="Y52" s="181">
        <v>3</v>
      </c>
      <c r="Z52" s="181"/>
      <c r="AA52" s="181">
        <v>2</v>
      </c>
      <c r="AB52" s="181"/>
      <c r="AC52" s="181"/>
      <c r="AD52" s="181">
        <v>1</v>
      </c>
      <c r="AE52" s="181">
        <v>2</v>
      </c>
      <c r="AF52" s="180">
        <v>1</v>
      </c>
      <c r="AG52" s="160">
        <f t="shared" si="2"/>
        <v>21</v>
      </c>
    </row>
    <row r="53" spans="1:33" ht="19.5" thickBot="1" x14ac:dyDescent="0.3">
      <c r="A53" s="299" t="s">
        <v>145</v>
      </c>
      <c r="B53" s="247">
        <f t="shared" ref="B53:AF53" si="4">SUM(B54:B77)</f>
        <v>7</v>
      </c>
      <c r="C53" s="120">
        <f t="shared" si="4"/>
        <v>6</v>
      </c>
      <c r="D53" s="120">
        <f t="shared" si="4"/>
        <v>6</v>
      </c>
      <c r="E53" s="120">
        <f t="shared" si="4"/>
        <v>18</v>
      </c>
      <c r="F53" s="120">
        <f t="shared" si="4"/>
        <v>11</v>
      </c>
      <c r="G53" s="120">
        <f t="shared" si="4"/>
        <v>13</v>
      </c>
      <c r="H53" s="120">
        <f t="shared" si="4"/>
        <v>10</v>
      </c>
      <c r="I53" s="120">
        <f t="shared" si="4"/>
        <v>13</v>
      </c>
      <c r="J53" s="120">
        <f t="shared" si="4"/>
        <v>5</v>
      </c>
      <c r="K53" s="120">
        <f t="shared" si="4"/>
        <v>5</v>
      </c>
      <c r="L53" s="120">
        <f t="shared" si="4"/>
        <v>15</v>
      </c>
      <c r="M53" s="120">
        <f t="shared" si="4"/>
        <v>3</v>
      </c>
      <c r="N53" s="120">
        <f t="shared" si="4"/>
        <v>12</v>
      </c>
      <c r="O53" s="120">
        <f t="shared" si="4"/>
        <v>6</v>
      </c>
      <c r="P53" s="120">
        <f t="shared" si="4"/>
        <v>7</v>
      </c>
      <c r="Q53" s="120">
        <f t="shared" si="4"/>
        <v>5</v>
      </c>
      <c r="R53" s="120">
        <f t="shared" si="4"/>
        <v>10</v>
      </c>
      <c r="S53" s="120">
        <f t="shared" si="4"/>
        <v>25</v>
      </c>
      <c r="T53" s="120">
        <f t="shared" si="4"/>
        <v>8</v>
      </c>
      <c r="U53" s="120">
        <f t="shared" si="4"/>
        <v>6</v>
      </c>
      <c r="V53" s="120">
        <f t="shared" si="4"/>
        <v>12</v>
      </c>
      <c r="W53" s="120">
        <f t="shared" si="4"/>
        <v>16</v>
      </c>
      <c r="X53" s="120">
        <f t="shared" si="4"/>
        <v>5</v>
      </c>
      <c r="Y53" s="120">
        <f t="shared" si="4"/>
        <v>3</v>
      </c>
      <c r="Z53" s="120">
        <f t="shared" si="4"/>
        <v>15</v>
      </c>
      <c r="AA53" s="120">
        <f t="shared" si="4"/>
        <v>3</v>
      </c>
      <c r="AB53" s="120">
        <f t="shared" si="4"/>
        <v>7</v>
      </c>
      <c r="AC53" s="120">
        <f t="shared" si="4"/>
        <v>10</v>
      </c>
      <c r="AD53" s="120">
        <f t="shared" si="4"/>
        <v>4</v>
      </c>
      <c r="AE53" s="120">
        <f t="shared" si="4"/>
        <v>7</v>
      </c>
      <c r="AF53" s="120">
        <f t="shared" si="4"/>
        <v>6</v>
      </c>
      <c r="AG53" s="157">
        <f t="shared" si="2"/>
        <v>279</v>
      </c>
    </row>
    <row r="54" spans="1:33" ht="18.75" x14ac:dyDescent="0.25">
      <c r="A54" s="300" t="s">
        <v>144</v>
      </c>
      <c r="B54" s="248">
        <v>1</v>
      </c>
      <c r="C54" s="199"/>
      <c r="D54" s="162"/>
      <c r="E54" s="199"/>
      <c r="F54" s="199"/>
      <c r="G54" s="162"/>
      <c r="H54" s="199"/>
      <c r="I54" s="199"/>
      <c r="J54" s="199"/>
      <c r="K54" s="199"/>
      <c r="L54" s="199"/>
      <c r="M54" s="199"/>
      <c r="N54" s="199"/>
      <c r="O54" s="199"/>
      <c r="P54" s="199">
        <v>1</v>
      </c>
      <c r="Q54" s="199"/>
      <c r="R54" s="199"/>
      <c r="S54" s="199"/>
      <c r="T54" s="199"/>
      <c r="U54" s="199"/>
      <c r="V54" s="199"/>
      <c r="W54" s="199"/>
      <c r="X54" s="199">
        <v>1</v>
      </c>
      <c r="Y54" s="199">
        <v>1</v>
      </c>
      <c r="Z54" s="199"/>
      <c r="AA54" s="199"/>
      <c r="AB54" s="199"/>
      <c r="AC54" s="199">
        <v>1</v>
      </c>
      <c r="AD54" s="199"/>
      <c r="AE54" s="199"/>
      <c r="AF54" s="206"/>
      <c r="AG54" s="134">
        <f t="shared" si="2"/>
        <v>5</v>
      </c>
    </row>
    <row r="55" spans="1:33" ht="18.75" x14ac:dyDescent="0.25">
      <c r="A55" s="301" t="s">
        <v>143</v>
      </c>
      <c r="B55" s="249"/>
      <c r="C55" s="162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2">
        <v>1</v>
      </c>
      <c r="R55" s="162"/>
      <c r="S55" s="162"/>
      <c r="T55" s="162"/>
      <c r="U55" s="162"/>
      <c r="V55" s="162"/>
      <c r="W55" s="162">
        <v>1</v>
      </c>
      <c r="X55" s="162"/>
      <c r="Y55" s="162"/>
      <c r="Z55" s="162"/>
      <c r="AA55" s="162"/>
      <c r="AB55" s="162"/>
      <c r="AC55" s="162"/>
      <c r="AD55" s="162"/>
      <c r="AE55" s="162"/>
      <c r="AF55" s="161"/>
      <c r="AG55" s="64">
        <f t="shared" si="2"/>
        <v>2</v>
      </c>
    </row>
    <row r="56" spans="1:33" ht="18.75" x14ac:dyDescent="0.25">
      <c r="A56" s="301" t="s">
        <v>142</v>
      </c>
      <c r="B56" s="249"/>
      <c r="C56" s="162"/>
      <c r="D56" s="162"/>
      <c r="E56" s="162"/>
      <c r="F56" s="162"/>
      <c r="G56" s="162"/>
      <c r="H56" s="162">
        <v>1</v>
      </c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>
        <v>1</v>
      </c>
      <c r="U56" s="162"/>
      <c r="V56" s="162"/>
      <c r="W56" s="162"/>
      <c r="X56" s="162"/>
      <c r="Y56" s="162"/>
      <c r="Z56" s="162">
        <v>3</v>
      </c>
      <c r="AA56" s="162"/>
      <c r="AB56" s="162"/>
      <c r="AC56" s="162"/>
      <c r="AD56" s="162"/>
      <c r="AE56" s="162"/>
      <c r="AF56" s="161"/>
      <c r="AG56" s="64">
        <f t="shared" si="2"/>
        <v>5</v>
      </c>
    </row>
    <row r="57" spans="1:33" ht="18.75" x14ac:dyDescent="0.25">
      <c r="A57" s="301" t="s">
        <v>141</v>
      </c>
      <c r="B57" s="249"/>
      <c r="C57" s="162"/>
      <c r="D57" s="162"/>
      <c r="E57" s="162"/>
      <c r="F57" s="162"/>
      <c r="G57" s="162"/>
      <c r="H57" s="162"/>
      <c r="I57" s="162">
        <v>1</v>
      </c>
      <c r="J57" s="162"/>
      <c r="K57" s="162">
        <v>1</v>
      </c>
      <c r="L57" s="162"/>
      <c r="M57" s="162"/>
      <c r="N57" s="162"/>
      <c r="O57" s="162"/>
      <c r="P57" s="162"/>
      <c r="Q57" s="162"/>
      <c r="R57" s="162"/>
      <c r="S57" s="162"/>
      <c r="T57" s="162"/>
      <c r="U57" s="162"/>
      <c r="V57" s="162"/>
      <c r="W57" s="162"/>
      <c r="X57" s="162"/>
      <c r="Y57" s="162"/>
      <c r="Z57" s="162">
        <v>1</v>
      </c>
      <c r="AA57" s="162"/>
      <c r="AB57" s="162"/>
      <c r="AC57" s="162"/>
      <c r="AD57" s="162"/>
      <c r="AE57" s="162"/>
      <c r="AF57" s="161"/>
      <c r="AG57" s="64">
        <f t="shared" si="2"/>
        <v>3</v>
      </c>
    </row>
    <row r="58" spans="1:33" ht="18.75" x14ac:dyDescent="0.25">
      <c r="A58" s="301" t="s">
        <v>140</v>
      </c>
      <c r="B58" s="249"/>
      <c r="C58" s="162"/>
      <c r="D58" s="162"/>
      <c r="E58" s="162"/>
      <c r="F58" s="162"/>
      <c r="G58" s="162"/>
      <c r="H58" s="162"/>
      <c r="I58" s="162"/>
      <c r="J58" s="162"/>
      <c r="K58" s="162"/>
      <c r="L58" s="162">
        <v>1</v>
      </c>
      <c r="M58" s="162"/>
      <c r="N58" s="162">
        <v>4</v>
      </c>
      <c r="O58" s="162"/>
      <c r="P58" s="162"/>
      <c r="Q58" s="162"/>
      <c r="R58" s="162">
        <v>4</v>
      </c>
      <c r="S58" s="162"/>
      <c r="T58" s="162"/>
      <c r="U58" s="162"/>
      <c r="V58" s="162"/>
      <c r="W58" s="162"/>
      <c r="X58" s="162"/>
      <c r="Y58" s="162"/>
      <c r="Z58" s="162"/>
      <c r="AA58" s="162">
        <v>1</v>
      </c>
      <c r="AB58" s="162"/>
      <c r="AC58" s="162"/>
      <c r="AD58" s="162"/>
      <c r="AE58" s="162"/>
      <c r="AF58" s="161">
        <v>1</v>
      </c>
      <c r="AG58" s="64">
        <f t="shared" si="2"/>
        <v>11</v>
      </c>
    </row>
    <row r="59" spans="1:33" ht="18.75" x14ac:dyDescent="0.25">
      <c r="A59" s="301" t="s">
        <v>139</v>
      </c>
      <c r="B59" s="249"/>
      <c r="C59" s="162"/>
      <c r="D59" s="162"/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>
        <v>1</v>
      </c>
      <c r="V59" s="162"/>
      <c r="W59" s="162"/>
      <c r="X59" s="162"/>
      <c r="Y59" s="162"/>
      <c r="Z59" s="162"/>
      <c r="AA59" s="162">
        <v>1</v>
      </c>
      <c r="AB59" s="162"/>
      <c r="AC59" s="162">
        <v>1</v>
      </c>
      <c r="AD59" s="162">
        <v>2</v>
      </c>
      <c r="AE59" s="162"/>
      <c r="AF59" s="161"/>
      <c r="AG59" s="64">
        <f t="shared" si="2"/>
        <v>5</v>
      </c>
    </row>
    <row r="60" spans="1:33" ht="18.75" x14ac:dyDescent="0.25">
      <c r="A60" s="301" t="s">
        <v>138</v>
      </c>
      <c r="B60" s="249"/>
      <c r="C60" s="162"/>
      <c r="D60" s="162"/>
      <c r="E60" s="162"/>
      <c r="F60" s="162"/>
      <c r="G60" s="162"/>
      <c r="H60" s="162"/>
      <c r="I60" s="162"/>
      <c r="J60" s="162"/>
      <c r="K60" s="162"/>
      <c r="L60" s="162"/>
      <c r="M60" s="162"/>
      <c r="N60" s="162"/>
      <c r="O60" s="162"/>
      <c r="P60" s="162"/>
      <c r="Q60" s="162">
        <v>1</v>
      </c>
      <c r="R60" s="162"/>
      <c r="S60" s="162">
        <v>4</v>
      </c>
      <c r="T60" s="162">
        <v>2</v>
      </c>
      <c r="U60" s="162"/>
      <c r="V60" s="162"/>
      <c r="W60" s="162"/>
      <c r="X60" s="162">
        <v>1</v>
      </c>
      <c r="Y60" s="162"/>
      <c r="Z60" s="162">
        <v>1</v>
      </c>
      <c r="AA60" s="162"/>
      <c r="AB60" s="162"/>
      <c r="AC60" s="162">
        <v>1</v>
      </c>
      <c r="AD60" s="162"/>
      <c r="AE60" s="162"/>
      <c r="AF60" s="161"/>
      <c r="AG60" s="64">
        <f t="shared" si="2"/>
        <v>10</v>
      </c>
    </row>
    <row r="61" spans="1:33" ht="18.75" x14ac:dyDescent="0.25">
      <c r="A61" s="301" t="s">
        <v>137</v>
      </c>
      <c r="B61" s="249"/>
      <c r="C61" s="162"/>
      <c r="D61" s="162"/>
      <c r="E61" s="162"/>
      <c r="F61" s="162"/>
      <c r="G61" s="162"/>
      <c r="H61" s="162"/>
      <c r="I61" s="162"/>
      <c r="J61" s="162"/>
      <c r="K61" s="162"/>
      <c r="L61" s="162"/>
      <c r="M61" s="162"/>
      <c r="N61" s="162"/>
      <c r="O61" s="162"/>
      <c r="P61" s="162"/>
      <c r="Q61" s="162">
        <v>1</v>
      </c>
      <c r="R61" s="162">
        <v>1</v>
      </c>
      <c r="S61" s="162"/>
      <c r="T61" s="162">
        <v>1</v>
      </c>
      <c r="U61" s="162"/>
      <c r="V61" s="162"/>
      <c r="W61" s="162"/>
      <c r="X61" s="162"/>
      <c r="Y61" s="162"/>
      <c r="Z61" s="162">
        <v>2</v>
      </c>
      <c r="AA61" s="162"/>
      <c r="AB61" s="162"/>
      <c r="AC61" s="162"/>
      <c r="AD61" s="162"/>
      <c r="AE61" s="162">
        <v>1</v>
      </c>
      <c r="AF61" s="161">
        <v>2</v>
      </c>
      <c r="AG61" s="64">
        <f t="shared" si="2"/>
        <v>8</v>
      </c>
    </row>
    <row r="62" spans="1:33" ht="18.75" x14ac:dyDescent="0.25">
      <c r="A62" s="301" t="s">
        <v>136</v>
      </c>
      <c r="B62" s="249"/>
      <c r="C62" s="162">
        <v>1</v>
      </c>
      <c r="D62" s="162"/>
      <c r="E62" s="162"/>
      <c r="F62" s="162"/>
      <c r="G62" s="162"/>
      <c r="H62" s="162"/>
      <c r="I62" s="162"/>
      <c r="J62" s="162"/>
      <c r="K62" s="162"/>
      <c r="L62" s="162"/>
      <c r="M62" s="162"/>
      <c r="N62" s="162"/>
      <c r="O62" s="162"/>
      <c r="P62" s="162">
        <v>1</v>
      </c>
      <c r="Q62" s="162"/>
      <c r="R62" s="162"/>
      <c r="S62" s="162"/>
      <c r="T62" s="162">
        <v>1</v>
      </c>
      <c r="U62" s="162"/>
      <c r="V62" s="162"/>
      <c r="W62" s="162"/>
      <c r="X62" s="162"/>
      <c r="Y62" s="162"/>
      <c r="Z62" s="162">
        <v>1</v>
      </c>
      <c r="AA62" s="162"/>
      <c r="AB62" s="162"/>
      <c r="AC62" s="162"/>
      <c r="AD62" s="162">
        <v>1</v>
      </c>
      <c r="AE62" s="162"/>
      <c r="AF62" s="161"/>
      <c r="AG62" s="64">
        <f t="shared" si="2"/>
        <v>5</v>
      </c>
    </row>
    <row r="63" spans="1:33" ht="18.75" x14ac:dyDescent="0.25">
      <c r="A63" s="301" t="s">
        <v>135</v>
      </c>
      <c r="B63" s="249"/>
      <c r="C63" s="162"/>
      <c r="D63" s="162">
        <v>2</v>
      </c>
      <c r="E63" s="162">
        <v>1</v>
      </c>
      <c r="F63" s="162"/>
      <c r="G63" s="162"/>
      <c r="H63" s="162"/>
      <c r="I63" s="162"/>
      <c r="J63" s="162">
        <v>1</v>
      </c>
      <c r="K63" s="162"/>
      <c r="L63" s="162"/>
      <c r="M63" s="162"/>
      <c r="N63" s="162"/>
      <c r="O63" s="162"/>
      <c r="P63" s="162">
        <v>2</v>
      </c>
      <c r="Q63" s="162"/>
      <c r="R63" s="162">
        <v>1</v>
      </c>
      <c r="S63" s="162"/>
      <c r="T63" s="162"/>
      <c r="U63" s="162">
        <v>2</v>
      </c>
      <c r="V63" s="162">
        <v>4</v>
      </c>
      <c r="W63" s="162">
        <v>1</v>
      </c>
      <c r="X63" s="162">
        <v>1</v>
      </c>
      <c r="Y63" s="162">
        <v>1</v>
      </c>
      <c r="Z63" s="162"/>
      <c r="AA63" s="162"/>
      <c r="AB63" s="162">
        <v>2</v>
      </c>
      <c r="AC63" s="162">
        <v>1</v>
      </c>
      <c r="AD63" s="162"/>
      <c r="AE63" s="162">
        <v>1</v>
      </c>
      <c r="AF63" s="161">
        <v>1</v>
      </c>
      <c r="AG63" s="64">
        <f t="shared" si="2"/>
        <v>21</v>
      </c>
    </row>
    <row r="64" spans="1:33" ht="18.75" x14ac:dyDescent="0.25">
      <c r="A64" s="301" t="s">
        <v>134</v>
      </c>
      <c r="B64" s="249"/>
      <c r="C64" s="162">
        <v>1</v>
      </c>
      <c r="D64" s="162"/>
      <c r="E64" s="162">
        <v>2</v>
      </c>
      <c r="F64" s="162">
        <v>2</v>
      </c>
      <c r="G64" s="162">
        <v>1</v>
      </c>
      <c r="H64" s="162">
        <v>2</v>
      </c>
      <c r="I64" s="162">
        <v>1</v>
      </c>
      <c r="J64" s="162"/>
      <c r="K64" s="162"/>
      <c r="L64" s="162">
        <v>4</v>
      </c>
      <c r="M64" s="162">
        <v>1</v>
      </c>
      <c r="N64" s="162">
        <v>1</v>
      </c>
      <c r="O64" s="162"/>
      <c r="P64" s="162"/>
      <c r="Q64" s="162"/>
      <c r="R64" s="162"/>
      <c r="S64" s="162">
        <v>3</v>
      </c>
      <c r="T64" s="162"/>
      <c r="U64" s="162"/>
      <c r="V64" s="162">
        <v>3</v>
      </c>
      <c r="W64" s="162">
        <v>6</v>
      </c>
      <c r="X64" s="162"/>
      <c r="Y64" s="162"/>
      <c r="Z64" s="162"/>
      <c r="AA64" s="162"/>
      <c r="AB64" s="162">
        <v>1</v>
      </c>
      <c r="AC64" s="162">
        <v>1</v>
      </c>
      <c r="AD64" s="162">
        <v>1</v>
      </c>
      <c r="AE64" s="162">
        <v>1</v>
      </c>
      <c r="AF64" s="161"/>
      <c r="AG64" s="64">
        <f t="shared" si="2"/>
        <v>31</v>
      </c>
    </row>
    <row r="65" spans="1:33" ht="18.75" x14ac:dyDescent="0.25">
      <c r="A65" s="301" t="s">
        <v>133</v>
      </c>
      <c r="B65" s="249"/>
      <c r="C65" s="162"/>
      <c r="D65" s="162"/>
      <c r="E65" s="162"/>
      <c r="F65" s="162">
        <v>2</v>
      </c>
      <c r="G65" s="162"/>
      <c r="H65" s="162">
        <v>4</v>
      </c>
      <c r="I65" s="162">
        <v>2</v>
      </c>
      <c r="J65" s="162">
        <v>1</v>
      </c>
      <c r="K65" s="162"/>
      <c r="L65" s="162"/>
      <c r="M65" s="162">
        <v>2</v>
      </c>
      <c r="N65" s="162">
        <v>1</v>
      </c>
      <c r="O65" s="162">
        <v>1</v>
      </c>
      <c r="P65" s="162">
        <v>2</v>
      </c>
      <c r="Q65" s="162">
        <v>1</v>
      </c>
      <c r="R65" s="162"/>
      <c r="S65" s="162"/>
      <c r="T65" s="162">
        <v>1</v>
      </c>
      <c r="U65" s="162">
        <v>1</v>
      </c>
      <c r="V65" s="162">
        <v>1</v>
      </c>
      <c r="W65" s="162"/>
      <c r="X65" s="162"/>
      <c r="Y65" s="162">
        <v>1</v>
      </c>
      <c r="Z65" s="162">
        <v>2</v>
      </c>
      <c r="AA65" s="162"/>
      <c r="AB65" s="162">
        <v>1</v>
      </c>
      <c r="AC65" s="162">
        <v>2</v>
      </c>
      <c r="AD65" s="162"/>
      <c r="AE65" s="162"/>
      <c r="AF65" s="161"/>
      <c r="AG65" s="64">
        <f t="shared" si="2"/>
        <v>25</v>
      </c>
    </row>
    <row r="66" spans="1:33" ht="18.75" x14ac:dyDescent="0.25">
      <c r="A66" s="301" t="s">
        <v>132</v>
      </c>
      <c r="B66" s="249"/>
      <c r="C66" s="162">
        <v>2</v>
      </c>
      <c r="D66" s="162"/>
      <c r="E66" s="162">
        <v>2</v>
      </c>
      <c r="F66" s="162">
        <v>1</v>
      </c>
      <c r="G66" s="162">
        <v>1</v>
      </c>
      <c r="H66" s="162"/>
      <c r="I66" s="162">
        <v>3</v>
      </c>
      <c r="J66" s="162"/>
      <c r="K66" s="162"/>
      <c r="L66" s="162">
        <v>1</v>
      </c>
      <c r="M66" s="162"/>
      <c r="N66" s="162"/>
      <c r="O66" s="162">
        <v>1</v>
      </c>
      <c r="P66" s="162">
        <v>1</v>
      </c>
      <c r="Q66" s="162"/>
      <c r="R66" s="162">
        <v>1</v>
      </c>
      <c r="S66" s="162">
        <v>4</v>
      </c>
      <c r="T66" s="162"/>
      <c r="U66" s="162"/>
      <c r="V66" s="162">
        <v>2</v>
      </c>
      <c r="W66" s="162">
        <v>4</v>
      </c>
      <c r="X66" s="162">
        <v>1</v>
      </c>
      <c r="Y66" s="162"/>
      <c r="Z66" s="162">
        <v>2</v>
      </c>
      <c r="AA66" s="162"/>
      <c r="AB66" s="162">
        <v>2</v>
      </c>
      <c r="AC66" s="162">
        <v>1</v>
      </c>
      <c r="AD66" s="162"/>
      <c r="AE66" s="162">
        <v>3</v>
      </c>
      <c r="AF66" s="161"/>
      <c r="AG66" s="64">
        <f t="shared" si="2"/>
        <v>32</v>
      </c>
    </row>
    <row r="67" spans="1:33" ht="18.75" x14ac:dyDescent="0.25">
      <c r="A67" s="301" t="s">
        <v>131</v>
      </c>
      <c r="B67" s="249">
        <v>1</v>
      </c>
      <c r="C67" s="162">
        <v>1</v>
      </c>
      <c r="D67" s="162">
        <v>2</v>
      </c>
      <c r="E67" s="162">
        <v>2</v>
      </c>
      <c r="F67" s="162">
        <v>2</v>
      </c>
      <c r="G67" s="162">
        <v>2</v>
      </c>
      <c r="H67" s="162"/>
      <c r="I67" s="162">
        <v>4</v>
      </c>
      <c r="J67" s="162"/>
      <c r="K67" s="162"/>
      <c r="L67" s="162"/>
      <c r="M67" s="162"/>
      <c r="N67" s="162">
        <v>5</v>
      </c>
      <c r="O67" s="162">
        <v>1</v>
      </c>
      <c r="P67" s="162"/>
      <c r="Q67" s="162"/>
      <c r="R67" s="162"/>
      <c r="S67" s="162">
        <v>2</v>
      </c>
      <c r="T67" s="162">
        <v>1</v>
      </c>
      <c r="U67" s="162">
        <v>2</v>
      </c>
      <c r="V67" s="162"/>
      <c r="W67" s="162">
        <v>4</v>
      </c>
      <c r="X67" s="162"/>
      <c r="Y67" s="162"/>
      <c r="Z67" s="162">
        <v>2</v>
      </c>
      <c r="AA67" s="162"/>
      <c r="AB67" s="162"/>
      <c r="AC67" s="162">
        <v>1</v>
      </c>
      <c r="AD67" s="162"/>
      <c r="AE67" s="162">
        <v>1</v>
      </c>
      <c r="AF67" s="161"/>
      <c r="AG67" s="64">
        <f t="shared" ref="AG67:AG98" si="5">SUM(B67:AF67)</f>
        <v>33</v>
      </c>
    </row>
    <row r="68" spans="1:33" ht="18.75" x14ac:dyDescent="0.25">
      <c r="A68" s="301" t="s">
        <v>130</v>
      </c>
      <c r="B68" s="249">
        <v>5</v>
      </c>
      <c r="C68" s="162"/>
      <c r="D68" s="162"/>
      <c r="E68" s="162">
        <v>3</v>
      </c>
      <c r="F68" s="162">
        <v>1</v>
      </c>
      <c r="G68" s="162"/>
      <c r="H68" s="162">
        <v>1</v>
      </c>
      <c r="I68" s="162">
        <v>2</v>
      </c>
      <c r="J68" s="162">
        <v>2</v>
      </c>
      <c r="K68" s="162"/>
      <c r="L68" s="162">
        <v>3</v>
      </c>
      <c r="M68" s="162"/>
      <c r="N68" s="162"/>
      <c r="O68" s="162"/>
      <c r="P68" s="162"/>
      <c r="Q68" s="162"/>
      <c r="R68" s="162"/>
      <c r="S68" s="162">
        <v>1</v>
      </c>
      <c r="T68" s="162">
        <v>1</v>
      </c>
      <c r="U68" s="162"/>
      <c r="V68" s="162">
        <v>1</v>
      </c>
      <c r="W68" s="162"/>
      <c r="X68" s="162"/>
      <c r="Y68" s="162"/>
      <c r="Z68" s="162">
        <v>1</v>
      </c>
      <c r="AA68" s="162"/>
      <c r="AB68" s="162">
        <v>1</v>
      </c>
      <c r="AC68" s="162"/>
      <c r="AD68" s="162"/>
      <c r="AE68" s="162"/>
      <c r="AF68" s="161"/>
      <c r="AG68" s="64">
        <f t="shared" si="5"/>
        <v>22</v>
      </c>
    </row>
    <row r="69" spans="1:33" ht="18.75" x14ac:dyDescent="0.25">
      <c r="A69" s="301" t="s">
        <v>129</v>
      </c>
      <c r="B69" s="249"/>
      <c r="C69" s="162">
        <v>1</v>
      </c>
      <c r="D69" s="162">
        <v>1</v>
      </c>
      <c r="E69" s="162">
        <v>8</v>
      </c>
      <c r="F69" s="162">
        <v>1</v>
      </c>
      <c r="G69" s="162"/>
      <c r="H69" s="162">
        <v>1</v>
      </c>
      <c r="I69" s="162"/>
      <c r="J69" s="162">
        <v>1</v>
      </c>
      <c r="K69" s="162"/>
      <c r="L69" s="162">
        <v>1</v>
      </c>
      <c r="M69" s="162"/>
      <c r="N69" s="162">
        <v>1</v>
      </c>
      <c r="O69" s="162"/>
      <c r="P69" s="162"/>
      <c r="Q69" s="162"/>
      <c r="R69" s="162">
        <v>2</v>
      </c>
      <c r="S69" s="162">
        <v>8</v>
      </c>
      <c r="T69" s="162"/>
      <c r="U69" s="162"/>
      <c r="V69" s="162">
        <v>1</v>
      </c>
      <c r="W69" s="162"/>
      <c r="X69" s="162">
        <v>1</v>
      </c>
      <c r="Y69" s="162"/>
      <c r="Z69" s="162"/>
      <c r="AA69" s="162">
        <v>1</v>
      </c>
      <c r="AB69" s="162"/>
      <c r="AC69" s="162"/>
      <c r="AD69" s="162"/>
      <c r="AE69" s="162"/>
      <c r="AF69" s="161">
        <v>1</v>
      </c>
      <c r="AG69" s="64">
        <f t="shared" si="5"/>
        <v>29</v>
      </c>
    </row>
    <row r="70" spans="1:33" ht="18.75" x14ac:dyDescent="0.25">
      <c r="A70" s="301" t="s">
        <v>128</v>
      </c>
      <c r="B70" s="248"/>
      <c r="C70" s="199"/>
      <c r="D70" s="162"/>
      <c r="E70" s="199"/>
      <c r="F70" s="199">
        <v>2</v>
      </c>
      <c r="G70" s="162">
        <v>8</v>
      </c>
      <c r="H70" s="199">
        <v>1</v>
      </c>
      <c r="I70" s="162"/>
      <c r="J70" s="199"/>
      <c r="K70" s="199">
        <v>4</v>
      </c>
      <c r="L70" s="199">
        <v>2</v>
      </c>
      <c r="M70" s="199"/>
      <c r="N70" s="199"/>
      <c r="O70" s="199">
        <v>1</v>
      </c>
      <c r="P70" s="199"/>
      <c r="Q70" s="199">
        <v>1</v>
      </c>
      <c r="R70" s="199">
        <v>1</v>
      </c>
      <c r="S70" s="199">
        <v>2</v>
      </c>
      <c r="T70" s="199"/>
      <c r="U70" s="199"/>
      <c r="V70" s="199"/>
      <c r="W70" s="199"/>
      <c r="X70" s="199"/>
      <c r="Y70" s="199"/>
      <c r="Z70" s="199"/>
      <c r="AA70" s="199"/>
      <c r="AB70" s="199"/>
      <c r="AC70" s="199"/>
      <c r="AD70" s="199"/>
      <c r="AE70" s="199"/>
      <c r="AF70" s="206"/>
      <c r="AG70" s="64">
        <f t="shared" si="5"/>
        <v>22</v>
      </c>
    </row>
    <row r="71" spans="1:33" ht="18.75" x14ac:dyDescent="0.25">
      <c r="A71" s="301" t="s">
        <v>127</v>
      </c>
      <c r="B71" s="248"/>
      <c r="C71" s="199"/>
      <c r="D71" s="162"/>
      <c r="E71" s="199"/>
      <c r="F71" s="199"/>
      <c r="G71" s="162">
        <v>1</v>
      </c>
      <c r="H71" s="199"/>
      <c r="I71" s="162"/>
      <c r="J71" s="199"/>
      <c r="K71" s="199"/>
      <c r="L71" s="199">
        <v>2</v>
      </c>
      <c r="M71" s="199"/>
      <c r="N71" s="199"/>
      <c r="O71" s="199"/>
      <c r="P71" s="199"/>
      <c r="Q71" s="199"/>
      <c r="R71" s="199"/>
      <c r="S71" s="199">
        <v>1</v>
      </c>
      <c r="T71" s="199"/>
      <c r="U71" s="199"/>
      <c r="V71" s="199"/>
      <c r="W71" s="199"/>
      <c r="X71" s="199"/>
      <c r="Y71" s="199"/>
      <c r="Z71" s="199"/>
      <c r="AA71" s="199"/>
      <c r="AB71" s="199"/>
      <c r="AC71" s="199"/>
      <c r="AD71" s="199"/>
      <c r="AE71" s="199"/>
      <c r="AF71" s="206">
        <v>1</v>
      </c>
      <c r="AG71" s="64">
        <f t="shared" si="5"/>
        <v>5</v>
      </c>
    </row>
    <row r="72" spans="1:33" ht="18.75" x14ac:dyDescent="0.25">
      <c r="A72" s="301" t="s">
        <v>126</v>
      </c>
      <c r="B72" s="248"/>
      <c r="C72" s="199"/>
      <c r="D72" s="162"/>
      <c r="E72" s="199"/>
      <c r="F72" s="199"/>
      <c r="G72" s="162"/>
      <c r="H72" s="199"/>
      <c r="I72" s="162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199"/>
      <c r="X72" s="199"/>
      <c r="Y72" s="199"/>
      <c r="Z72" s="199"/>
      <c r="AA72" s="199"/>
      <c r="AB72" s="199"/>
      <c r="AC72" s="199">
        <v>1</v>
      </c>
      <c r="AD72" s="199"/>
      <c r="AE72" s="199"/>
      <c r="AF72" s="206"/>
      <c r="AG72" s="64">
        <f t="shared" si="5"/>
        <v>1</v>
      </c>
    </row>
    <row r="73" spans="1:33" ht="18.75" x14ac:dyDescent="0.25">
      <c r="A73" s="301" t="s">
        <v>125</v>
      </c>
      <c r="B73" s="248"/>
      <c r="C73" s="199"/>
      <c r="D73" s="162"/>
      <c r="E73" s="199"/>
      <c r="F73" s="199"/>
      <c r="G73" s="162"/>
      <c r="H73" s="199"/>
      <c r="I73" s="162"/>
      <c r="J73" s="199"/>
      <c r="K73" s="199"/>
      <c r="L73" s="199">
        <v>1</v>
      </c>
      <c r="M73" s="199"/>
      <c r="N73" s="199"/>
      <c r="O73" s="199"/>
      <c r="P73" s="199"/>
      <c r="Q73" s="199"/>
      <c r="R73" s="199"/>
      <c r="S73" s="199"/>
      <c r="T73" s="199"/>
      <c r="U73" s="199"/>
      <c r="V73" s="199"/>
      <c r="W73" s="199"/>
      <c r="X73" s="199"/>
      <c r="Y73" s="199"/>
      <c r="Z73" s="199"/>
      <c r="AA73" s="199"/>
      <c r="AB73" s="199"/>
      <c r="AC73" s="199"/>
      <c r="AD73" s="199"/>
      <c r="AE73" s="199"/>
      <c r="AF73" s="206"/>
      <c r="AG73" s="64">
        <f t="shared" si="5"/>
        <v>1</v>
      </c>
    </row>
    <row r="74" spans="1:33" ht="18.75" x14ac:dyDescent="0.25">
      <c r="A74" s="301" t="s">
        <v>124</v>
      </c>
      <c r="B74" s="248"/>
      <c r="C74" s="199"/>
      <c r="D74" s="162"/>
      <c r="E74" s="199"/>
      <c r="F74" s="199"/>
      <c r="G74" s="162"/>
      <c r="H74" s="199"/>
      <c r="I74" s="162"/>
      <c r="J74" s="199"/>
      <c r="K74" s="199"/>
      <c r="L74" s="199"/>
      <c r="M74" s="199"/>
      <c r="N74" s="199"/>
      <c r="O74" s="199">
        <v>1</v>
      </c>
      <c r="P74" s="199"/>
      <c r="Q74" s="199"/>
      <c r="R74" s="199"/>
      <c r="S74" s="199"/>
      <c r="T74" s="199"/>
      <c r="U74" s="199"/>
      <c r="V74" s="199"/>
      <c r="W74" s="199"/>
      <c r="X74" s="199"/>
      <c r="Y74" s="199"/>
      <c r="Z74" s="199"/>
      <c r="AA74" s="199"/>
      <c r="AB74" s="199"/>
      <c r="AC74" s="199"/>
      <c r="AD74" s="199"/>
      <c r="AE74" s="199"/>
      <c r="AF74" s="206"/>
      <c r="AG74" s="64">
        <f t="shared" si="5"/>
        <v>1</v>
      </c>
    </row>
    <row r="75" spans="1:33" ht="18.75" x14ac:dyDescent="0.25">
      <c r="A75" s="301" t="s">
        <v>123</v>
      </c>
      <c r="B75" s="248"/>
      <c r="C75" s="199"/>
      <c r="D75" s="162">
        <v>1</v>
      </c>
      <c r="E75" s="199"/>
      <c r="F75" s="199"/>
      <c r="G75" s="162"/>
      <c r="H75" s="199"/>
      <c r="I75" s="162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9"/>
      <c r="Y75" s="199"/>
      <c r="Z75" s="199"/>
      <c r="AA75" s="199"/>
      <c r="AB75" s="199"/>
      <c r="AC75" s="199"/>
      <c r="AD75" s="199"/>
      <c r="AE75" s="199"/>
      <c r="AF75" s="206"/>
      <c r="AG75" s="64">
        <f t="shared" si="5"/>
        <v>1</v>
      </c>
    </row>
    <row r="76" spans="1:33" ht="18.75" x14ac:dyDescent="0.25">
      <c r="A76" s="301" t="s">
        <v>122</v>
      </c>
      <c r="B76" s="248"/>
      <c r="C76" s="199"/>
      <c r="D76" s="162"/>
      <c r="E76" s="199"/>
      <c r="F76" s="199"/>
      <c r="G76" s="162"/>
      <c r="H76" s="199"/>
      <c r="I76" s="162"/>
      <c r="J76" s="199"/>
      <c r="K76" s="199"/>
      <c r="L76" s="199"/>
      <c r="M76" s="199"/>
      <c r="N76" s="199"/>
      <c r="O76" s="199">
        <v>1</v>
      </c>
      <c r="P76" s="199"/>
      <c r="Q76" s="199"/>
      <c r="R76" s="199"/>
      <c r="S76" s="199"/>
      <c r="T76" s="199"/>
      <c r="U76" s="199"/>
      <c r="V76" s="199"/>
      <c r="W76" s="199"/>
      <c r="X76" s="199"/>
      <c r="Y76" s="199"/>
      <c r="Z76" s="199"/>
      <c r="AA76" s="199"/>
      <c r="AB76" s="199"/>
      <c r="AC76" s="199"/>
      <c r="AD76" s="199"/>
      <c r="AE76" s="199"/>
      <c r="AF76" s="206"/>
      <c r="AG76" s="64">
        <f t="shared" si="5"/>
        <v>1</v>
      </c>
    </row>
    <row r="77" spans="1:33" ht="19.5" thickBot="1" x14ac:dyDescent="0.3">
      <c r="A77" s="305" t="s">
        <v>121</v>
      </c>
      <c r="B77" s="253"/>
      <c r="C77" s="184"/>
      <c r="D77" s="181"/>
      <c r="E77" s="184"/>
      <c r="F77" s="184"/>
      <c r="G77" s="181"/>
      <c r="H77" s="184"/>
      <c r="I77" s="181"/>
      <c r="J77" s="184"/>
      <c r="K77" s="184"/>
      <c r="L77" s="184"/>
      <c r="M77" s="184"/>
      <c r="N77" s="184"/>
      <c r="O77" s="184"/>
      <c r="P77" s="184"/>
      <c r="Q77" s="184"/>
      <c r="R77" s="184"/>
      <c r="S77" s="184"/>
      <c r="T77" s="184"/>
      <c r="U77" s="184"/>
      <c r="V77" s="184"/>
      <c r="W77" s="184"/>
      <c r="X77" s="184"/>
      <c r="Y77" s="184"/>
      <c r="Z77" s="184"/>
      <c r="AA77" s="184"/>
      <c r="AB77" s="184"/>
      <c r="AC77" s="184"/>
      <c r="AD77" s="184"/>
      <c r="AE77" s="184"/>
      <c r="AF77" s="183"/>
      <c r="AG77" s="160">
        <f t="shared" si="5"/>
        <v>0</v>
      </c>
    </row>
    <row r="78" spans="1:33" ht="19.5" hidden="1" customHeight="1" thickBot="1" x14ac:dyDescent="0.3">
      <c r="A78" s="306" t="s">
        <v>120</v>
      </c>
      <c r="B78" s="254">
        <f t="shared" ref="B78:AF78" si="6">SUM(B79:B80)</f>
        <v>123</v>
      </c>
      <c r="C78" s="204">
        <f t="shared" si="6"/>
        <v>143</v>
      </c>
      <c r="D78" s="204">
        <f t="shared" si="6"/>
        <v>148</v>
      </c>
      <c r="E78" s="201">
        <f t="shared" si="6"/>
        <v>140</v>
      </c>
      <c r="F78" s="201">
        <f t="shared" si="6"/>
        <v>133</v>
      </c>
      <c r="G78" s="201">
        <f t="shared" si="6"/>
        <v>119</v>
      </c>
      <c r="H78" s="201">
        <f t="shared" si="6"/>
        <v>139</v>
      </c>
      <c r="I78" s="201">
        <f t="shared" si="6"/>
        <v>122</v>
      </c>
      <c r="J78" s="201">
        <f t="shared" si="6"/>
        <v>125</v>
      </c>
      <c r="K78" s="201">
        <f t="shared" si="6"/>
        <v>149</v>
      </c>
      <c r="L78" s="201">
        <f t="shared" si="6"/>
        <v>145</v>
      </c>
      <c r="M78" s="201">
        <f t="shared" si="6"/>
        <v>111</v>
      </c>
      <c r="N78" s="201">
        <f t="shared" si="6"/>
        <v>148</v>
      </c>
      <c r="O78" s="201">
        <f t="shared" si="6"/>
        <v>114</v>
      </c>
      <c r="P78" s="201">
        <f t="shared" si="6"/>
        <v>111</v>
      </c>
      <c r="Q78" s="201">
        <f t="shared" si="6"/>
        <v>128</v>
      </c>
      <c r="R78" s="201">
        <f t="shared" si="6"/>
        <v>159</v>
      </c>
      <c r="S78" s="201">
        <f t="shared" si="6"/>
        <v>170</v>
      </c>
      <c r="T78" s="201">
        <f t="shared" si="6"/>
        <v>153</v>
      </c>
      <c r="U78" s="201">
        <f t="shared" si="6"/>
        <v>135</v>
      </c>
      <c r="V78" s="201">
        <f t="shared" si="6"/>
        <v>137</v>
      </c>
      <c r="W78" s="201">
        <f t="shared" si="6"/>
        <v>145</v>
      </c>
      <c r="X78" s="201">
        <f t="shared" si="6"/>
        <v>133</v>
      </c>
      <c r="Y78" s="201">
        <f t="shared" si="6"/>
        <v>131</v>
      </c>
      <c r="Z78" s="201">
        <f t="shared" si="6"/>
        <v>173</v>
      </c>
      <c r="AA78" s="201">
        <f t="shared" si="6"/>
        <v>196</v>
      </c>
      <c r="AB78" s="201">
        <f t="shared" si="6"/>
        <v>164</v>
      </c>
      <c r="AC78" s="201">
        <f t="shared" si="6"/>
        <v>154</v>
      </c>
      <c r="AD78" s="201">
        <f t="shared" si="6"/>
        <v>132</v>
      </c>
      <c r="AE78" s="201">
        <f t="shared" si="6"/>
        <v>164</v>
      </c>
      <c r="AF78" s="203">
        <f t="shared" si="6"/>
        <v>137</v>
      </c>
      <c r="AG78" s="157">
        <f t="shared" si="5"/>
        <v>4381</v>
      </c>
    </row>
    <row r="79" spans="1:33" ht="19.5" hidden="1" customHeight="1" thickBot="1" x14ac:dyDescent="0.3">
      <c r="A79" s="307" t="s">
        <v>118</v>
      </c>
      <c r="B79" s="248">
        <f t="shared" ref="B79:AF79" si="7">SUM(B4:B27)-B80</f>
        <v>123</v>
      </c>
      <c r="C79" s="199">
        <f t="shared" si="7"/>
        <v>143</v>
      </c>
      <c r="D79" s="199">
        <f t="shared" si="7"/>
        <v>148</v>
      </c>
      <c r="E79" s="199">
        <f t="shared" si="7"/>
        <v>140</v>
      </c>
      <c r="F79" s="199">
        <f t="shared" si="7"/>
        <v>111</v>
      </c>
      <c r="G79" s="199">
        <f t="shared" si="7"/>
        <v>97</v>
      </c>
      <c r="H79" s="199">
        <f t="shared" si="7"/>
        <v>108</v>
      </c>
      <c r="I79" s="199">
        <f t="shared" si="7"/>
        <v>122</v>
      </c>
      <c r="J79" s="199">
        <f t="shared" si="7"/>
        <v>125</v>
      </c>
      <c r="K79" s="199">
        <f t="shared" si="7"/>
        <v>149</v>
      </c>
      <c r="L79" s="199">
        <f t="shared" si="7"/>
        <v>145</v>
      </c>
      <c r="M79" s="199">
        <f t="shared" si="7"/>
        <v>85</v>
      </c>
      <c r="N79" s="199">
        <f t="shared" si="7"/>
        <v>109</v>
      </c>
      <c r="O79" s="199">
        <f t="shared" si="7"/>
        <v>90</v>
      </c>
      <c r="P79" s="199">
        <f t="shared" si="7"/>
        <v>111</v>
      </c>
      <c r="Q79" s="199">
        <f t="shared" si="7"/>
        <v>128</v>
      </c>
      <c r="R79" s="199">
        <f t="shared" si="7"/>
        <v>64</v>
      </c>
      <c r="S79" s="199">
        <f t="shared" si="7"/>
        <v>119</v>
      </c>
      <c r="T79" s="199">
        <f t="shared" si="7"/>
        <v>91</v>
      </c>
      <c r="U79" s="199">
        <f t="shared" si="7"/>
        <v>95</v>
      </c>
      <c r="V79" s="199">
        <f t="shared" si="7"/>
        <v>99</v>
      </c>
      <c r="W79" s="199">
        <f t="shared" si="7"/>
        <v>145</v>
      </c>
      <c r="X79" s="199">
        <f t="shared" si="7"/>
        <v>133</v>
      </c>
      <c r="Y79" s="199">
        <f t="shared" si="7"/>
        <v>65</v>
      </c>
      <c r="Z79" s="199">
        <f t="shared" si="7"/>
        <v>173</v>
      </c>
      <c r="AA79" s="199">
        <f t="shared" si="7"/>
        <v>96</v>
      </c>
      <c r="AB79" s="199">
        <f t="shared" si="7"/>
        <v>101</v>
      </c>
      <c r="AC79" s="199">
        <f t="shared" si="7"/>
        <v>93</v>
      </c>
      <c r="AD79" s="199">
        <f t="shared" si="7"/>
        <v>132</v>
      </c>
      <c r="AE79" s="199">
        <f t="shared" si="7"/>
        <v>164</v>
      </c>
      <c r="AF79" s="199">
        <f t="shared" si="7"/>
        <v>65</v>
      </c>
      <c r="AG79" s="134">
        <f t="shared" si="5"/>
        <v>3569</v>
      </c>
    </row>
    <row r="80" spans="1:33" ht="19.5" hidden="1" customHeight="1" thickBot="1" x14ac:dyDescent="0.3">
      <c r="A80" s="308" t="s">
        <v>119</v>
      </c>
      <c r="B80" s="255"/>
      <c r="C80" s="169"/>
      <c r="D80" s="181">
        <v>0</v>
      </c>
      <c r="E80" s="181">
        <v>0</v>
      </c>
      <c r="F80" s="181">
        <f>SUM(F4:F12)</f>
        <v>22</v>
      </c>
      <c r="G80" s="181">
        <f>SUM(G4:G12)</f>
        <v>22</v>
      </c>
      <c r="H80" s="181">
        <f>SUM(H4:H12)</f>
        <v>31</v>
      </c>
      <c r="I80" s="169"/>
      <c r="J80" s="169"/>
      <c r="K80" s="181">
        <v>0</v>
      </c>
      <c r="L80" s="181">
        <v>0</v>
      </c>
      <c r="M80" s="181">
        <f>SUM(M4:M12)</f>
        <v>26</v>
      </c>
      <c r="N80" s="181">
        <f>SUM(N4:N12)</f>
        <v>39</v>
      </c>
      <c r="O80" s="181">
        <f>SUM(O4:O12)</f>
        <v>24</v>
      </c>
      <c r="P80" s="169"/>
      <c r="Q80" s="169"/>
      <c r="R80" s="181">
        <f>SUM(R4:R12)</f>
        <v>95</v>
      </c>
      <c r="S80" s="181">
        <f>SUM(S4:S12)</f>
        <v>51</v>
      </c>
      <c r="T80" s="181">
        <f>SUM(T4:T12)</f>
        <v>62</v>
      </c>
      <c r="U80" s="181">
        <f>SUM(U4:U12)</f>
        <v>40</v>
      </c>
      <c r="V80" s="181">
        <f>SUM(V4:V12)</f>
        <v>38</v>
      </c>
      <c r="W80" s="169"/>
      <c r="X80" s="169"/>
      <c r="Y80" s="181">
        <f>SUM(Y4:Y12)</f>
        <v>66</v>
      </c>
      <c r="Z80" s="169"/>
      <c r="AA80" s="181">
        <f>SUM(AA4:AA12)</f>
        <v>100</v>
      </c>
      <c r="AB80" s="181">
        <f>SUM(AB4:AB12)</f>
        <v>63</v>
      </c>
      <c r="AC80" s="181">
        <f>SUM(AC4:AC12)</f>
        <v>61</v>
      </c>
      <c r="AD80" s="169"/>
      <c r="AE80" s="169"/>
      <c r="AF80" s="181">
        <f>SUM(AF4:AF12)</f>
        <v>72</v>
      </c>
      <c r="AG80" s="160">
        <f t="shared" si="5"/>
        <v>812</v>
      </c>
    </row>
    <row r="81" spans="1:35" ht="19.5" thickBot="1" x14ac:dyDescent="0.3">
      <c r="A81" s="306" t="s">
        <v>84</v>
      </c>
      <c r="B81" s="256">
        <f t="shared" ref="B81:AF81" si="8">SUM(B82:B83)</f>
        <v>7</v>
      </c>
      <c r="C81" s="201">
        <f t="shared" si="8"/>
        <v>6</v>
      </c>
      <c r="D81" s="201">
        <f t="shared" si="8"/>
        <v>6</v>
      </c>
      <c r="E81" s="201">
        <f t="shared" si="8"/>
        <v>18</v>
      </c>
      <c r="F81" s="201">
        <f t="shared" si="8"/>
        <v>11</v>
      </c>
      <c r="G81" s="201">
        <f t="shared" si="8"/>
        <v>13</v>
      </c>
      <c r="H81" s="201">
        <f t="shared" si="8"/>
        <v>10</v>
      </c>
      <c r="I81" s="201">
        <f t="shared" si="8"/>
        <v>13</v>
      </c>
      <c r="J81" s="201">
        <f t="shared" si="8"/>
        <v>5</v>
      </c>
      <c r="K81" s="201">
        <f t="shared" si="8"/>
        <v>5</v>
      </c>
      <c r="L81" s="201">
        <f t="shared" si="8"/>
        <v>15</v>
      </c>
      <c r="M81" s="201">
        <f t="shared" si="8"/>
        <v>3</v>
      </c>
      <c r="N81" s="201">
        <f t="shared" si="8"/>
        <v>12</v>
      </c>
      <c r="O81" s="201">
        <f t="shared" si="8"/>
        <v>6</v>
      </c>
      <c r="P81" s="201">
        <f t="shared" si="8"/>
        <v>7</v>
      </c>
      <c r="Q81" s="201">
        <f t="shared" si="8"/>
        <v>5</v>
      </c>
      <c r="R81" s="201">
        <f t="shared" si="8"/>
        <v>10</v>
      </c>
      <c r="S81" s="201">
        <f t="shared" si="8"/>
        <v>25</v>
      </c>
      <c r="T81" s="201">
        <f t="shared" si="8"/>
        <v>8</v>
      </c>
      <c r="U81" s="201">
        <f t="shared" si="8"/>
        <v>6</v>
      </c>
      <c r="V81" s="201">
        <f t="shared" si="8"/>
        <v>12</v>
      </c>
      <c r="W81" s="201">
        <f t="shared" si="8"/>
        <v>16</v>
      </c>
      <c r="X81" s="201">
        <f t="shared" si="8"/>
        <v>5</v>
      </c>
      <c r="Y81" s="201">
        <f t="shared" si="8"/>
        <v>3</v>
      </c>
      <c r="Z81" s="201">
        <f t="shared" si="8"/>
        <v>15</v>
      </c>
      <c r="AA81" s="201">
        <f t="shared" si="8"/>
        <v>3</v>
      </c>
      <c r="AB81" s="201">
        <f t="shared" si="8"/>
        <v>7</v>
      </c>
      <c r="AC81" s="201">
        <f t="shared" si="8"/>
        <v>10</v>
      </c>
      <c r="AD81" s="201">
        <f t="shared" si="8"/>
        <v>4</v>
      </c>
      <c r="AE81" s="201">
        <f t="shared" si="8"/>
        <v>7</v>
      </c>
      <c r="AF81" s="201">
        <f t="shared" si="8"/>
        <v>6</v>
      </c>
      <c r="AG81" s="157">
        <f t="shared" si="5"/>
        <v>279</v>
      </c>
      <c r="AH81" s="53" t="str">
        <f>IF(AG81&lt;&gt;AG53,"*","")</f>
        <v/>
      </c>
    </row>
    <row r="82" spans="1:35" ht="18.75" x14ac:dyDescent="0.25">
      <c r="A82" s="307" t="s">
        <v>119</v>
      </c>
      <c r="B82" s="355"/>
      <c r="C82" s="218"/>
      <c r="D82" s="218"/>
      <c r="E82" s="199">
        <f t="shared" ref="E82:AD82" si="9">SUM(E54:E62)</f>
        <v>0</v>
      </c>
      <c r="F82" s="199">
        <f t="shared" si="9"/>
        <v>0</v>
      </c>
      <c r="G82" s="199">
        <f t="shared" si="9"/>
        <v>0</v>
      </c>
      <c r="H82" s="199">
        <f t="shared" si="9"/>
        <v>1</v>
      </c>
      <c r="I82" s="199">
        <f t="shared" si="9"/>
        <v>1</v>
      </c>
      <c r="J82" s="218"/>
      <c r="K82" s="218"/>
      <c r="L82" s="199">
        <f t="shared" si="9"/>
        <v>1</v>
      </c>
      <c r="M82" s="199">
        <f t="shared" si="9"/>
        <v>0</v>
      </c>
      <c r="N82" s="199">
        <f t="shared" si="9"/>
        <v>4</v>
      </c>
      <c r="O82" s="199">
        <f t="shared" si="9"/>
        <v>0</v>
      </c>
      <c r="P82" s="199">
        <f t="shared" si="9"/>
        <v>2</v>
      </c>
      <c r="Q82" s="218"/>
      <c r="R82" s="218"/>
      <c r="S82" s="199">
        <f t="shared" si="9"/>
        <v>4</v>
      </c>
      <c r="T82" s="199">
        <f t="shared" si="9"/>
        <v>5</v>
      </c>
      <c r="U82" s="199">
        <f t="shared" si="9"/>
        <v>1</v>
      </c>
      <c r="V82" s="199">
        <f t="shared" si="9"/>
        <v>0</v>
      </c>
      <c r="W82" s="199">
        <f t="shared" si="9"/>
        <v>1</v>
      </c>
      <c r="X82" s="218"/>
      <c r="Y82" s="218"/>
      <c r="Z82" s="199">
        <f t="shared" si="9"/>
        <v>8</v>
      </c>
      <c r="AA82" s="199">
        <f t="shared" si="9"/>
        <v>2</v>
      </c>
      <c r="AB82" s="199">
        <f t="shared" si="9"/>
        <v>0</v>
      </c>
      <c r="AC82" s="199">
        <f t="shared" si="9"/>
        <v>3</v>
      </c>
      <c r="AD82" s="199">
        <f t="shared" si="9"/>
        <v>3</v>
      </c>
      <c r="AE82" s="218"/>
      <c r="AF82" s="218"/>
      <c r="AG82" s="134">
        <f t="shared" si="5"/>
        <v>36</v>
      </c>
    </row>
    <row r="83" spans="1:35" ht="19.5" thickBot="1" x14ac:dyDescent="0.3">
      <c r="A83" s="308" t="s">
        <v>118</v>
      </c>
      <c r="B83" s="252">
        <f t="shared" ref="B83:AF83" si="10">SUM(B54:B77)-B82</f>
        <v>7</v>
      </c>
      <c r="C83" s="181">
        <f t="shared" si="10"/>
        <v>6</v>
      </c>
      <c r="D83" s="181">
        <f t="shared" si="10"/>
        <v>6</v>
      </c>
      <c r="E83" s="181">
        <f t="shared" si="10"/>
        <v>18</v>
      </c>
      <c r="F83" s="181">
        <f t="shared" si="10"/>
        <v>11</v>
      </c>
      <c r="G83" s="181">
        <f t="shared" si="10"/>
        <v>13</v>
      </c>
      <c r="H83" s="181">
        <f t="shared" si="10"/>
        <v>9</v>
      </c>
      <c r="I83" s="181">
        <f t="shared" si="10"/>
        <v>12</v>
      </c>
      <c r="J83" s="181">
        <f t="shared" si="10"/>
        <v>5</v>
      </c>
      <c r="K83" s="181">
        <f t="shared" si="10"/>
        <v>5</v>
      </c>
      <c r="L83" s="181">
        <f t="shared" si="10"/>
        <v>14</v>
      </c>
      <c r="M83" s="181">
        <f t="shared" si="10"/>
        <v>3</v>
      </c>
      <c r="N83" s="181">
        <f t="shared" si="10"/>
        <v>8</v>
      </c>
      <c r="O83" s="181">
        <f t="shared" si="10"/>
        <v>6</v>
      </c>
      <c r="P83" s="181">
        <f t="shared" si="10"/>
        <v>5</v>
      </c>
      <c r="Q83" s="181">
        <f t="shared" si="10"/>
        <v>5</v>
      </c>
      <c r="R83" s="181">
        <f t="shared" si="10"/>
        <v>10</v>
      </c>
      <c r="S83" s="181">
        <f t="shared" si="10"/>
        <v>21</v>
      </c>
      <c r="T83" s="181">
        <f t="shared" si="10"/>
        <v>3</v>
      </c>
      <c r="U83" s="181">
        <f t="shared" si="10"/>
        <v>5</v>
      </c>
      <c r="V83" s="181">
        <f t="shared" si="10"/>
        <v>12</v>
      </c>
      <c r="W83" s="181">
        <f t="shared" si="10"/>
        <v>15</v>
      </c>
      <c r="X83" s="181">
        <f t="shared" si="10"/>
        <v>5</v>
      </c>
      <c r="Y83" s="181">
        <f t="shared" si="10"/>
        <v>3</v>
      </c>
      <c r="Z83" s="181">
        <f t="shared" si="10"/>
        <v>7</v>
      </c>
      <c r="AA83" s="181">
        <f t="shared" si="10"/>
        <v>1</v>
      </c>
      <c r="AB83" s="181">
        <f t="shared" si="10"/>
        <v>7</v>
      </c>
      <c r="AC83" s="181">
        <f t="shared" si="10"/>
        <v>7</v>
      </c>
      <c r="AD83" s="181">
        <f t="shared" si="10"/>
        <v>1</v>
      </c>
      <c r="AE83" s="181">
        <f t="shared" si="10"/>
        <v>7</v>
      </c>
      <c r="AF83" s="181">
        <f t="shared" si="10"/>
        <v>6</v>
      </c>
      <c r="AG83" s="64">
        <f t="shared" si="5"/>
        <v>243</v>
      </c>
    </row>
    <row r="84" spans="1:35" ht="19.5" thickBot="1" x14ac:dyDescent="0.3">
      <c r="A84" s="309" t="s">
        <v>117</v>
      </c>
      <c r="B84" s="257">
        <f t="shared" ref="B84:AF84" si="11">SUM(B85:B86)</f>
        <v>7</v>
      </c>
      <c r="C84" s="158">
        <f t="shared" si="11"/>
        <v>6</v>
      </c>
      <c r="D84" s="158">
        <f t="shared" si="11"/>
        <v>6</v>
      </c>
      <c r="E84" s="158">
        <f t="shared" si="11"/>
        <v>18</v>
      </c>
      <c r="F84" s="158">
        <f t="shared" si="11"/>
        <v>11</v>
      </c>
      <c r="G84" s="158">
        <f t="shared" si="11"/>
        <v>13</v>
      </c>
      <c r="H84" s="158">
        <f t="shared" si="11"/>
        <v>10</v>
      </c>
      <c r="I84" s="158">
        <f t="shared" si="11"/>
        <v>13</v>
      </c>
      <c r="J84" s="158">
        <f t="shared" si="11"/>
        <v>5</v>
      </c>
      <c r="K84" s="158">
        <f t="shared" si="11"/>
        <v>5</v>
      </c>
      <c r="L84" s="158">
        <f t="shared" si="11"/>
        <v>15</v>
      </c>
      <c r="M84" s="158">
        <f t="shared" si="11"/>
        <v>3</v>
      </c>
      <c r="N84" s="158">
        <f t="shared" si="11"/>
        <v>12</v>
      </c>
      <c r="O84" s="158">
        <f t="shared" si="11"/>
        <v>6</v>
      </c>
      <c r="P84" s="158">
        <f t="shared" si="11"/>
        <v>7</v>
      </c>
      <c r="Q84" s="158">
        <f t="shared" si="11"/>
        <v>5</v>
      </c>
      <c r="R84" s="158">
        <f t="shared" si="11"/>
        <v>10</v>
      </c>
      <c r="S84" s="158">
        <f t="shared" si="11"/>
        <v>25</v>
      </c>
      <c r="T84" s="158">
        <f t="shared" si="11"/>
        <v>8</v>
      </c>
      <c r="U84" s="158">
        <f t="shared" si="11"/>
        <v>6</v>
      </c>
      <c r="V84" s="158">
        <f t="shared" si="11"/>
        <v>12</v>
      </c>
      <c r="W84" s="158">
        <f t="shared" si="11"/>
        <v>16</v>
      </c>
      <c r="X84" s="158">
        <f t="shared" si="11"/>
        <v>5</v>
      </c>
      <c r="Y84" s="158">
        <f t="shared" si="11"/>
        <v>3</v>
      </c>
      <c r="Z84" s="158">
        <f t="shared" si="11"/>
        <v>15</v>
      </c>
      <c r="AA84" s="158">
        <f t="shared" si="11"/>
        <v>3</v>
      </c>
      <c r="AB84" s="158">
        <f t="shared" si="11"/>
        <v>7</v>
      </c>
      <c r="AC84" s="158">
        <f t="shared" si="11"/>
        <v>10</v>
      </c>
      <c r="AD84" s="158">
        <f t="shared" si="11"/>
        <v>4</v>
      </c>
      <c r="AE84" s="158">
        <f t="shared" si="11"/>
        <v>7</v>
      </c>
      <c r="AF84" s="158">
        <f t="shared" si="11"/>
        <v>6</v>
      </c>
      <c r="AG84" s="197">
        <f t="shared" si="5"/>
        <v>279</v>
      </c>
      <c r="AH84" s="53" t="str">
        <f>IF(AG84&lt;&gt;AG82+AG83,"*","")</f>
        <v/>
      </c>
      <c r="AI84" s="403" t="s">
        <v>71</v>
      </c>
    </row>
    <row r="85" spans="1:35" ht="18.75" x14ac:dyDescent="0.25">
      <c r="A85" s="310" t="s">
        <v>116</v>
      </c>
      <c r="B85" s="258">
        <v>0</v>
      </c>
      <c r="C85" s="195">
        <v>0</v>
      </c>
      <c r="D85" s="195">
        <v>0</v>
      </c>
      <c r="E85" s="195">
        <v>1</v>
      </c>
      <c r="F85" s="195">
        <v>2</v>
      </c>
      <c r="G85" s="195">
        <v>1</v>
      </c>
      <c r="H85" s="195">
        <v>1</v>
      </c>
      <c r="I85" s="195">
        <v>0</v>
      </c>
      <c r="J85" s="195">
        <v>2</v>
      </c>
      <c r="K85" s="195">
        <v>0</v>
      </c>
      <c r="L85" s="195">
        <v>1</v>
      </c>
      <c r="M85" s="195">
        <v>0</v>
      </c>
      <c r="N85" s="195">
        <v>1</v>
      </c>
      <c r="O85" s="195">
        <v>2</v>
      </c>
      <c r="P85" s="195">
        <v>2</v>
      </c>
      <c r="Q85" s="195">
        <v>0</v>
      </c>
      <c r="R85" s="195">
        <v>0</v>
      </c>
      <c r="S85" s="195">
        <v>3</v>
      </c>
      <c r="T85" s="195">
        <v>1</v>
      </c>
      <c r="U85" s="195">
        <v>1</v>
      </c>
      <c r="V85" s="195">
        <v>1</v>
      </c>
      <c r="W85" s="195">
        <v>2</v>
      </c>
      <c r="X85" s="195">
        <v>1</v>
      </c>
      <c r="Y85" s="195">
        <v>1</v>
      </c>
      <c r="Z85" s="195">
        <v>2</v>
      </c>
      <c r="AA85" s="195">
        <v>1</v>
      </c>
      <c r="AB85" s="195">
        <v>3</v>
      </c>
      <c r="AC85" s="195">
        <v>0</v>
      </c>
      <c r="AD85" s="195">
        <v>0</v>
      </c>
      <c r="AE85" s="195">
        <v>1</v>
      </c>
      <c r="AF85" s="194">
        <v>1</v>
      </c>
      <c r="AG85" s="193">
        <f t="shared" si="5"/>
        <v>31</v>
      </c>
      <c r="AI85" s="404"/>
    </row>
    <row r="86" spans="1:35" ht="19.5" thickBot="1" x14ac:dyDescent="0.3">
      <c r="A86" s="311" t="s">
        <v>115</v>
      </c>
      <c r="B86" s="259">
        <v>7</v>
      </c>
      <c r="C86" s="191">
        <v>6</v>
      </c>
      <c r="D86" s="191">
        <v>6</v>
      </c>
      <c r="E86" s="191">
        <v>17</v>
      </c>
      <c r="F86" s="191">
        <v>9</v>
      </c>
      <c r="G86" s="191">
        <v>12</v>
      </c>
      <c r="H86" s="191">
        <v>9</v>
      </c>
      <c r="I86" s="191">
        <v>13</v>
      </c>
      <c r="J86" s="191">
        <v>3</v>
      </c>
      <c r="K86" s="191">
        <v>5</v>
      </c>
      <c r="L86" s="191">
        <v>14</v>
      </c>
      <c r="M86" s="191">
        <v>3</v>
      </c>
      <c r="N86" s="191">
        <v>11</v>
      </c>
      <c r="O86" s="191">
        <v>4</v>
      </c>
      <c r="P86" s="191">
        <v>5</v>
      </c>
      <c r="Q86" s="191">
        <v>5</v>
      </c>
      <c r="R86" s="191">
        <v>10</v>
      </c>
      <c r="S86" s="191">
        <v>22</v>
      </c>
      <c r="T86" s="191">
        <v>7</v>
      </c>
      <c r="U86" s="191">
        <v>5</v>
      </c>
      <c r="V86" s="191">
        <v>11</v>
      </c>
      <c r="W86" s="191">
        <v>14</v>
      </c>
      <c r="X86" s="191">
        <v>4</v>
      </c>
      <c r="Y86" s="191">
        <v>2</v>
      </c>
      <c r="Z86" s="191">
        <v>13</v>
      </c>
      <c r="AA86" s="191">
        <v>2</v>
      </c>
      <c r="AB86" s="191">
        <v>4</v>
      </c>
      <c r="AC86" s="191">
        <v>10</v>
      </c>
      <c r="AD86" s="191">
        <v>4</v>
      </c>
      <c r="AE86" s="191">
        <v>6</v>
      </c>
      <c r="AF86" s="190">
        <v>5</v>
      </c>
      <c r="AG86" s="189">
        <f t="shared" si="5"/>
        <v>248</v>
      </c>
      <c r="AI86" s="405"/>
    </row>
    <row r="87" spans="1:35" ht="19.5" thickBot="1" x14ac:dyDescent="0.3">
      <c r="A87" s="312" t="s">
        <v>114</v>
      </c>
      <c r="B87" s="260">
        <f t="shared" ref="B87:AF87" si="12">SUM(B88:B92)</f>
        <v>7</v>
      </c>
      <c r="C87" s="187">
        <f t="shared" si="12"/>
        <v>6</v>
      </c>
      <c r="D87" s="187">
        <f t="shared" si="12"/>
        <v>6</v>
      </c>
      <c r="E87" s="187">
        <f t="shared" si="12"/>
        <v>18</v>
      </c>
      <c r="F87" s="187">
        <f t="shared" si="12"/>
        <v>11</v>
      </c>
      <c r="G87" s="187">
        <f t="shared" si="12"/>
        <v>13</v>
      </c>
      <c r="H87" s="187">
        <f t="shared" si="12"/>
        <v>10</v>
      </c>
      <c r="I87" s="187">
        <f t="shared" si="12"/>
        <v>13</v>
      </c>
      <c r="J87" s="187">
        <f t="shared" si="12"/>
        <v>5</v>
      </c>
      <c r="K87" s="187">
        <f t="shared" si="12"/>
        <v>5</v>
      </c>
      <c r="L87" s="187">
        <f t="shared" si="12"/>
        <v>15</v>
      </c>
      <c r="M87" s="187">
        <f t="shared" si="12"/>
        <v>3</v>
      </c>
      <c r="N87" s="187">
        <f t="shared" si="12"/>
        <v>12</v>
      </c>
      <c r="O87" s="187">
        <f t="shared" si="12"/>
        <v>6</v>
      </c>
      <c r="P87" s="187">
        <f t="shared" si="12"/>
        <v>7</v>
      </c>
      <c r="Q87" s="187">
        <f t="shared" si="12"/>
        <v>5</v>
      </c>
      <c r="R87" s="187">
        <f t="shared" si="12"/>
        <v>10</v>
      </c>
      <c r="S87" s="187">
        <f t="shared" si="12"/>
        <v>25</v>
      </c>
      <c r="T87" s="187">
        <f t="shared" si="12"/>
        <v>8</v>
      </c>
      <c r="U87" s="187">
        <f t="shared" si="12"/>
        <v>6</v>
      </c>
      <c r="V87" s="187">
        <f t="shared" si="12"/>
        <v>12</v>
      </c>
      <c r="W87" s="187">
        <f t="shared" si="12"/>
        <v>16</v>
      </c>
      <c r="X87" s="187">
        <f t="shared" si="12"/>
        <v>5</v>
      </c>
      <c r="Y87" s="187">
        <f t="shared" si="12"/>
        <v>3</v>
      </c>
      <c r="Z87" s="187">
        <f t="shared" si="12"/>
        <v>15</v>
      </c>
      <c r="AA87" s="187">
        <f t="shared" si="12"/>
        <v>3</v>
      </c>
      <c r="AB87" s="187">
        <f t="shared" si="12"/>
        <v>7</v>
      </c>
      <c r="AC87" s="187">
        <f t="shared" si="12"/>
        <v>10</v>
      </c>
      <c r="AD87" s="187">
        <f t="shared" si="12"/>
        <v>4</v>
      </c>
      <c r="AE87" s="187">
        <f t="shared" si="12"/>
        <v>7</v>
      </c>
      <c r="AF87" s="187">
        <f t="shared" si="12"/>
        <v>6</v>
      </c>
      <c r="AG87" s="186">
        <f t="shared" si="5"/>
        <v>279</v>
      </c>
      <c r="AH87" s="185" t="str">
        <f>IF(AG87&lt;&gt;AG84,"*","")</f>
        <v/>
      </c>
    </row>
    <row r="88" spans="1:35" ht="18.75" x14ac:dyDescent="0.25">
      <c r="A88" s="313" t="s">
        <v>113</v>
      </c>
      <c r="B88" s="253">
        <v>6</v>
      </c>
      <c r="C88" s="184">
        <v>3</v>
      </c>
      <c r="D88" s="184">
        <v>5</v>
      </c>
      <c r="E88" s="184">
        <v>4</v>
      </c>
      <c r="F88" s="184">
        <v>7</v>
      </c>
      <c r="G88" s="184">
        <v>3</v>
      </c>
      <c r="H88" s="184">
        <v>5</v>
      </c>
      <c r="I88" s="184">
        <v>5</v>
      </c>
      <c r="J88" s="184">
        <v>4</v>
      </c>
      <c r="K88" s="184">
        <v>1</v>
      </c>
      <c r="L88" s="184">
        <v>6</v>
      </c>
      <c r="M88" s="184">
        <v>2</v>
      </c>
      <c r="N88" s="184">
        <v>1</v>
      </c>
      <c r="O88" s="184">
        <v>3</v>
      </c>
      <c r="P88" s="184">
        <v>2</v>
      </c>
      <c r="Q88" s="184">
        <v>4</v>
      </c>
      <c r="R88" s="184">
        <v>3</v>
      </c>
      <c r="S88" s="184">
        <v>7</v>
      </c>
      <c r="T88" s="184">
        <v>5</v>
      </c>
      <c r="U88" s="184">
        <v>3</v>
      </c>
      <c r="V88" s="184">
        <v>8</v>
      </c>
      <c r="W88" s="184">
        <v>6</v>
      </c>
      <c r="X88" s="184">
        <v>1</v>
      </c>
      <c r="Y88" s="184"/>
      <c r="Z88" s="184">
        <v>9</v>
      </c>
      <c r="AA88" s="184">
        <v>3</v>
      </c>
      <c r="AB88" s="184">
        <v>3</v>
      </c>
      <c r="AC88" s="184">
        <v>9</v>
      </c>
      <c r="AD88" s="184">
        <v>2</v>
      </c>
      <c r="AE88" s="184">
        <v>1</v>
      </c>
      <c r="AF88" s="183">
        <v>3</v>
      </c>
      <c r="AG88" s="134">
        <f t="shared" si="5"/>
        <v>124</v>
      </c>
    </row>
    <row r="89" spans="1:35" ht="18.75" x14ac:dyDescent="0.25">
      <c r="A89" s="314" t="s">
        <v>16</v>
      </c>
      <c r="B89" s="252"/>
      <c r="C89" s="181"/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  <c r="AA89" s="181"/>
      <c r="AB89" s="181"/>
      <c r="AC89" s="181"/>
      <c r="AD89" s="181"/>
      <c r="AE89" s="181"/>
      <c r="AF89" s="180"/>
      <c r="AG89" s="64">
        <f t="shared" si="5"/>
        <v>0</v>
      </c>
    </row>
    <row r="90" spans="1:35" ht="18.75" x14ac:dyDescent="0.25">
      <c r="A90" s="314" t="s">
        <v>15</v>
      </c>
      <c r="B90" s="252"/>
      <c r="C90" s="181"/>
      <c r="D90" s="181"/>
      <c r="E90" s="181"/>
      <c r="F90" s="181"/>
      <c r="G90" s="181"/>
      <c r="H90" s="181">
        <v>1</v>
      </c>
      <c r="I90" s="181">
        <v>1</v>
      </c>
      <c r="J90" s="181"/>
      <c r="K90" s="181"/>
      <c r="L90" s="181"/>
      <c r="M90" s="181"/>
      <c r="N90" s="181"/>
      <c r="O90" s="181"/>
      <c r="P90" s="181"/>
      <c r="Q90" s="181"/>
      <c r="R90" s="181"/>
      <c r="S90" s="181"/>
      <c r="T90" s="181"/>
      <c r="U90" s="181"/>
      <c r="V90" s="181"/>
      <c r="W90" s="181"/>
      <c r="X90" s="181"/>
      <c r="Y90" s="181"/>
      <c r="Z90" s="181"/>
      <c r="AA90" s="181"/>
      <c r="AB90" s="181"/>
      <c r="AC90" s="181"/>
      <c r="AD90" s="181"/>
      <c r="AE90" s="181"/>
      <c r="AF90" s="180"/>
      <c r="AG90" s="64">
        <f t="shared" si="5"/>
        <v>2</v>
      </c>
    </row>
    <row r="91" spans="1:35" ht="18.75" x14ac:dyDescent="0.25">
      <c r="A91" s="314" t="s">
        <v>14</v>
      </c>
      <c r="B91" s="252">
        <v>1</v>
      </c>
      <c r="C91" s="181">
        <v>1</v>
      </c>
      <c r="D91" s="181">
        <v>1</v>
      </c>
      <c r="E91" s="181">
        <v>6</v>
      </c>
      <c r="F91" s="181">
        <v>1</v>
      </c>
      <c r="G91" s="181">
        <v>8</v>
      </c>
      <c r="H91" s="181">
        <v>3</v>
      </c>
      <c r="I91" s="181">
        <v>5</v>
      </c>
      <c r="J91" s="181"/>
      <c r="K91" s="181"/>
      <c r="L91" s="181">
        <v>7</v>
      </c>
      <c r="M91" s="181"/>
      <c r="N91" s="181">
        <v>1</v>
      </c>
      <c r="O91" s="181">
        <v>2</v>
      </c>
      <c r="P91" s="181">
        <v>4</v>
      </c>
      <c r="Q91" s="181"/>
      <c r="R91" s="181">
        <v>2</v>
      </c>
      <c r="S91" s="181">
        <v>15</v>
      </c>
      <c r="T91" s="181">
        <v>2</v>
      </c>
      <c r="U91" s="181">
        <v>2</v>
      </c>
      <c r="V91" s="181">
        <v>1</v>
      </c>
      <c r="W91" s="181">
        <v>4</v>
      </c>
      <c r="X91" s="181">
        <v>1</v>
      </c>
      <c r="Y91" s="181"/>
      <c r="Z91" s="181">
        <v>2</v>
      </c>
      <c r="AA91" s="181"/>
      <c r="AB91" s="181">
        <v>3</v>
      </c>
      <c r="AC91" s="181">
        <v>1</v>
      </c>
      <c r="AD91" s="181">
        <v>2</v>
      </c>
      <c r="AE91" s="181">
        <v>3</v>
      </c>
      <c r="AF91" s="180">
        <v>2</v>
      </c>
      <c r="AG91" s="64">
        <f t="shared" si="5"/>
        <v>80</v>
      </c>
    </row>
    <row r="92" spans="1:35" ht="19.5" thickBot="1" x14ac:dyDescent="0.3">
      <c r="A92" s="314" t="s">
        <v>13</v>
      </c>
      <c r="B92" s="252"/>
      <c r="C92" s="181">
        <v>2</v>
      </c>
      <c r="D92" s="181"/>
      <c r="E92" s="181">
        <v>8</v>
      </c>
      <c r="F92" s="181">
        <v>3</v>
      </c>
      <c r="G92" s="181">
        <v>2</v>
      </c>
      <c r="H92" s="181">
        <v>1</v>
      </c>
      <c r="I92" s="181">
        <v>2</v>
      </c>
      <c r="J92" s="181">
        <v>1</v>
      </c>
      <c r="K92" s="181">
        <v>4</v>
      </c>
      <c r="L92" s="181">
        <v>2</v>
      </c>
      <c r="M92" s="181">
        <v>1</v>
      </c>
      <c r="N92" s="181">
        <v>10</v>
      </c>
      <c r="O92" s="181">
        <v>1</v>
      </c>
      <c r="P92" s="181">
        <v>1</v>
      </c>
      <c r="Q92" s="181">
        <v>1</v>
      </c>
      <c r="R92" s="181">
        <v>5</v>
      </c>
      <c r="S92" s="181">
        <v>3</v>
      </c>
      <c r="T92" s="181">
        <v>1</v>
      </c>
      <c r="U92" s="181">
        <v>1</v>
      </c>
      <c r="V92" s="181">
        <v>3</v>
      </c>
      <c r="W92" s="181">
        <v>6</v>
      </c>
      <c r="X92" s="181">
        <v>3</v>
      </c>
      <c r="Y92" s="181">
        <v>3</v>
      </c>
      <c r="Z92" s="181">
        <v>4</v>
      </c>
      <c r="AA92" s="181"/>
      <c r="AB92" s="181">
        <v>1</v>
      </c>
      <c r="AC92" s="181"/>
      <c r="AD92" s="181"/>
      <c r="AE92" s="181">
        <v>3</v>
      </c>
      <c r="AF92" s="180">
        <v>1</v>
      </c>
      <c r="AG92" s="64">
        <f t="shared" si="5"/>
        <v>73</v>
      </c>
    </row>
    <row r="93" spans="1:35" ht="18.75" x14ac:dyDescent="0.25">
      <c r="A93" s="315" t="s">
        <v>112</v>
      </c>
      <c r="B93" s="261">
        <f t="shared" ref="B93:AF93" si="13">+B94+B100</f>
        <v>116</v>
      </c>
      <c r="C93" s="166">
        <f t="shared" si="13"/>
        <v>137</v>
      </c>
      <c r="D93" s="166">
        <f t="shared" si="13"/>
        <v>142</v>
      </c>
      <c r="E93" s="166">
        <f t="shared" si="13"/>
        <v>122</v>
      </c>
      <c r="F93" s="166">
        <f t="shared" si="13"/>
        <v>122</v>
      </c>
      <c r="G93" s="166">
        <f t="shared" si="13"/>
        <v>106</v>
      </c>
      <c r="H93" s="166">
        <f t="shared" si="13"/>
        <v>129</v>
      </c>
      <c r="I93" s="166">
        <f t="shared" si="13"/>
        <v>109</v>
      </c>
      <c r="J93" s="166">
        <f t="shared" si="13"/>
        <v>120</v>
      </c>
      <c r="K93" s="166">
        <f t="shared" si="13"/>
        <v>144</v>
      </c>
      <c r="L93" s="166">
        <f t="shared" si="13"/>
        <v>130</v>
      </c>
      <c r="M93" s="166">
        <f t="shared" si="13"/>
        <v>108</v>
      </c>
      <c r="N93" s="166">
        <f t="shared" si="13"/>
        <v>136</v>
      </c>
      <c r="O93" s="166">
        <f t="shared" si="13"/>
        <v>108</v>
      </c>
      <c r="P93" s="166">
        <f t="shared" si="13"/>
        <v>104</v>
      </c>
      <c r="Q93" s="166">
        <f t="shared" si="13"/>
        <v>123</v>
      </c>
      <c r="R93" s="166">
        <f t="shared" si="13"/>
        <v>149</v>
      </c>
      <c r="S93" s="166">
        <f t="shared" si="13"/>
        <v>145</v>
      </c>
      <c r="T93" s="166">
        <f t="shared" si="13"/>
        <v>145</v>
      </c>
      <c r="U93" s="166">
        <f t="shared" si="13"/>
        <v>129</v>
      </c>
      <c r="V93" s="166">
        <f t="shared" si="13"/>
        <v>125</v>
      </c>
      <c r="W93" s="166">
        <f t="shared" si="13"/>
        <v>129</v>
      </c>
      <c r="X93" s="166">
        <f t="shared" si="13"/>
        <v>128</v>
      </c>
      <c r="Y93" s="166">
        <f t="shared" si="13"/>
        <v>128</v>
      </c>
      <c r="Z93" s="166">
        <f t="shared" si="13"/>
        <v>158</v>
      </c>
      <c r="AA93" s="166">
        <f t="shared" si="13"/>
        <v>193</v>
      </c>
      <c r="AB93" s="166">
        <f t="shared" si="13"/>
        <v>157</v>
      </c>
      <c r="AC93" s="166">
        <f t="shared" si="13"/>
        <v>144</v>
      </c>
      <c r="AD93" s="166">
        <f t="shared" si="13"/>
        <v>128</v>
      </c>
      <c r="AE93" s="166">
        <f t="shared" si="13"/>
        <v>157</v>
      </c>
      <c r="AF93" s="165">
        <f t="shared" si="13"/>
        <v>131</v>
      </c>
      <c r="AG93" s="164">
        <f t="shared" si="5"/>
        <v>4102</v>
      </c>
      <c r="AH93" s="179" t="str">
        <f>IF(AG93&lt;&gt;AG28,"*","")</f>
        <v/>
      </c>
    </row>
    <row r="94" spans="1:35" ht="18.75" x14ac:dyDescent="0.25">
      <c r="A94" s="66" t="s">
        <v>111</v>
      </c>
      <c r="B94" s="262">
        <f t="shared" ref="B94:AF94" si="14">SUM(B95:B99)</f>
        <v>8</v>
      </c>
      <c r="C94" s="68">
        <f t="shared" si="14"/>
        <v>9</v>
      </c>
      <c r="D94" s="68">
        <f t="shared" si="14"/>
        <v>17</v>
      </c>
      <c r="E94" s="68">
        <f t="shared" si="14"/>
        <v>3</v>
      </c>
      <c r="F94" s="68">
        <f t="shared" si="14"/>
        <v>9</v>
      </c>
      <c r="G94" s="68">
        <f t="shared" si="14"/>
        <v>7</v>
      </c>
      <c r="H94" s="68">
        <f t="shared" si="14"/>
        <v>11</v>
      </c>
      <c r="I94" s="68">
        <f t="shared" si="14"/>
        <v>6</v>
      </c>
      <c r="J94" s="68">
        <f t="shared" si="14"/>
        <v>12</v>
      </c>
      <c r="K94" s="68">
        <f t="shared" si="14"/>
        <v>12</v>
      </c>
      <c r="L94" s="68">
        <f t="shared" si="14"/>
        <v>6</v>
      </c>
      <c r="M94" s="68">
        <f t="shared" si="14"/>
        <v>7</v>
      </c>
      <c r="N94" s="68">
        <f t="shared" si="14"/>
        <v>3</v>
      </c>
      <c r="O94" s="68">
        <f t="shared" si="14"/>
        <v>4</v>
      </c>
      <c r="P94" s="68">
        <f t="shared" si="14"/>
        <v>11</v>
      </c>
      <c r="Q94" s="68">
        <f t="shared" si="14"/>
        <v>10</v>
      </c>
      <c r="R94" s="68">
        <f t="shared" si="14"/>
        <v>5</v>
      </c>
      <c r="S94" s="68">
        <f t="shared" si="14"/>
        <v>8</v>
      </c>
      <c r="T94" s="68">
        <f t="shared" si="14"/>
        <v>12</v>
      </c>
      <c r="U94" s="68">
        <f t="shared" si="14"/>
        <v>8</v>
      </c>
      <c r="V94" s="68">
        <f t="shared" si="14"/>
        <v>13</v>
      </c>
      <c r="W94" s="68">
        <f t="shared" si="14"/>
        <v>8</v>
      </c>
      <c r="X94" s="68">
        <f t="shared" si="14"/>
        <v>10</v>
      </c>
      <c r="Y94" s="68">
        <f t="shared" si="14"/>
        <v>15</v>
      </c>
      <c r="Z94" s="68">
        <f t="shared" si="14"/>
        <v>5</v>
      </c>
      <c r="AA94" s="68">
        <f t="shared" si="14"/>
        <v>14</v>
      </c>
      <c r="AB94" s="68">
        <f t="shared" si="14"/>
        <v>13</v>
      </c>
      <c r="AC94" s="68">
        <f t="shared" si="14"/>
        <v>15</v>
      </c>
      <c r="AD94" s="68">
        <f t="shared" si="14"/>
        <v>10</v>
      </c>
      <c r="AE94" s="68">
        <f t="shared" si="14"/>
        <v>9</v>
      </c>
      <c r="AF94" s="67">
        <f t="shared" si="14"/>
        <v>7</v>
      </c>
      <c r="AG94" s="64">
        <f t="shared" si="5"/>
        <v>287</v>
      </c>
    </row>
    <row r="95" spans="1:35" ht="18.75" x14ac:dyDescent="0.25">
      <c r="A95" s="316" t="s">
        <v>110</v>
      </c>
      <c r="B95" s="249"/>
      <c r="C95" s="162"/>
      <c r="D95" s="162"/>
      <c r="E95" s="162"/>
      <c r="F95" s="162">
        <v>1</v>
      </c>
      <c r="G95" s="162"/>
      <c r="H95" s="162">
        <v>1</v>
      </c>
      <c r="I95" s="162"/>
      <c r="J95" s="162">
        <v>1</v>
      </c>
      <c r="K95" s="162"/>
      <c r="L95" s="162"/>
      <c r="M95" s="162">
        <v>1</v>
      </c>
      <c r="N95" s="162"/>
      <c r="O95" s="162"/>
      <c r="P95" s="162"/>
      <c r="Q95" s="162"/>
      <c r="R95" s="162"/>
      <c r="S95" s="162"/>
      <c r="T95" s="162"/>
      <c r="U95" s="162"/>
      <c r="V95" s="162"/>
      <c r="W95" s="162"/>
      <c r="X95" s="162"/>
      <c r="Y95" s="162">
        <v>1</v>
      </c>
      <c r="Z95" s="162"/>
      <c r="AA95" s="162"/>
      <c r="AB95" s="162">
        <v>3</v>
      </c>
      <c r="AC95" s="162"/>
      <c r="AD95" s="162">
        <v>1</v>
      </c>
      <c r="AE95" s="162">
        <v>2</v>
      </c>
      <c r="AF95" s="161"/>
      <c r="AG95" s="64">
        <f t="shared" si="5"/>
        <v>11</v>
      </c>
    </row>
    <row r="96" spans="1:35" ht="18.75" x14ac:dyDescent="0.25">
      <c r="A96" s="317" t="s">
        <v>109</v>
      </c>
      <c r="B96" s="249">
        <v>1</v>
      </c>
      <c r="C96" s="162"/>
      <c r="D96" s="162">
        <v>1</v>
      </c>
      <c r="E96" s="162">
        <v>1</v>
      </c>
      <c r="F96" s="162"/>
      <c r="G96" s="162"/>
      <c r="H96" s="162">
        <v>1</v>
      </c>
      <c r="I96" s="162"/>
      <c r="J96" s="162"/>
      <c r="K96" s="162"/>
      <c r="L96" s="162">
        <v>1</v>
      </c>
      <c r="M96" s="162">
        <v>1</v>
      </c>
      <c r="N96" s="162"/>
      <c r="O96" s="162"/>
      <c r="P96" s="162"/>
      <c r="Q96" s="162"/>
      <c r="R96" s="162"/>
      <c r="S96" s="176"/>
      <c r="T96" s="162"/>
      <c r="U96" s="162"/>
      <c r="V96" s="162"/>
      <c r="W96" s="162">
        <v>1</v>
      </c>
      <c r="X96" s="162">
        <v>1</v>
      </c>
      <c r="Y96" s="162">
        <v>1</v>
      </c>
      <c r="Z96" s="162">
        <v>1</v>
      </c>
      <c r="AA96" s="162">
        <v>1</v>
      </c>
      <c r="AB96" s="162">
        <v>1</v>
      </c>
      <c r="AC96" s="162"/>
      <c r="AD96" s="162">
        <v>2</v>
      </c>
      <c r="AE96" s="162"/>
      <c r="AF96" s="161"/>
      <c r="AG96" s="64">
        <f t="shared" si="5"/>
        <v>14</v>
      </c>
    </row>
    <row r="97" spans="1:33" ht="18.75" x14ac:dyDescent="0.25">
      <c r="A97" s="318" t="s">
        <v>108</v>
      </c>
      <c r="B97" s="249">
        <v>4</v>
      </c>
      <c r="C97" s="162">
        <v>2</v>
      </c>
      <c r="D97" s="162">
        <v>1</v>
      </c>
      <c r="E97" s="162">
        <v>1</v>
      </c>
      <c r="F97" s="162">
        <v>2</v>
      </c>
      <c r="G97" s="162">
        <v>2</v>
      </c>
      <c r="H97" s="162">
        <v>4</v>
      </c>
      <c r="I97" s="162"/>
      <c r="J97" s="162">
        <v>1</v>
      </c>
      <c r="K97" s="162">
        <v>3</v>
      </c>
      <c r="L97" s="162">
        <v>2</v>
      </c>
      <c r="M97" s="162"/>
      <c r="N97" s="162">
        <v>1</v>
      </c>
      <c r="O97" s="162">
        <v>1</v>
      </c>
      <c r="P97" s="162"/>
      <c r="Q97" s="162">
        <v>3</v>
      </c>
      <c r="R97" s="162"/>
      <c r="S97" s="162">
        <v>1</v>
      </c>
      <c r="T97" s="162">
        <v>4</v>
      </c>
      <c r="U97" s="162">
        <v>1</v>
      </c>
      <c r="V97" s="162">
        <v>2</v>
      </c>
      <c r="W97" s="162">
        <v>2</v>
      </c>
      <c r="X97" s="162">
        <v>2</v>
      </c>
      <c r="Y97" s="162">
        <v>4</v>
      </c>
      <c r="Z97" s="162">
        <v>1</v>
      </c>
      <c r="AA97" s="162">
        <v>1</v>
      </c>
      <c r="AB97" s="162">
        <v>5</v>
      </c>
      <c r="AC97" s="162">
        <v>4</v>
      </c>
      <c r="AD97" s="162"/>
      <c r="AE97" s="162">
        <v>1</v>
      </c>
      <c r="AF97" s="161">
        <v>2</v>
      </c>
      <c r="AG97" s="64">
        <f t="shared" si="5"/>
        <v>57</v>
      </c>
    </row>
    <row r="98" spans="1:33" ht="18.75" x14ac:dyDescent="0.25">
      <c r="A98" s="319" t="s">
        <v>107</v>
      </c>
      <c r="B98" s="249">
        <v>3</v>
      </c>
      <c r="C98" s="162">
        <v>1</v>
      </c>
      <c r="D98" s="162">
        <v>7</v>
      </c>
      <c r="E98" s="162"/>
      <c r="F98" s="162">
        <v>3</v>
      </c>
      <c r="G98" s="162">
        <v>1</v>
      </c>
      <c r="H98" s="162">
        <v>2</v>
      </c>
      <c r="I98" s="162">
        <v>2</v>
      </c>
      <c r="J98" s="162">
        <v>6</v>
      </c>
      <c r="K98" s="162">
        <v>3</v>
      </c>
      <c r="L98" s="162">
        <v>2</v>
      </c>
      <c r="M98" s="162">
        <v>2</v>
      </c>
      <c r="N98" s="162">
        <v>1</v>
      </c>
      <c r="O98" s="162">
        <v>1</v>
      </c>
      <c r="P98" s="162">
        <v>3</v>
      </c>
      <c r="Q98" s="162">
        <v>3</v>
      </c>
      <c r="R98" s="162">
        <v>2</v>
      </c>
      <c r="S98" s="162">
        <v>5</v>
      </c>
      <c r="T98" s="162">
        <v>6</v>
      </c>
      <c r="U98" s="162">
        <v>2</v>
      </c>
      <c r="V98" s="162">
        <v>3</v>
      </c>
      <c r="W98" s="162">
        <v>5</v>
      </c>
      <c r="X98" s="162">
        <v>5</v>
      </c>
      <c r="Y98" s="162">
        <v>3</v>
      </c>
      <c r="Z98" s="162">
        <v>1</v>
      </c>
      <c r="AA98" s="162">
        <v>7</v>
      </c>
      <c r="AB98" s="162">
        <v>2</v>
      </c>
      <c r="AC98" s="162"/>
      <c r="AD98" s="162">
        <v>2</v>
      </c>
      <c r="AE98" s="162">
        <v>4</v>
      </c>
      <c r="AF98" s="161">
        <v>4</v>
      </c>
      <c r="AG98" s="64">
        <f t="shared" si="5"/>
        <v>91</v>
      </c>
    </row>
    <row r="99" spans="1:33" ht="18.75" x14ac:dyDescent="0.25">
      <c r="A99" s="320" t="s">
        <v>106</v>
      </c>
      <c r="B99" s="249"/>
      <c r="C99" s="162">
        <v>6</v>
      </c>
      <c r="D99" s="162">
        <v>8</v>
      </c>
      <c r="E99" s="162">
        <v>1</v>
      </c>
      <c r="F99" s="162">
        <v>3</v>
      </c>
      <c r="G99" s="162">
        <v>4</v>
      </c>
      <c r="H99" s="162">
        <v>3</v>
      </c>
      <c r="I99" s="162">
        <v>4</v>
      </c>
      <c r="J99" s="162">
        <v>4</v>
      </c>
      <c r="K99" s="162">
        <v>6</v>
      </c>
      <c r="L99" s="162">
        <v>1</v>
      </c>
      <c r="M99" s="162">
        <v>3</v>
      </c>
      <c r="N99" s="162">
        <v>1</v>
      </c>
      <c r="O99" s="162">
        <v>2</v>
      </c>
      <c r="P99" s="162">
        <v>8</v>
      </c>
      <c r="Q99" s="162">
        <v>4</v>
      </c>
      <c r="R99" s="162">
        <v>3</v>
      </c>
      <c r="S99" s="162">
        <v>2</v>
      </c>
      <c r="T99" s="162">
        <v>2</v>
      </c>
      <c r="U99" s="162">
        <v>5</v>
      </c>
      <c r="V99" s="162">
        <v>8</v>
      </c>
      <c r="W99" s="162"/>
      <c r="X99" s="162">
        <v>2</v>
      </c>
      <c r="Y99" s="162">
        <v>6</v>
      </c>
      <c r="Z99" s="162">
        <v>2</v>
      </c>
      <c r="AA99" s="162">
        <v>5</v>
      </c>
      <c r="AB99" s="162">
        <v>2</v>
      </c>
      <c r="AC99" s="162">
        <v>11</v>
      </c>
      <c r="AD99" s="162">
        <v>5</v>
      </c>
      <c r="AE99" s="162">
        <v>2</v>
      </c>
      <c r="AF99" s="161">
        <v>1</v>
      </c>
      <c r="AG99" s="64">
        <f t="shared" ref="AG99:AG130" si="15">SUM(B99:AF99)</f>
        <v>114</v>
      </c>
    </row>
    <row r="100" spans="1:33" ht="18.75" x14ac:dyDescent="0.25">
      <c r="A100" s="66" t="s">
        <v>105</v>
      </c>
      <c r="B100" s="262">
        <f t="shared" ref="B100:AF100" si="16">SUM(B101:B115)</f>
        <v>108</v>
      </c>
      <c r="C100" s="68">
        <f t="shared" si="16"/>
        <v>128</v>
      </c>
      <c r="D100" s="68">
        <f t="shared" si="16"/>
        <v>125</v>
      </c>
      <c r="E100" s="68">
        <f t="shared" si="16"/>
        <v>119</v>
      </c>
      <c r="F100" s="68">
        <f t="shared" si="16"/>
        <v>113</v>
      </c>
      <c r="G100" s="68">
        <f t="shared" si="16"/>
        <v>99</v>
      </c>
      <c r="H100" s="68">
        <f t="shared" si="16"/>
        <v>118</v>
      </c>
      <c r="I100" s="68">
        <f t="shared" si="16"/>
        <v>103</v>
      </c>
      <c r="J100" s="68">
        <f t="shared" si="16"/>
        <v>108</v>
      </c>
      <c r="K100" s="68">
        <f t="shared" si="16"/>
        <v>132</v>
      </c>
      <c r="L100" s="68">
        <f t="shared" si="16"/>
        <v>124</v>
      </c>
      <c r="M100" s="68">
        <f t="shared" si="16"/>
        <v>101</v>
      </c>
      <c r="N100" s="68">
        <f t="shared" si="16"/>
        <v>133</v>
      </c>
      <c r="O100" s="68">
        <f t="shared" si="16"/>
        <v>104</v>
      </c>
      <c r="P100" s="68">
        <f t="shared" si="16"/>
        <v>93</v>
      </c>
      <c r="Q100" s="68">
        <f t="shared" si="16"/>
        <v>113</v>
      </c>
      <c r="R100" s="68">
        <f t="shared" si="16"/>
        <v>144</v>
      </c>
      <c r="S100" s="68">
        <f t="shared" si="16"/>
        <v>137</v>
      </c>
      <c r="T100" s="68">
        <f t="shared" si="16"/>
        <v>133</v>
      </c>
      <c r="U100" s="68">
        <f t="shared" si="16"/>
        <v>121</v>
      </c>
      <c r="V100" s="68">
        <f t="shared" si="16"/>
        <v>112</v>
      </c>
      <c r="W100" s="68">
        <f t="shared" si="16"/>
        <v>121</v>
      </c>
      <c r="X100" s="68">
        <f t="shared" si="16"/>
        <v>118</v>
      </c>
      <c r="Y100" s="68">
        <f t="shared" si="16"/>
        <v>113</v>
      </c>
      <c r="Z100" s="68">
        <f t="shared" si="16"/>
        <v>153</v>
      </c>
      <c r="AA100" s="68">
        <f t="shared" si="16"/>
        <v>179</v>
      </c>
      <c r="AB100" s="68">
        <f t="shared" si="16"/>
        <v>144</v>
      </c>
      <c r="AC100" s="68">
        <f t="shared" si="16"/>
        <v>129</v>
      </c>
      <c r="AD100" s="68">
        <f t="shared" si="16"/>
        <v>118</v>
      </c>
      <c r="AE100" s="68">
        <f t="shared" si="16"/>
        <v>148</v>
      </c>
      <c r="AF100" s="67">
        <f t="shared" si="16"/>
        <v>124</v>
      </c>
      <c r="AG100" s="64">
        <f t="shared" si="15"/>
        <v>3815</v>
      </c>
    </row>
    <row r="101" spans="1:33" ht="18.75" x14ac:dyDescent="0.25">
      <c r="A101" s="320" t="s">
        <v>104</v>
      </c>
      <c r="B101" s="249">
        <v>7</v>
      </c>
      <c r="C101" s="162">
        <v>7</v>
      </c>
      <c r="D101" s="162">
        <v>8</v>
      </c>
      <c r="E101" s="162">
        <v>8</v>
      </c>
      <c r="F101" s="162">
        <v>7</v>
      </c>
      <c r="G101" s="162">
        <v>4</v>
      </c>
      <c r="H101" s="162">
        <v>9</v>
      </c>
      <c r="I101" s="162">
        <v>3</v>
      </c>
      <c r="J101" s="162">
        <v>10</v>
      </c>
      <c r="K101" s="162">
        <v>10</v>
      </c>
      <c r="L101" s="162">
        <v>5</v>
      </c>
      <c r="M101" s="162">
        <v>6</v>
      </c>
      <c r="N101" s="162">
        <v>8</v>
      </c>
      <c r="O101" s="162">
        <v>9</v>
      </c>
      <c r="P101" s="162">
        <v>13</v>
      </c>
      <c r="Q101" s="162">
        <v>7</v>
      </c>
      <c r="R101" s="162">
        <v>6</v>
      </c>
      <c r="S101" s="162">
        <v>6</v>
      </c>
      <c r="T101" s="162">
        <v>5</v>
      </c>
      <c r="U101" s="162">
        <v>8</v>
      </c>
      <c r="V101" s="162">
        <v>5</v>
      </c>
      <c r="W101" s="162">
        <v>5</v>
      </c>
      <c r="X101" s="162">
        <v>6</v>
      </c>
      <c r="Y101" s="162">
        <v>8</v>
      </c>
      <c r="Z101" s="162">
        <v>5</v>
      </c>
      <c r="AA101" s="162">
        <v>10</v>
      </c>
      <c r="AB101" s="162">
        <v>11</v>
      </c>
      <c r="AC101" s="162">
        <v>5</v>
      </c>
      <c r="AD101" s="162">
        <v>7</v>
      </c>
      <c r="AE101" s="162">
        <v>6</v>
      </c>
      <c r="AF101" s="161">
        <v>7</v>
      </c>
      <c r="AG101" s="64">
        <f t="shared" si="15"/>
        <v>221</v>
      </c>
    </row>
    <row r="102" spans="1:33" ht="18.75" x14ac:dyDescent="0.25">
      <c r="A102" s="320" t="s">
        <v>103</v>
      </c>
      <c r="B102" s="249">
        <v>11</v>
      </c>
      <c r="C102" s="162">
        <v>10</v>
      </c>
      <c r="D102" s="162">
        <v>11</v>
      </c>
      <c r="E102" s="162">
        <v>25</v>
      </c>
      <c r="F102" s="162">
        <v>15</v>
      </c>
      <c r="G102" s="162">
        <v>16</v>
      </c>
      <c r="H102" s="162">
        <v>15</v>
      </c>
      <c r="I102" s="162">
        <v>16</v>
      </c>
      <c r="J102" s="162">
        <v>11</v>
      </c>
      <c r="K102" s="162">
        <v>14</v>
      </c>
      <c r="L102" s="162">
        <v>15</v>
      </c>
      <c r="M102" s="162">
        <v>17</v>
      </c>
      <c r="N102" s="162">
        <v>15</v>
      </c>
      <c r="O102" s="162">
        <v>13</v>
      </c>
      <c r="P102" s="162">
        <v>8</v>
      </c>
      <c r="Q102" s="162">
        <v>11</v>
      </c>
      <c r="R102" s="162">
        <v>18</v>
      </c>
      <c r="S102" s="162">
        <v>16</v>
      </c>
      <c r="T102" s="162">
        <v>18</v>
      </c>
      <c r="U102" s="162">
        <v>15</v>
      </c>
      <c r="V102" s="162">
        <v>15</v>
      </c>
      <c r="W102" s="162">
        <v>17</v>
      </c>
      <c r="X102" s="162">
        <v>14</v>
      </c>
      <c r="Y102" s="162">
        <v>13</v>
      </c>
      <c r="Z102" s="162">
        <v>23</v>
      </c>
      <c r="AA102" s="162">
        <v>24</v>
      </c>
      <c r="AB102" s="162">
        <v>17</v>
      </c>
      <c r="AC102" s="162">
        <v>16</v>
      </c>
      <c r="AD102" s="162">
        <v>13</v>
      </c>
      <c r="AE102" s="162">
        <v>20</v>
      </c>
      <c r="AF102" s="161">
        <v>17</v>
      </c>
      <c r="AG102" s="64">
        <f t="shared" si="15"/>
        <v>479</v>
      </c>
    </row>
    <row r="103" spans="1:33" ht="18.75" x14ac:dyDescent="0.25">
      <c r="A103" s="321" t="s">
        <v>102</v>
      </c>
      <c r="B103" s="249">
        <v>16</v>
      </c>
      <c r="C103" s="162">
        <v>17</v>
      </c>
      <c r="D103" s="162">
        <v>12</v>
      </c>
      <c r="E103" s="162">
        <v>7</v>
      </c>
      <c r="F103" s="162">
        <v>10</v>
      </c>
      <c r="G103" s="162">
        <v>18</v>
      </c>
      <c r="H103" s="162">
        <v>8</v>
      </c>
      <c r="I103" s="162">
        <v>10</v>
      </c>
      <c r="J103" s="162">
        <v>17</v>
      </c>
      <c r="K103" s="162">
        <v>9</v>
      </c>
      <c r="L103" s="162">
        <v>12</v>
      </c>
      <c r="M103" s="162">
        <v>8</v>
      </c>
      <c r="N103" s="162">
        <v>21</v>
      </c>
      <c r="O103" s="162">
        <v>8</v>
      </c>
      <c r="P103" s="162">
        <v>5</v>
      </c>
      <c r="Q103" s="162">
        <v>8</v>
      </c>
      <c r="R103" s="162">
        <v>15</v>
      </c>
      <c r="S103" s="162">
        <v>19</v>
      </c>
      <c r="T103" s="162">
        <v>26</v>
      </c>
      <c r="U103" s="162">
        <v>15</v>
      </c>
      <c r="V103" s="162">
        <v>11</v>
      </c>
      <c r="W103" s="162">
        <v>20</v>
      </c>
      <c r="X103" s="162">
        <v>16</v>
      </c>
      <c r="Y103" s="162">
        <v>14</v>
      </c>
      <c r="Z103" s="162">
        <v>15</v>
      </c>
      <c r="AA103" s="162">
        <v>22</v>
      </c>
      <c r="AB103" s="162">
        <v>21</v>
      </c>
      <c r="AC103" s="162">
        <v>22</v>
      </c>
      <c r="AD103" s="162">
        <v>11</v>
      </c>
      <c r="AE103" s="162">
        <v>10</v>
      </c>
      <c r="AF103" s="161">
        <v>11</v>
      </c>
      <c r="AG103" s="64">
        <f t="shared" si="15"/>
        <v>434</v>
      </c>
    </row>
    <row r="104" spans="1:33" ht="18.75" x14ac:dyDescent="0.25">
      <c r="A104" s="321" t="s">
        <v>101</v>
      </c>
      <c r="B104" s="249">
        <v>7</v>
      </c>
      <c r="C104" s="162">
        <v>14</v>
      </c>
      <c r="D104" s="162">
        <v>15</v>
      </c>
      <c r="E104" s="162">
        <v>16</v>
      </c>
      <c r="F104" s="162">
        <v>11</v>
      </c>
      <c r="G104" s="162">
        <v>11</v>
      </c>
      <c r="H104" s="162">
        <v>15</v>
      </c>
      <c r="I104" s="162">
        <v>10</v>
      </c>
      <c r="J104" s="162">
        <v>11</v>
      </c>
      <c r="K104" s="162">
        <v>24</v>
      </c>
      <c r="L104" s="162">
        <v>16</v>
      </c>
      <c r="M104" s="162">
        <v>12</v>
      </c>
      <c r="N104" s="162">
        <v>15</v>
      </c>
      <c r="O104" s="162">
        <v>11</v>
      </c>
      <c r="P104" s="162">
        <v>8</v>
      </c>
      <c r="Q104" s="162">
        <v>10</v>
      </c>
      <c r="R104" s="162">
        <v>18</v>
      </c>
      <c r="S104" s="162">
        <v>12</v>
      </c>
      <c r="T104" s="162">
        <v>16</v>
      </c>
      <c r="U104" s="162">
        <v>16</v>
      </c>
      <c r="V104" s="162">
        <v>13</v>
      </c>
      <c r="W104" s="162">
        <v>7</v>
      </c>
      <c r="X104" s="162">
        <v>9</v>
      </c>
      <c r="Y104" s="162">
        <v>9</v>
      </c>
      <c r="Z104" s="162">
        <v>19</v>
      </c>
      <c r="AA104" s="162">
        <v>21</v>
      </c>
      <c r="AB104" s="162">
        <v>9</v>
      </c>
      <c r="AC104" s="162">
        <v>8</v>
      </c>
      <c r="AD104" s="162">
        <v>14</v>
      </c>
      <c r="AE104" s="162">
        <v>26</v>
      </c>
      <c r="AF104" s="161">
        <v>10</v>
      </c>
      <c r="AG104" s="64">
        <f t="shared" si="15"/>
        <v>413</v>
      </c>
    </row>
    <row r="105" spans="1:33" ht="18.75" x14ac:dyDescent="0.25">
      <c r="A105" s="321" t="s">
        <v>100</v>
      </c>
      <c r="B105" s="249">
        <v>6</v>
      </c>
      <c r="C105" s="162">
        <v>10</v>
      </c>
      <c r="D105" s="162">
        <v>6</v>
      </c>
      <c r="E105" s="162">
        <v>10</v>
      </c>
      <c r="F105" s="162">
        <v>11</v>
      </c>
      <c r="G105" s="162">
        <v>5</v>
      </c>
      <c r="H105" s="162">
        <v>13</v>
      </c>
      <c r="I105" s="162">
        <v>12</v>
      </c>
      <c r="J105" s="162">
        <v>8</v>
      </c>
      <c r="K105" s="162">
        <v>15</v>
      </c>
      <c r="L105" s="162">
        <v>9</v>
      </c>
      <c r="M105" s="162">
        <v>5</v>
      </c>
      <c r="N105" s="162">
        <v>10</v>
      </c>
      <c r="O105" s="162">
        <v>5</v>
      </c>
      <c r="P105" s="162">
        <v>6</v>
      </c>
      <c r="Q105" s="162">
        <v>8</v>
      </c>
      <c r="R105" s="162">
        <v>17</v>
      </c>
      <c r="S105" s="162">
        <v>12</v>
      </c>
      <c r="T105" s="162">
        <v>12</v>
      </c>
      <c r="U105" s="162">
        <v>8</v>
      </c>
      <c r="V105" s="162">
        <v>12</v>
      </c>
      <c r="W105" s="162">
        <v>12</v>
      </c>
      <c r="X105" s="162">
        <v>8</v>
      </c>
      <c r="Y105" s="162">
        <v>12</v>
      </c>
      <c r="Z105" s="162">
        <v>15</v>
      </c>
      <c r="AA105" s="162">
        <v>16</v>
      </c>
      <c r="AB105" s="162">
        <v>11</v>
      </c>
      <c r="AC105" s="162">
        <v>5</v>
      </c>
      <c r="AD105" s="162">
        <v>8</v>
      </c>
      <c r="AE105" s="162">
        <v>9</v>
      </c>
      <c r="AF105" s="161">
        <v>10</v>
      </c>
      <c r="AG105" s="64">
        <f t="shared" si="15"/>
        <v>306</v>
      </c>
    </row>
    <row r="106" spans="1:33" ht="18.75" x14ac:dyDescent="0.25">
      <c r="A106" s="321" t="s">
        <v>99</v>
      </c>
      <c r="B106" s="249">
        <v>15</v>
      </c>
      <c r="C106" s="162">
        <v>8</v>
      </c>
      <c r="D106" s="162">
        <v>9</v>
      </c>
      <c r="E106" s="162">
        <v>12</v>
      </c>
      <c r="F106" s="162">
        <v>12</v>
      </c>
      <c r="G106" s="162">
        <v>5</v>
      </c>
      <c r="H106" s="162">
        <v>8</v>
      </c>
      <c r="I106" s="162">
        <v>6</v>
      </c>
      <c r="J106" s="162">
        <v>8</v>
      </c>
      <c r="K106" s="162">
        <v>6</v>
      </c>
      <c r="L106" s="162">
        <v>9</v>
      </c>
      <c r="M106" s="162">
        <v>3</v>
      </c>
      <c r="N106" s="162">
        <v>15</v>
      </c>
      <c r="O106" s="162">
        <v>13</v>
      </c>
      <c r="P106" s="162">
        <v>13</v>
      </c>
      <c r="Q106" s="162">
        <v>8</v>
      </c>
      <c r="R106" s="162">
        <v>14</v>
      </c>
      <c r="S106" s="162">
        <v>11</v>
      </c>
      <c r="T106" s="162">
        <v>9</v>
      </c>
      <c r="U106" s="162">
        <v>13</v>
      </c>
      <c r="V106" s="162">
        <v>11</v>
      </c>
      <c r="W106" s="162">
        <v>11</v>
      </c>
      <c r="X106" s="162">
        <v>12</v>
      </c>
      <c r="Y106" s="162">
        <v>5</v>
      </c>
      <c r="Z106" s="162">
        <v>12</v>
      </c>
      <c r="AA106" s="162">
        <v>11</v>
      </c>
      <c r="AB106" s="162">
        <v>8</v>
      </c>
      <c r="AC106" s="162">
        <v>14</v>
      </c>
      <c r="AD106" s="162">
        <v>16</v>
      </c>
      <c r="AE106" s="162">
        <v>12</v>
      </c>
      <c r="AF106" s="161">
        <v>13</v>
      </c>
      <c r="AG106" s="64">
        <f t="shared" si="15"/>
        <v>322</v>
      </c>
    </row>
    <row r="107" spans="1:33" ht="18.75" x14ac:dyDescent="0.25">
      <c r="A107" s="321" t="s">
        <v>98</v>
      </c>
      <c r="B107" s="249">
        <v>11</v>
      </c>
      <c r="C107" s="162">
        <v>12</v>
      </c>
      <c r="D107" s="162">
        <v>8</v>
      </c>
      <c r="E107" s="162">
        <v>6</v>
      </c>
      <c r="F107" s="162">
        <v>10</v>
      </c>
      <c r="G107" s="162">
        <v>5</v>
      </c>
      <c r="H107" s="162">
        <v>7</v>
      </c>
      <c r="I107" s="162">
        <v>7</v>
      </c>
      <c r="J107" s="162">
        <v>6</v>
      </c>
      <c r="K107" s="162">
        <v>8</v>
      </c>
      <c r="L107" s="162">
        <v>10</v>
      </c>
      <c r="M107" s="162">
        <v>11</v>
      </c>
      <c r="N107" s="162">
        <v>12</v>
      </c>
      <c r="O107" s="162">
        <v>10</v>
      </c>
      <c r="P107" s="162">
        <v>7</v>
      </c>
      <c r="Q107" s="162">
        <v>8</v>
      </c>
      <c r="R107" s="162">
        <v>12</v>
      </c>
      <c r="S107" s="162">
        <v>10</v>
      </c>
      <c r="T107" s="162">
        <v>12</v>
      </c>
      <c r="U107" s="162">
        <v>4</v>
      </c>
      <c r="V107" s="162">
        <v>6</v>
      </c>
      <c r="W107" s="162">
        <v>10</v>
      </c>
      <c r="X107" s="162">
        <v>8</v>
      </c>
      <c r="Y107" s="162">
        <v>12</v>
      </c>
      <c r="Z107" s="162">
        <v>7</v>
      </c>
      <c r="AA107" s="162">
        <v>12</v>
      </c>
      <c r="AB107" s="162">
        <v>12</v>
      </c>
      <c r="AC107" s="162">
        <v>17</v>
      </c>
      <c r="AD107" s="162">
        <v>12</v>
      </c>
      <c r="AE107" s="162">
        <v>14</v>
      </c>
      <c r="AF107" s="161">
        <v>10</v>
      </c>
      <c r="AG107" s="64">
        <f t="shared" si="15"/>
        <v>296</v>
      </c>
    </row>
    <row r="108" spans="1:33" ht="18.75" x14ac:dyDescent="0.25">
      <c r="A108" s="321" t="s">
        <v>97</v>
      </c>
      <c r="B108" s="249">
        <v>8</v>
      </c>
      <c r="C108" s="162">
        <v>6</v>
      </c>
      <c r="D108" s="162">
        <v>5</v>
      </c>
      <c r="E108" s="162">
        <v>6</v>
      </c>
      <c r="F108" s="162">
        <v>8</v>
      </c>
      <c r="G108" s="162">
        <v>10</v>
      </c>
      <c r="H108" s="162">
        <v>9</v>
      </c>
      <c r="I108" s="162">
        <v>7</v>
      </c>
      <c r="J108" s="162">
        <v>9</v>
      </c>
      <c r="K108" s="162">
        <v>8</v>
      </c>
      <c r="L108" s="162">
        <v>13</v>
      </c>
      <c r="M108" s="162">
        <v>6</v>
      </c>
      <c r="N108" s="162">
        <v>8</v>
      </c>
      <c r="O108" s="162">
        <v>11</v>
      </c>
      <c r="P108" s="162">
        <v>6</v>
      </c>
      <c r="Q108" s="162">
        <v>13</v>
      </c>
      <c r="R108" s="162">
        <v>10</v>
      </c>
      <c r="S108" s="162">
        <v>9</v>
      </c>
      <c r="T108" s="162">
        <v>7</v>
      </c>
      <c r="U108" s="162">
        <v>8</v>
      </c>
      <c r="V108" s="162">
        <v>11</v>
      </c>
      <c r="W108" s="162">
        <v>13</v>
      </c>
      <c r="X108" s="162">
        <v>10</v>
      </c>
      <c r="Y108" s="162">
        <v>12</v>
      </c>
      <c r="Z108" s="162">
        <v>13</v>
      </c>
      <c r="AA108" s="162">
        <v>8</v>
      </c>
      <c r="AB108" s="162">
        <v>13</v>
      </c>
      <c r="AC108" s="162">
        <v>10</v>
      </c>
      <c r="AD108" s="162">
        <v>8</v>
      </c>
      <c r="AE108" s="162">
        <v>14</v>
      </c>
      <c r="AF108" s="161">
        <v>16</v>
      </c>
      <c r="AG108" s="64">
        <f t="shared" si="15"/>
        <v>295</v>
      </c>
    </row>
    <row r="109" spans="1:33" ht="18.75" x14ac:dyDescent="0.25">
      <c r="A109" s="321" t="s">
        <v>96</v>
      </c>
      <c r="B109" s="249">
        <v>9</v>
      </c>
      <c r="C109" s="162">
        <v>14</v>
      </c>
      <c r="D109" s="162">
        <v>20</v>
      </c>
      <c r="E109" s="162">
        <v>11</v>
      </c>
      <c r="F109" s="162">
        <v>10</v>
      </c>
      <c r="G109" s="162">
        <v>5</v>
      </c>
      <c r="H109" s="162">
        <v>6</v>
      </c>
      <c r="I109" s="162">
        <v>7</v>
      </c>
      <c r="J109" s="162">
        <v>8</v>
      </c>
      <c r="K109" s="162">
        <v>10</v>
      </c>
      <c r="L109" s="162">
        <v>9</v>
      </c>
      <c r="M109" s="162">
        <v>6</v>
      </c>
      <c r="N109" s="162">
        <v>9</v>
      </c>
      <c r="O109" s="162">
        <v>5</v>
      </c>
      <c r="P109" s="162">
        <v>5</v>
      </c>
      <c r="Q109" s="162">
        <v>12</v>
      </c>
      <c r="R109" s="162">
        <v>7</v>
      </c>
      <c r="S109" s="162">
        <v>10</v>
      </c>
      <c r="T109" s="162">
        <v>4</v>
      </c>
      <c r="U109" s="162">
        <v>12</v>
      </c>
      <c r="V109" s="162">
        <v>6</v>
      </c>
      <c r="W109" s="162">
        <v>4</v>
      </c>
      <c r="X109" s="162">
        <v>7</v>
      </c>
      <c r="Y109" s="162">
        <v>15</v>
      </c>
      <c r="Z109" s="162">
        <v>9</v>
      </c>
      <c r="AA109" s="162">
        <v>18</v>
      </c>
      <c r="AB109" s="162">
        <v>16</v>
      </c>
      <c r="AC109" s="162">
        <v>6</v>
      </c>
      <c r="AD109" s="162">
        <v>12</v>
      </c>
      <c r="AE109" s="162">
        <v>9</v>
      </c>
      <c r="AF109" s="161">
        <v>9</v>
      </c>
      <c r="AG109" s="64">
        <f t="shared" si="15"/>
        <v>290</v>
      </c>
    </row>
    <row r="110" spans="1:33" ht="18.75" x14ac:dyDescent="0.25">
      <c r="A110" s="321" t="s">
        <v>95</v>
      </c>
      <c r="B110" s="249">
        <v>7</v>
      </c>
      <c r="C110" s="162">
        <v>10</v>
      </c>
      <c r="D110" s="162">
        <v>8</v>
      </c>
      <c r="E110" s="162">
        <v>12</v>
      </c>
      <c r="F110" s="162">
        <v>6</v>
      </c>
      <c r="G110" s="162">
        <v>4</v>
      </c>
      <c r="H110" s="162">
        <v>13</v>
      </c>
      <c r="I110" s="162">
        <v>6</v>
      </c>
      <c r="J110" s="162">
        <v>6</v>
      </c>
      <c r="K110" s="162">
        <v>12</v>
      </c>
      <c r="L110" s="162">
        <v>6</v>
      </c>
      <c r="M110" s="162">
        <v>4</v>
      </c>
      <c r="N110" s="162">
        <v>8</v>
      </c>
      <c r="O110" s="162">
        <v>6</v>
      </c>
      <c r="P110" s="162">
        <v>10</v>
      </c>
      <c r="Q110" s="162">
        <v>10</v>
      </c>
      <c r="R110" s="162">
        <v>10</v>
      </c>
      <c r="S110" s="162">
        <v>5</v>
      </c>
      <c r="T110" s="162">
        <v>10</v>
      </c>
      <c r="U110" s="162">
        <v>7</v>
      </c>
      <c r="V110" s="162">
        <v>11</v>
      </c>
      <c r="W110" s="162">
        <v>6</v>
      </c>
      <c r="X110" s="162">
        <v>9</v>
      </c>
      <c r="Y110" s="162">
        <v>4</v>
      </c>
      <c r="Z110" s="162">
        <v>6</v>
      </c>
      <c r="AA110" s="162">
        <v>11</v>
      </c>
      <c r="AB110" s="162">
        <v>4</v>
      </c>
      <c r="AC110" s="162">
        <v>11</v>
      </c>
      <c r="AD110" s="162">
        <v>2</v>
      </c>
      <c r="AE110" s="162">
        <v>10</v>
      </c>
      <c r="AF110" s="161">
        <v>6</v>
      </c>
      <c r="AG110" s="64">
        <f t="shared" si="15"/>
        <v>240</v>
      </c>
    </row>
    <row r="111" spans="1:33" ht="18.75" x14ac:dyDescent="0.25">
      <c r="A111" s="321" t="s">
        <v>94</v>
      </c>
      <c r="B111" s="249">
        <v>2</v>
      </c>
      <c r="C111" s="162">
        <v>7</v>
      </c>
      <c r="D111" s="162">
        <v>3</v>
      </c>
      <c r="E111" s="162">
        <v>3</v>
      </c>
      <c r="F111" s="162">
        <v>6</v>
      </c>
      <c r="G111" s="162">
        <v>4</v>
      </c>
      <c r="H111" s="162">
        <v>4</v>
      </c>
      <c r="I111" s="162">
        <v>6</v>
      </c>
      <c r="J111" s="162">
        <v>1</v>
      </c>
      <c r="K111" s="162">
        <v>5</v>
      </c>
      <c r="L111" s="162">
        <v>7</v>
      </c>
      <c r="M111" s="162">
        <v>6</v>
      </c>
      <c r="N111" s="162">
        <v>4</v>
      </c>
      <c r="O111" s="162">
        <v>1</v>
      </c>
      <c r="P111" s="162">
        <v>4</v>
      </c>
      <c r="Q111" s="162">
        <v>4</v>
      </c>
      <c r="R111" s="162">
        <v>4</v>
      </c>
      <c r="S111" s="162">
        <v>15</v>
      </c>
      <c r="T111" s="162">
        <v>5</v>
      </c>
      <c r="U111" s="162">
        <v>3</v>
      </c>
      <c r="V111" s="162">
        <v>4</v>
      </c>
      <c r="W111" s="162">
        <v>5</v>
      </c>
      <c r="X111" s="162">
        <v>5</v>
      </c>
      <c r="Y111" s="162">
        <v>2</v>
      </c>
      <c r="Z111" s="162">
        <v>11</v>
      </c>
      <c r="AA111" s="162">
        <v>6</v>
      </c>
      <c r="AB111" s="162">
        <v>7</v>
      </c>
      <c r="AC111" s="162">
        <v>6</v>
      </c>
      <c r="AD111" s="162">
        <v>5</v>
      </c>
      <c r="AE111" s="162">
        <v>5</v>
      </c>
      <c r="AF111" s="161">
        <v>5</v>
      </c>
      <c r="AG111" s="64">
        <f t="shared" si="15"/>
        <v>155</v>
      </c>
    </row>
    <row r="112" spans="1:33" ht="18.75" x14ac:dyDescent="0.25">
      <c r="A112" s="321" t="s">
        <v>93</v>
      </c>
      <c r="B112" s="249">
        <v>3</v>
      </c>
      <c r="C112" s="162">
        <v>5</v>
      </c>
      <c r="D112" s="162">
        <v>8</v>
      </c>
      <c r="E112" s="162">
        <v>1</v>
      </c>
      <c r="F112" s="162">
        <v>3</v>
      </c>
      <c r="G112" s="162">
        <v>6</v>
      </c>
      <c r="H112" s="162">
        <v>5</v>
      </c>
      <c r="I112" s="162">
        <v>6</v>
      </c>
      <c r="J112" s="162">
        <v>1</v>
      </c>
      <c r="K112" s="162">
        <v>1</v>
      </c>
      <c r="L112" s="162">
        <v>3</v>
      </c>
      <c r="M112" s="162">
        <v>4</v>
      </c>
      <c r="N112" s="162">
        <v>3</v>
      </c>
      <c r="O112" s="162">
        <v>4</v>
      </c>
      <c r="P112" s="162">
        <v>2</v>
      </c>
      <c r="Q112" s="162">
        <v>5</v>
      </c>
      <c r="R112" s="162">
        <v>4</v>
      </c>
      <c r="S112" s="162">
        <v>6</v>
      </c>
      <c r="T112" s="162">
        <v>4</v>
      </c>
      <c r="U112" s="162">
        <v>5</v>
      </c>
      <c r="V112" s="162">
        <v>1</v>
      </c>
      <c r="W112" s="162">
        <v>4</v>
      </c>
      <c r="X112" s="162">
        <v>5</v>
      </c>
      <c r="Y112" s="162">
        <v>2</v>
      </c>
      <c r="Z112" s="162">
        <v>5</v>
      </c>
      <c r="AA112" s="162">
        <v>4</v>
      </c>
      <c r="AB112" s="162">
        <v>2</v>
      </c>
      <c r="AC112" s="162">
        <v>6</v>
      </c>
      <c r="AD112" s="162">
        <v>4</v>
      </c>
      <c r="AE112" s="162">
        <v>3</v>
      </c>
      <c r="AF112" s="161">
        <v>3</v>
      </c>
      <c r="AG112" s="64">
        <f t="shared" si="15"/>
        <v>118</v>
      </c>
    </row>
    <row r="113" spans="1:33" ht="18.75" x14ac:dyDescent="0.25">
      <c r="A113" s="321" t="s">
        <v>92</v>
      </c>
      <c r="B113" s="249">
        <v>2</v>
      </c>
      <c r="C113" s="162">
        <v>5</v>
      </c>
      <c r="D113" s="162">
        <v>7</v>
      </c>
      <c r="E113" s="162"/>
      <c r="F113" s="162">
        <v>3</v>
      </c>
      <c r="G113" s="162">
        <v>4</v>
      </c>
      <c r="H113" s="162">
        <v>4</v>
      </c>
      <c r="I113" s="162">
        <v>3</v>
      </c>
      <c r="J113" s="162">
        <v>9</v>
      </c>
      <c r="K113" s="162">
        <v>6</v>
      </c>
      <c r="L113" s="162">
        <v>6</v>
      </c>
      <c r="M113" s="162">
        <v>5</v>
      </c>
      <c r="N113" s="162">
        <v>2</v>
      </c>
      <c r="O113" s="162">
        <v>1</v>
      </c>
      <c r="P113" s="162">
        <v>5</v>
      </c>
      <c r="Q113" s="162">
        <v>3</v>
      </c>
      <c r="R113" s="162">
        <v>6</v>
      </c>
      <c r="S113" s="162"/>
      <c r="T113" s="162">
        <v>1</v>
      </c>
      <c r="U113" s="162">
        <v>1</v>
      </c>
      <c r="V113" s="162">
        <v>3</v>
      </c>
      <c r="W113" s="162">
        <v>2</v>
      </c>
      <c r="X113" s="162">
        <v>3</v>
      </c>
      <c r="Y113" s="162">
        <v>3</v>
      </c>
      <c r="Z113" s="162">
        <v>5</v>
      </c>
      <c r="AA113" s="162">
        <v>10</v>
      </c>
      <c r="AB113" s="162">
        <v>5</v>
      </c>
      <c r="AC113" s="162">
        <v>1</v>
      </c>
      <c r="AD113" s="162">
        <v>4</v>
      </c>
      <c r="AE113" s="162">
        <v>7</v>
      </c>
      <c r="AF113" s="161">
        <v>4</v>
      </c>
      <c r="AG113" s="64">
        <f t="shared" si="15"/>
        <v>120</v>
      </c>
    </row>
    <row r="114" spans="1:33" ht="18.75" x14ac:dyDescent="0.25">
      <c r="A114" s="321" t="s">
        <v>91</v>
      </c>
      <c r="B114" s="249">
        <v>4</v>
      </c>
      <c r="C114" s="162">
        <v>3</v>
      </c>
      <c r="D114" s="162">
        <v>5</v>
      </c>
      <c r="E114" s="162">
        <v>2</v>
      </c>
      <c r="F114" s="162">
        <v>1</v>
      </c>
      <c r="G114" s="162">
        <v>2</v>
      </c>
      <c r="H114" s="162">
        <v>2</v>
      </c>
      <c r="I114" s="162">
        <v>4</v>
      </c>
      <c r="J114" s="162">
        <v>3</v>
      </c>
      <c r="K114" s="162">
        <v>4</v>
      </c>
      <c r="L114" s="162">
        <v>4</v>
      </c>
      <c r="M114" s="162">
        <v>8</v>
      </c>
      <c r="N114" s="162">
        <v>3</v>
      </c>
      <c r="O114" s="162">
        <v>7</v>
      </c>
      <c r="P114" s="162">
        <v>1</v>
      </c>
      <c r="Q114" s="162">
        <v>6</v>
      </c>
      <c r="R114" s="162">
        <v>3</v>
      </c>
      <c r="S114" s="162">
        <v>6</v>
      </c>
      <c r="T114" s="162">
        <v>4</v>
      </c>
      <c r="U114" s="162">
        <v>6</v>
      </c>
      <c r="V114" s="162">
        <v>3</v>
      </c>
      <c r="W114" s="162">
        <v>5</v>
      </c>
      <c r="X114" s="162">
        <v>6</v>
      </c>
      <c r="Y114" s="162">
        <v>2</v>
      </c>
      <c r="Z114" s="162">
        <v>8</v>
      </c>
      <c r="AA114" s="162">
        <v>6</v>
      </c>
      <c r="AB114" s="162">
        <v>8</v>
      </c>
      <c r="AC114" s="162">
        <v>2</v>
      </c>
      <c r="AD114" s="162">
        <v>2</v>
      </c>
      <c r="AE114" s="162">
        <v>3</v>
      </c>
      <c r="AF114" s="161">
        <v>3</v>
      </c>
      <c r="AG114" s="64">
        <f t="shared" si="15"/>
        <v>126</v>
      </c>
    </row>
    <row r="115" spans="1:33" ht="19.5" thickBot="1" x14ac:dyDescent="0.3">
      <c r="A115" s="322"/>
      <c r="B115" s="255"/>
      <c r="C115" s="169"/>
      <c r="D115" s="169"/>
      <c r="E115" s="169"/>
      <c r="F115" s="169"/>
      <c r="G115" s="169"/>
      <c r="H115" s="169"/>
      <c r="I115" s="169"/>
      <c r="J115" s="169"/>
      <c r="K115" s="169"/>
      <c r="L115" s="169"/>
      <c r="M115" s="169"/>
      <c r="N115" s="169"/>
      <c r="O115" s="169"/>
      <c r="P115" s="169"/>
      <c r="Q115" s="169"/>
      <c r="R115" s="169"/>
      <c r="S115" s="169"/>
      <c r="T115" s="169"/>
      <c r="U115" s="169"/>
      <c r="V115" s="169"/>
      <c r="W115" s="169"/>
      <c r="X115" s="169"/>
      <c r="Y115" s="169"/>
      <c r="Z115" s="169"/>
      <c r="AA115" s="169"/>
      <c r="AB115" s="169"/>
      <c r="AC115" s="169"/>
      <c r="AD115" s="169"/>
      <c r="AE115" s="169"/>
      <c r="AF115" s="168"/>
      <c r="AG115" s="64">
        <f t="shared" si="15"/>
        <v>0</v>
      </c>
    </row>
    <row r="116" spans="1:33" ht="18.75" x14ac:dyDescent="0.25">
      <c r="A116" s="315" t="s">
        <v>90</v>
      </c>
      <c r="B116" s="261">
        <f t="shared" ref="B116:AF116" si="17">SUM(B117:B129)</f>
        <v>63</v>
      </c>
      <c r="C116" s="166">
        <f t="shared" si="17"/>
        <v>63</v>
      </c>
      <c r="D116" s="166">
        <f t="shared" si="17"/>
        <v>82</v>
      </c>
      <c r="E116" s="166">
        <f t="shared" si="17"/>
        <v>57</v>
      </c>
      <c r="F116" s="166">
        <f t="shared" si="17"/>
        <v>63</v>
      </c>
      <c r="G116" s="166">
        <f t="shared" si="17"/>
        <v>61</v>
      </c>
      <c r="H116" s="166">
        <f t="shared" si="17"/>
        <v>76</v>
      </c>
      <c r="I116" s="166">
        <f t="shared" si="17"/>
        <v>62</v>
      </c>
      <c r="J116" s="166">
        <f t="shared" si="17"/>
        <v>56</v>
      </c>
      <c r="K116" s="166">
        <f t="shared" si="17"/>
        <v>81</v>
      </c>
      <c r="L116" s="166">
        <f t="shared" si="17"/>
        <v>77</v>
      </c>
      <c r="M116" s="166">
        <f t="shared" si="17"/>
        <v>59</v>
      </c>
      <c r="N116" s="166">
        <f t="shared" si="17"/>
        <v>57</v>
      </c>
      <c r="O116" s="166">
        <f t="shared" si="17"/>
        <v>57</v>
      </c>
      <c r="P116" s="166">
        <f t="shared" si="17"/>
        <v>59</v>
      </c>
      <c r="Q116" s="166">
        <f t="shared" si="17"/>
        <v>61</v>
      </c>
      <c r="R116" s="166">
        <f t="shared" si="17"/>
        <v>88</v>
      </c>
      <c r="S116" s="166">
        <f t="shared" si="17"/>
        <v>89</v>
      </c>
      <c r="T116" s="166">
        <f t="shared" si="17"/>
        <v>68</v>
      </c>
      <c r="U116" s="166">
        <f t="shared" si="17"/>
        <v>62</v>
      </c>
      <c r="V116" s="166">
        <f t="shared" si="17"/>
        <v>67</v>
      </c>
      <c r="W116" s="166">
        <f t="shared" si="17"/>
        <v>75</v>
      </c>
      <c r="X116" s="166">
        <f t="shared" si="17"/>
        <v>74</v>
      </c>
      <c r="Y116" s="166">
        <f t="shared" si="17"/>
        <v>70</v>
      </c>
      <c r="Z116" s="166">
        <f t="shared" si="17"/>
        <v>83</v>
      </c>
      <c r="AA116" s="166">
        <f t="shared" si="17"/>
        <v>121</v>
      </c>
      <c r="AB116" s="166">
        <f t="shared" si="17"/>
        <v>85</v>
      </c>
      <c r="AC116" s="166">
        <f t="shared" si="17"/>
        <v>80</v>
      </c>
      <c r="AD116" s="166">
        <f t="shared" si="17"/>
        <v>60</v>
      </c>
      <c r="AE116" s="166">
        <f t="shared" si="17"/>
        <v>79</v>
      </c>
      <c r="AF116" s="165">
        <f t="shared" si="17"/>
        <v>76</v>
      </c>
      <c r="AG116" s="64">
        <f t="shared" si="15"/>
        <v>2211</v>
      </c>
    </row>
    <row r="117" spans="1:33" ht="18.75" x14ac:dyDescent="0.25">
      <c r="A117" s="323" t="s">
        <v>67</v>
      </c>
      <c r="B117" s="249">
        <v>41</v>
      </c>
      <c r="C117" s="162">
        <v>44</v>
      </c>
      <c r="D117" s="162">
        <v>67</v>
      </c>
      <c r="E117" s="162">
        <v>42</v>
      </c>
      <c r="F117" s="162">
        <v>46</v>
      </c>
      <c r="G117" s="162">
        <v>37</v>
      </c>
      <c r="H117" s="162">
        <v>58</v>
      </c>
      <c r="I117" s="162">
        <v>33</v>
      </c>
      <c r="J117" s="162">
        <v>39</v>
      </c>
      <c r="K117" s="162">
        <v>58</v>
      </c>
      <c r="L117" s="162">
        <v>55</v>
      </c>
      <c r="M117" s="162">
        <v>43</v>
      </c>
      <c r="N117" s="162">
        <v>36</v>
      </c>
      <c r="O117" s="162">
        <v>35</v>
      </c>
      <c r="P117" s="162">
        <v>40</v>
      </c>
      <c r="Q117" s="162">
        <v>47</v>
      </c>
      <c r="R117" s="162">
        <v>46</v>
      </c>
      <c r="S117" s="162">
        <v>66</v>
      </c>
      <c r="T117" s="162">
        <v>46</v>
      </c>
      <c r="U117" s="162">
        <v>52</v>
      </c>
      <c r="V117" s="162">
        <v>46</v>
      </c>
      <c r="W117" s="162">
        <v>56</v>
      </c>
      <c r="X117" s="162">
        <v>62</v>
      </c>
      <c r="Y117" s="162">
        <v>50</v>
      </c>
      <c r="Z117" s="162">
        <v>59</v>
      </c>
      <c r="AA117" s="162">
        <v>99</v>
      </c>
      <c r="AB117" s="162">
        <v>64</v>
      </c>
      <c r="AC117" s="162">
        <v>61</v>
      </c>
      <c r="AD117" s="162">
        <v>36</v>
      </c>
      <c r="AE117" s="162">
        <v>59</v>
      </c>
      <c r="AF117" s="161">
        <v>52</v>
      </c>
      <c r="AG117" s="64">
        <f t="shared" si="15"/>
        <v>1575</v>
      </c>
    </row>
    <row r="118" spans="1:33" ht="19.5" hidden="1" customHeight="1" thickBot="1" x14ac:dyDescent="0.3">
      <c r="A118" s="323" t="s">
        <v>69</v>
      </c>
      <c r="B118" s="249"/>
      <c r="C118" s="162"/>
      <c r="D118" s="162"/>
      <c r="E118" s="162"/>
      <c r="F118" s="162"/>
      <c r="G118" s="162"/>
      <c r="H118" s="162"/>
      <c r="I118" s="162"/>
      <c r="J118" s="162"/>
      <c r="K118" s="162"/>
      <c r="L118" s="162"/>
      <c r="M118" s="162"/>
      <c r="N118" s="162"/>
      <c r="O118" s="162"/>
      <c r="P118" s="162"/>
      <c r="Q118" s="162"/>
      <c r="R118" s="162"/>
      <c r="S118" s="162"/>
      <c r="T118" s="162"/>
      <c r="U118" s="162"/>
      <c r="V118" s="162"/>
      <c r="W118" s="162"/>
      <c r="X118" s="162"/>
      <c r="Y118" s="162"/>
      <c r="Z118" s="162"/>
      <c r="AA118" s="162"/>
      <c r="AB118" s="162"/>
      <c r="AC118" s="162"/>
      <c r="AD118" s="162"/>
      <c r="AE118" s="162"/>
      <c r="AF118" s="161"/>
      <c r="AG118" s="64">
        <f t="shared" si="15"/>
        <v>0</v>
      </c>
    </row>
    <row r="119" spans="1:33" ht="19.5" hidden="1" customHeight="1" thickBot="1" x14ac:dyDescent="0.3">
      <c r="A119" s="323" t="s">
        <v>68</v>
      </c>
      <c r="B119" s="249"/>
      <c r="C119" s="162"/>
      <c r="D119" s="162"/>
      <c r="E119" s="162"/>
      <c r="F119" s="162"/>
      <c r="G119" s="162"/>
      <c r="H119" s="162"/>
      <c r="I119" s="162"/>
      <c r="J119" s="162"/>
      <c r="K119" s="162"/>
      <c r="L119" s="162"/>
      <c r="M119" s="162"/>
      <c r="N119" s="162"/>
      <c r="O119" s="162"/>
      <c r="P119" s="162"/>
      <c r="Q119" s="162"/>
      <c r="R119" s="162"/>
      <c r="S119" s="162"/>
      <c r="T119" s="162"/>
      <c r="U119" s="162"/>
      <c r="V119" s="162"/>
      <c r="W119" s="162"/>
      <c r="X119" s="162"/>
      <c r="Y119" s="162"/>
      <c r="Z119" s="162"/>
      <c r="AA119" s="162"/>
      <c r="AB119" s="162"/>
      <c r="AC119" s="162"/>
      <c r="AD119" s="162"/>
      <c r="AE119" s="162"/>
      <c r="AF119" s="161"/>
      <c r="AG119" s="64">
        <f t="shared" si="15"/>
        <v>0</v>
      </c>
    </row>
    <row r="120" spans="1:33" ht="19.5" hidden="1" customHeight="1" thickBot="1" x14ac:dyDescent="0.3">
      <c r="A120" s="323" t="s">
        <v>66</v>
      </c>
      <c r="B120" s="249"/>
      <c r="C120" s="162"/>
      <c r="D120" s="162"/>
      <c r="E120" s="162"/>
      <c r="F120" s="162"/>
      <c r="G120" s="162"/>
      <c r="H120" s="162"/>
      <c r="I120" s="162"/>
      <c r="J120" s="162"/>
      <c r="K120" s="162"/>
      <c r="L120" s="162"/>
      <c r="M120" s="162"/>
      <c r="N120" s="162"/>
      <c r="O120" s="162"/>
      <c r="P120" s="162"/>
      <c r="Q120" s="162"/>
      <c r="R120" s="162"/>
      <c r="S120" s="162"/>
      <c r="T120" s="162"/>
      <c r="U120" s="162"/>
      <c r="V120" s="162"/>
      <c r="W120" s="162"/>
      <c r="X120" s="162"/>
      <c r="Y120" s="162"/>
      <c r="Z120" s="162"/>
      <c r="AA120" s="162"/>
      <c r="AB120" s="162"/>
      <c r="AC120" s="162"/>
      <c r="AD120" s="162"/>
      <c r="AE120" s="162"/>
      <c r="AF120" s="161"/>
      <c r="AG120" s="64">
        <f t="shared" si="15"/>
        <v>0</v>
      </c>
    </row>
    <row r="121" spans="1:33" ht="19.5" hidden="1" customHeight="1" thickBot="1" x14ac:dyDescent="0.3">
      <c r="A121" s="323" t="s">
        <v>65</v>
      </c>
      <c r="B121" s="249"/>
      <c r="C121" s="162"/>
      <c r="D121" s="162"/>
      <c r="E121" s="162"/>
      <c r="F121" s="162"/>
      <c r="G121" s="162"/>
      <c r="H121" s="162"/>
      <c r="I121" s="162"/>
      <c r="J121" s="162"/>
      <c r="K121" s="162"/>
      <c r="L121" s="162"/>
      <c r="M121" s="162"/>
      <c r="N121" s="162"/>
      <c r="O121" s="162"/>
      <c r="P121" s="162"/>
      <c r="Q121" s="162"/>
      <c r="R121" s="162"/>
      <c r="S121" s="162"/>
      <c r="T121" s="162"/>
      <c r="U121" s="162"/>
      <c r="V121" s="162"/>
      <c r="W121" s="162"/>
      <c r="X121" s="162"/>
      <c r="Y121" s="162"/>
      <c r="Z121" s="162"/>
      <c r="AA121" s="162"/>
      <c r="AB121" s="162"/>
      <c r="AC121" s="162"/>
      <c r="AD121" s="162"/>
      <c r="AE121" s="162"/>
      <c r="AF121" s="161"/>
      <c r="AG121" s="64">
        <f t="shared" si="15"/>
        <v>0</v>
      </c>
    </row>
    <row r="122" spans="1:33" ht="19.5" hidden="1" customHeight="1" thickBot="1" x14ac:dyDescent="0.3">
      <c r="A122" s="323" t="s">
        <v>64</v>
      </c>
      <c r="B122" s="249"/>
      <c r="C122" s="162"/>
      <c r="D122" s="162"/>
      <c r="E122" s="162"/>
      <c r="F122" s="162"/>
      <c r="G122" s="162"/>
      <c r="H122" s="162"/>
      <c r="I122" s="162"/>
      <c r="J122" s="162"/>
      <c r="K122" s="162"/>
      <c r="L122" s="162"/>
      <c r="M122" s="162"/>
      <c r="N122" s="162"/>
      <c r="O122" s="162"/>
      <c r="P122" s="162"/>
      <c r="Q122" s="162"/>
      <c r="R122" s="162"/>
      <c r="S122" s="162"/>
      <c r="T122" s="162"/>
      <c r="U122" s="162"/>
      <c r="V122" s="162"/>
      <c r="W122" s="162"/>
      <c r="X122" s="162"/>
      <c r="Y122" s="162"/>
      <c r="Z122" s="162"/>
      <c r="AA122" s="162"/>
      <c r="AB122" s="162"/>
      <c r="AC122" s="162"/>
      <c r="AD122" s="162"/>
      <c r="AE122" s="162"/>
      <c r="AF122" s="161"/>
      <c r="AG122" s="64">
        <f t="shared" si="15"/>
        <v>0</v>
      </c>
    </row>
    <row r="123" spans="1:33" ht="19.5" hidden="1" customHeight="1" thickBot="1" x14ac:dyDescent="0.3">
      <c r="A123" s="323" t="s">
        <v>63</v>
      </c>
      <c r="B123" s="249"/>
      <c r="C123" s="162"/>
      <c r="D123" s="162"/>
      <c r="E123" s="162"/>
      <c r="F123" s="162"/>
      <c r="G123" s="162"/>
      <c r="H123" s="162"/>
      <c r="I123" s="162"/>
      <c r="J123" s="162"/>
      <c r="K123" s="162"/>
      <c r="L123" s="162"/>
      <c r="M123" s="162"/>
      <c r="N123" s="162"/>
      <c r="O123" s="162"/>
      <c r="P123" s="162"/>
      <c r="Q123" s="162"/>
      <c r="R123" s="162"/>
      <c r="S123" s="162"/>
      <c r="T123" s="162"/>
      <c r="U123" s="162"/>
      <c r="V123" s="162"/>
      <c r="W123" s="162"/>
      <c r="X123" s="162"/>
      <c r="Y123" s="162"/>
      <c r="Z123" s="162"/>
      <c r="AA123" s="162"/>
      <c r="AB123" s="162"/>
      <c r="AC123" s="162"/>
      <c r="AD123" s="162"/>
      <c r="AE123" s="162"/>
      <c r="AF123" s="161"/>
      <c r="AG123" s="64">
        <f t="shared" si="15"/>
        <v>0</v>
      </c>
    </row>
    <row r="124" spans="1:33" ht="19.5" hidden="1" customHeight="1" thickBot="1" x14ac:dyDescent="0.3">
      <c r="A124" s="323" t="s">
        <v>62</v>
      </c>
      <c r="B124" s="249"/>
      <c r="C124" s="162"/>
      <c r="D124" s="162"/>
      <c r="E124" s="162"/>
      <c r="F124" s="162"/>
      <c r="G124" s="162"/>
      <c r="H124" s="162"/>
      <c r="I124" s="162"/>
      <c r="J124" s="162"/>
      <c r="K124" s="162"/>
      <c r="L124" s="162"/>
      <c r="M124" s="162"/>
      <c r="N124" s="162"/>
      <c r="O124" s="162"/>
      <c r="P124" s="162"/>
      <c r="Q124" s="162"/>
      <c r="R124" s="162"/>
      <c r="S124" s="162"/>
      <c r="T124" s="162"/>
      <c r="U124" s="162"/>
      <c r="V124" s="162"/>
      <c r="W124" s="162"/>
      <c r="X124" s="162"/>
      <c r="Y124" s="162"/>
      <c r="Z124" s="162"/>
      <c r="AA124" s="162"/>
      <c r="AB124" s="162"/>
      <c r="AC124" s="162"/>
      <c r="AD124" s="162"/>
      <c r="AE124" s="162"/>
      <c r="AF124" s="161"/>
      <c r="AG124" s="64">
        <f t="shared" si="15"/>
        <v>0</v>
      </c>
    </row>
    <row r="125" spans="1:33" ht="19.5" hidden="1" customHeight="1" thickBot="1" x14ac:dyDescent="0.3">
      <c r="A125" s="301" t="s">
        <v>60</v>
      </c>
      <c r="B125" s="249"/>
      <c r="C125" s="162"/>
      <c r="D125" s="162"/>
      <c r="E125" s="162"/>
      <c r="F125" s="162"/>
      <c r="G125" s="162"/>
      <c r="H125" s="162"/>
      <c r="I125" s="162"/>
      <c r="J125" s="162"/>
      <c r="K125" s="162"/>
      <c r="L125" s="162"/>
      <c r="M125" s="162"/>
      <c r="N125" s="162"/>
      <c r="O125" s="162"/>
      <c r="P125" s="162"/>
      <c r="Q125" s="162"/>
      <c r="R125" s="162"/>
      <c r="S125" s="162"/>
      <c r="T125" s="162"/>
      <c r="U125" s="162"/>
      <c r="V125" s="162"/>
      <c r="W125" s="162"/>
      <c r="X125" s="162"/>
      <c r="Y125" s="162"/>
      <c r="Z125" s="162"/>
      <c r="AA125" s="162"/>
      <c r="AB125" s="162"/>
      <c r="AC125" s="162"/>
      <c r="AD125" s="162"/>
      <c r="AE125" s="162"/>
      <c r="AF125" s="161"/>
      <c r="AG125" s="64">
        <f t="shared" si="15"/>
        <v>0</v>
      </c>
    </row>
    <row r="126" spans="1:33" ht="19.5" hidden="1" customHeight="1" thickBot="1" x14ac:dyDescent="0.3">
      <c r="A126" s="301" t="s">
        <v>59</v>
      </c>
      <c r="B126" s="249"/>
      <c r="C126" s="162"/>
      <c r="D126" s="162"/>
      <c r="E126" s="162"/>
      <c r="F126" s="162"/>
      <c r="G126" s="162"/>
      <c r="H126" s="162"/>
      <c r="I126" s="162"/>
      <c r="J126" s="162"/>
      <c r="K126" s="162"/>
      <c r="L126" s="162"/>
      <c r="M126" s="162"/>
      <c r="N126" s="162"/>
      <c r="O126" s="162"/>
      <c r="P126" s="162"/>
      <c r="Q126" s="162"/>
      <c r="R126" s="162"/>
      <c r="S126" s="162"/>
      <c r="T126" s="162"/>
      <c r="U126" s="162"/>
      <c r="V126" s="162"/>
      <c r="W126" s="162"/>
      <c r="X126" s="162"/>
      <c r="Y126" s="162"/>
      <c r="Z126" s="162"/>
      <c r="AA126" s="162"/>
      <c r="AB126" s="162"/>
      <c r="AC126" s="162"/>
      <c r="AD126" s="162"/>
      <c r="AE126" s="162"/>
      <c r="AF126" s="161"/>
      <c r="AG126" s="64">
        <f t="shared" si="15"/>
        <v>0</v>
      </c>
    </row>
    <row r="127" spans="1:33" ht="19.5" hidden="1" customHeight="1" thickBot="1" x14ac:dyDescent="0.3">
      <c r="A127" s="301" t="s">
        <v>58</v>
      </c>
      <c r="B127" s="249"/>
      <c r="C127" s="162"/>
      <c r="D127" s="162"/>
      <c r="E127" s="162"/>
      <c r="F127" s="162"/>
      <c r="G127" s="162"/>
      <c r="H127" s="162"/>
      <c r="I127" s="162"/>
      <c r="J127" s="162"/>
      <c r="K127" s="162"/>
      <c r="L127" s="162"/>
      <c r="M127" s="162"/>
      <c r="N127" s="162"/>
      <c r="O127" s="162"/>
      <c r="P127" s="162"/>
      <c r="Q127" s="162"/>
      <c r="R127" s="162"/>
      <c r="S127" s="162"/>
      <c r="T127" s="162"/>
      <c r="U127" s="162"/>
      <c r="V127" s="162"/>
      <c r="W127" s="162"/>
      <c r="X127" s="162"/>
      <c r="Y127" s="162"/>
      <c r="Z127" s="162"/>
      <c r="AA127" s="162"/>
      <c r="AB127" s="162"/>
      <c r="AC127" s="162"/>
      <c r="AD127" s="162"/>
      <c r="AE127" s="162"/>
      <c r="AF127" s="161"/>
      <c r="AG127" s="64">
        <f t="shared" si="15"/>
        <v>0</v>
      </c>
    </row>
    <row r="128" spans="1:33" ht="19.5" hidden="1" customHeight="1" thickBot="1" x14ac:dyDescent="0.3">
      <c r="A128" s="323" t="s">
        <v>88</v>
      </c>
      <c r="B128" s="249"/>
      <c r="C128" s="162"/>
      <c r="D128" s="162"/>
      <c r="E128" s="162"/>
      <c r="F128" s="162"/>
      <c r="G128" s="162"/>
      <c r="H128" s="162"/>
      <c r="I128" s="162"/>
      <c r="J128" s="162"/>
      <c r="K128" s="162"/>
      <c r="L128" s="162"/>
      <c r="M128" s="162"/>
      <c r="N128" s="162"/>
      <c r="O128" s="162"/>
      <c r="P128" s="162"/>
      <c r="Q128" s="162"/>
      <c r="R128" s="162"/>
      <c r="S128" s="162"/>
      <c r="T128" s="162"/>
      <c r="U128" s="162"/>
      <c r="V128" s="162"/>
      <c r="W128" s="162"/>
      <c r="X128" s="162"/>
      <c r="Y128" s="162"/>
      <c r="Z128" s="162"/>
      <c r="AA128" s="162"/>
      <c r="AB128" s="162"/>
      <c r="AC128" s="162"/>
      <c r="AD128" s="162"/>
      <c r="AE128" s="162"/>
      <c r="AF128" s="161"/>
      <c r="AG128" s="64">
        <f t="shared" si="15"/>
        <v>0</v>
      </c>
    </row>
    <row r="129" spans="1:35" ht="19.5" thickBot="1" x14ac:dyDescent="0.3">
      <c r="A129" s="324" t="s">
        <v>87</v>
      </c>
      <c r="B129" s="263">
        <f>10+12</f>
        <v>22</v>
      </c>
      <c r="C129" s="140">
        <f>9+10</f>
        <v>19</v>
      </c>
      <c r="D129" s="140">
        <f>4+11</f>
        <v>15</v>
      </c>
      <c r="E129" s="140">
        <f>10+5</f>
        <v>15</v>
      </c>
      <c r="F129" s="140">
        <f>9+8</f>
        <v>17</v>
      </c>
      <c r="G129" s="140">
        <f>13+11</f>
        <v>24</v>
      </c>
      <c r="H129" s="140">
        <f>10+8</f>
        <v>18</v>
      </c>
      <c r="I129" s="140">
        <f>11+18</f>
        <v>29</v>
      </c>
      <c r="J129" s="140">
        <f>10+7</f>
        <v>17</v>
      </c>
      <c r="K129" s="140">
        <f>9+14</f>
        <v>23</v>
      </c>
      <c r="L129" s="140">
        <f>16+6</f>
        <v>22</v>
      </c>
      <c r="M129" s="140">
        <f>6+10</f>
        <v>16</v>
      </c>
      <c r="N129" s="140">
        <f>7+14</f>
        <v>21</v>
      </c>
      <c r="O129" s="140">
        <f>10+12</f>
        <v>22</v>
      </c>
      <c r="P129" s="140">
        <f>9+10</f>
        <v>19</v>
      </c>
      <c r="Q129" s="140">
        <f>6+8</f>
        <v>14</v>
      </c>
      <c r="R129" s="140">
        <f>26+16</f>
        <v>42</v>
      </c>
      <c r="S129" s="140">
        <f>17+6</f>
        <v>23</v>
      </c>
      <c r="T129" s="140">
        <f>15+7</f>
        <v>22</v>
      </c>
      <c r="U129" s="140">
        <f>5+5</f>
        <v>10</v>
      </c>
      <c r="V129" s="140">
        <f>16+5</f>
        <v>21</v>
      </c>
      <c r="W129" s="140">
        <f>7+12</f>
        <v>19</v>
      </c>
      <c r="X129" s="140">
        <f>6+6</f>
        <v>12</v>
      </c>
      <c r="Y129" s="140">
        <f>8+12</f>
        <v>20</v>
      </c>
      <c r="Z129" s="140">
        <f>13+11</f>
        <v>24</v>
      </c>
      <c r="AA129" s="140">
        <f>10+12</f>
        <v>22</v>
      </c>
      <c r="AB129" s="140">
        <f>13+8</f>
        <v>21</v>
      </c>
      <c r="AC129" s="140">
        <f>7+1+11</f>
        <v>19</v>
      </c>
      <c r="AD129" s="140">
        <f>15+9</f>
        <v>24</v>
      </c>
      <c r="AE129" s="140">
        <f>13+7</f>
        <v>20</v>
      </c>
      <c r="AF129" s="139">
        <f>12+1+11</f>
        <v>24</v>
      </c>
      <c r="AG129" s="64">
        <f t="shared" si="15"/>
        <v>636</v>
      </c>
    </row>
    <row r="130" spans="1:35" ht="18.75" x14ac:dyDescent="0.25">
      <c r="A130" s="315" t="s">
        <v>89</v>
      </c>
      <c r="B130" s="261">
        <f t="shared" ref="B130:AF130" si="18">SUM(B131:B143)</f>
        <v>116</v>
      </c>
      <c r="C130" s="166">
        <f t="shared" si="18"/>
        <v>137</v>
      </c>
      <c r="D130" s="166">
        <f t="shared" si="18"/>
        <v>142</v>
      </c>
      <c r="E130" s="166">
        <f t="shared" si="18"/>
        <v>122</v>
      </c>
      <c r="F130" s="166">
        <f t="shared" si="18"/>
        <v>122</v>
      </c>
      <c r="G130" s="166">
        <f t="shared" si="18"/>
        <v>106</v>
      </c>
      <c r="H130" s="166">
        <f t="shared" si="18"/>
        <v>129</v>
      </c>
      <c r="I130" s="166">
        <f t="shared" si="18"/>
        <v>109</v>
      </c>
      <c r="J130" s="166">
        <f t="shared" si="18"/>
        <v>120</v>
      </c>
      <c r="K130" s="166">
        <f t="shared" si="18"/>
        <v>144</v>
      </c>
      <c r="L130" s="166">
        <f t="shared" si="18"/>
        <v>130</v>
      </c>
      <c r="M130" s="166">
        <f t="shared" si="18"/>
        <v>108</v>
      </c>
      <c r="N130" s="166">
        <f t="shared" si="18"/>
        <v>136</v>
      </c>
      <c r="O130" s="166">
        <f t="shared" si="18"/>
        <v>108</v>
      </c>
      <c r="P130" s="166">
        <f t="shared" si="18"/>
        <v>104</v>
      </c>
      <c r="Q130" s="166">
        <f t="shared" si="18"/>
        <v>123</v>
      </c>
      <c r="R130" s="166">
        <f t="shared" si="18"/>
        <v>149</v>
      </c>
      <c r="S130" s="166">
        <f t="shared" si="18"/>
        <v>145</v>
      </c>
      <c r="T130" s="166">
        <f t="shared" si="18"/>
        <v>145</v>
      </c>
      <c r="U130" s="166">
        <f t="shared" si="18"/>
        <v>129</v>
      </c>
      <c r="V130" s="166">
        <f t="shared" si="18"/>
        <v>125</v>
      </c>
      <c r="W130" s="166">
        <f t="shared" si="18"/>
        <v>129</v>
      </c>
      <c r="X130" s="166">
        <f t="shared" si="18"/>
        <v>128</v>
      </c>
      <c r="Y130" s="166">
        <f t="shared" si="18"/>
        <v>128</v>
      </c>
      <c r="Z130" s="166">
        <f t="shared" si="18"/>
        <v>158</v>
      </c>
      <c r="AA130" s="166">
        <f t="shared" si="18"/>
        <v>193</v>
      </c>
      <c r="AB130" s="166">
        <f t="shared" si="18"/>
        <v>157</v>
      </c>
      <c r="AC130" s="166">
        <f t="shared" si="18"/>
        <v>144</v>
      </c>
      <c r="AD130" s="166">
        <f t="shared" si="18"/>
        <v>128</v>
      </c>
      <c r="AE130" s="166">
        <f t="shared" si="18"/>
        <v>157</v>
      </c>
      <c r="AF130" s="165">
        <f t="shared" si="18"/>
        <v>131</v>
      </c>
      <c r="AG130" s="164">
        <f t="shared" si="15"/>
        <v>4102</v>
      </c>
      <c r="AH130" s="152" t="str">
        <f>IF(AG130&lt;&gt;AG93,"*","")</f>
        <v/>
      </c>
    </row>
    <row r="131" spans="1:35" ht="18.75" x14ac:dyDescent="0.25">
      <c r="A131" s="323" t="s">
        <v>67</v>
      </c>
      <c r="B131" s="249">
        <v>38</v>
      </c>
      <c r="C131" s="162">
        <v>42</v>
      </c>
      <c r="D131" s="162">
        <v>64</v>
      </c>
      <c r="E131" s="162">
        <v>36</v>
      </c>
      <c r="F131" s="162">
        <v>44</v>
      </c>
      <c r="G131" s="162">
        <v>32</v>
      </c>
      <c r="H131" s="162">
        <v>53</v>
      </c>
      <c r="I131" s="162">
        <v>30</v>
      </c>
      <c r="J131" s="162">
        <v>39</v>
      </c>
      <c r="K131" s="162">
        <v>57</v>
      </c>
      <c r="L131" s="162">
        <v>48</v>
      </c>
      <c r="M131" s="162">
        <v>43</v>
      </c>
      <c r="N131" s="162">
        <v>33</v>
      </c>
      <c r="O131" s="162">
        <v>34</v>
      </c>
      <c r="P131" s="162">
        <v>38</v>
      </c>
      <c r="Q131" s="162">
        <v>44</v>
      </c>
      <c r="R131" s="162">
        <v>44</v>
      </c>
      <c r="S131" s="162">
        <v>58</v>
      </c>
      <c r="T131" s="162">
        <v>42</v>
      </c>
      <c r="U131" s="162">
        <v>51</v>
      </c>
      <c r="V131" s="162">
        <v>42</v>
      </c>
      <c r="W131" s="162">
        <v>48</v>
      </c>
      <c r="X131" s="162">
        <v>60</v>
      </c>
      <c r="Y131" s="162">
        <v>50</v>
      </c>
      <c r="Z131" s="162">
        <v>52</v>
      </c>
      <c r="AA131" s="162">
        <v>97</v>
      </c>
      <c r="AB131" s="162">
        <v>61</v>
      </c>
      <c r="AC131" s="162">
        <v>57</v>
      </c>
      <c r="AD131" s="162">
        <v>36</v>
      </c>
      <c r="AE131" s="162">
        <v>56</v>
      </c>
      <c r="AF131" s="161">
        <v>51</v>
      </c>
      <c r="AG131" s="64">
        <f t="shared" ref="AG131:AG145" si="19">SUM(B131:AF131)</f>
        <v>1480</v>
      </c>
    </row>
    <row r="132" spans="1:35" ht="18.75" x14ac:dyDescent="0.25">
      <c r="A132" s="323" t="s">
        <v>69</v>
      </c>
      <c r="B132" s="249">
        <v>6</v>
      </c>
      <c r="C132" s="162">
        <v>8</v>
      </c>
      <c r="D132" s="162">
        <v>4</v>
      </c>
      <c r="E132" s="162">
        <v>6</v>
      </c>
      <c r="F132" s="162">
        <v>5</v>
      </c>
      <c r="G132" s="162">
        <v>2</v>
      </c>
      <c r="H132" s="162">
        <v>8</v>
      </c>
      <c r="I132" s="162">
        <v>8</v>
      </c>
      <c r="J132" s="162">
        <v>11</v>
      </c>
      <c r="K132" s="162">
        <v>9</v>
      </c>
      <c r="L132" s="162">
        <v>6</v>
      </c>
      <c r="M132" s="162">
        <v>5</v>
      </c>
      <c r="N132" s="162">
        <v>2</v>
      </c>
      <c r="O132" s="162">
        <v>5</v>
      </c>
      <c r="P132" s="162">
        <v>3</v>
      </c>
      <c r="Q132" s="162">
        <v>6</v>
      </c>
      <c r="R132" s="162">
        <v>9</v>
      </c>
      <c r="S132" s="162">
        <v>5</v>
      </c>
      <c r="T132" s="162">
        <v>5</v>
      </c>
      <c r="U132" s="162">
        <v>5</v>
      </c>
      <c r="V132" s="162">
        <v>8</v>
      </c>
      <c r="W132" s="162">
        <v>11</v>
      </c>
      <c r="X132" s="162">
        <v>5</v>
      </c>
      <c r="Y132" s="162">
        <v>6</v>
      </c>
      <c r="Z132" s="162">
        <v>6</v>
      </c>
      <c r="AA132" s="162">
        <v>8</v>
      </c>
      <c r="AB132" s="162">
        <v>12</v>
      </c>
      <c r="AC132" s="162">
        <v>11</v>
      </c>
      <c r="AD132" s="162">
        <v>9</v>
      </c>
      <c r="AE132" s="162">
        <v>17</v>
      </c>
      <c r="AF132" s="161">
        <v>8</v>
      </c>
      <c r="AG132" s="64">
        <f t="shared" si="19"/>
        <v>219</v>
      </c>
    </row>
    <row r="133" spans="1:35" ht="18.75" x14ac:dyDescent="0.25">
      <c r="A133" s="323" t="s">
        <v>68</v>
      </c>
      <c r="B133" s="249">
        <v>10</v>
      </c>
      <c r="C133" s="162">
        <v>6</v>
      </c>
      <c r="D133" s="162">
        <v>10</v>
      </c>
      <c r="E133" s="162">
        <v>10</v>
      </c>
      <c r="F133" s="162">
        <v>10</v>
      </c>
      <c r="G133" s="162">
        <v>6</v>
      </c>
      <c r="H133" s="162">
        <v>12</v>
      </c>
      <c r="I133" s="162">
        <v>6</v>
      </c>
      <c r="J133" s="162">
        <v>9</v>
      </c>
      <c r="K133" s="162">
        <v>14</v>
      </c>
      <c r="L133" s="162">
        <v>11</v>
      </c>
      <c r="M133" s="162">
        <v>10</v>
      </c>
      <c r="N133" s="162">
        <v>11</v>
      </c>
      <c r="O133" s="162">
        <v>4</v>
      </c>
      <c r="P133" s="162">
        <v>6</v>
      </c>
      <c r="Q133" s="162">
        <v>12</v>
      </c>
      <c r="R133" s="162">
        <v>13</v>
      </c>
      <c r="S133" s="162">
        <v>13</v>
      </c>
      <c r="T133" s="162">
        <v>17</v>
      </c>
      <c r="U133" s="162">
        <v>5</v>
      </c>
      <c r="V133" s="162">
        <v>12</v>
      </c>
      <c r="W133" s="162">
        <v>5</v>
      </c>
      <c r="X133" s="162">
        <v>6</v>
      </c>
      <c r="Y133" s="162">
        <v>5</v>
      </c>
      <c r="Z133" s="162">
        <v>9</v>
      </c>
      <c r="AA133" s="162">
        <v>7</v>
      </c>
      <c r="AB133" s="162">
        <v>11</v>
      </c>
      <c r="AC133" s="162">
        <v>7</v>
      </c>
      <c r="AD133" s="162">
        <v>12</v>
      </c>
      <c r="AE133" s="162">
        <v>10</v>
      </c>
      <c r="AF133" s="161">
        <v>11</v>
      </c>
      <c r="AG133" s="64">
        <f t="shared" si="19"/>
        <v>290</v>
      </c>
    </row>
    <row r="134" spans="1:35" ht="18.75" x14ac:dyDescent="0.25">
      <c r="A134" s="323" t="s">
        <v>66</v>
      </c>
      <c r="B134" s="249">
        <v>6</v>
      </c>
      <c r="C134" s="162">
        <v>8</v>
      </c>
      <c r="D134" s="162">
        <v>8</v>
      </c>
      <c r="E134" s="162">
        <v>14</v>
      </c>
      <c r="F134" s="162">
        <v>6</v>
      </c>
      <c r="G134" s="162">
        <f>1+9</f>
        <v>10</v>
      </c>
      <c r="H134" s="162">
        <v>4</v>
      </c>
      <c r="I134" s="162">
        <v>8</v>
      </c>
      <c r="J134" s="162">
        <v>10</v>
      </c>
      <c r="K134" s="162">
        <v>7</v>
      </c>
      <c r="L134" s="162">
        <v>7</v>
      </c>
      <c r="M134" s="162">
        <v>6</v>
      </c>
      <c r="N134" s="162">
        <f>2+16</f>
        <v>18</v>
      </c>
      <c r="O134" s="162">
        <v>10</v>
      </c>
      <c r="P134" s="162">
        <v>5</v>
      </c>
      <c r="Q134" s="162">
        <v>2</v>
      </c>
      <c r="R134" s="162">
        <v>9</v>
      </c>
      <c r="S134" s="162">
        <f>1+5</f>
        <v>6</v>
      </c>
      <c r="T134" s="162">
        <f>9+1</f>
        <v>10</v>
      </c>
      <c r="U134" s="162">
        <f>7+1</f>
        <v>8</v>
      </c>
      <c r="V134" s="162">
        <v>6</v>
      </c>
      <c r="W134" s="162">
        <v>7</v>
      </c>
      <c r="X134" s="162">
        <f>1+7</f>
        <v>8</v>
      </c>
      <c r="Y134" s="162">
        <f>1+6</f>
        <v>7</v>
      </c>
      <c r="Z134" s="162">
        <v>13</v>
      </c>
      <c r="AA134" s="162">
        <v>9</v>
      </c>
      <c r="AB134" s="162">
        <v>7</v>
      </c>
      <c r="AC134" s="162">
        <v>15</v>
      </c>
      <c r="AD134" s="162">
        <v>9</v>
      </c>
      <c r="AE134" s="162">
        <v>14</v>
      </c>
      <c r="AF134" s="161">
        <v>8</v>
      </c>
      <c r="AG134" s="64">
        <f t="shared" si="19"/>
        <v>265</v>
      </c>
    </row>
    <row r="135" spans="1:35" ht="18.75" x14ac:dyDescent="0.25">
      <c r="A135" s="323" t="s">
        <v>65</v>
      </c>
      <c r="B135" s="249">
        <v>6</v>
      </c>
      <c r="C135" s="162">
        <v>9</v>
      </c>
      <c r="D135" s="162">
        <v>9</v>
      </c>
      <c r="E135" s="162">
        <v>7</v>
      </c>
      <c r="F135" s="162">
        <v>9</v>
      </c>
      <c r="G135" s="162">
        <v>11</v>
      </c>
      <c r="H135" s="162">
        <v>6</v>
      </c>
      <c r="I135" s="162">
        <v>8</v>
      </c>
      <c r="J135" s="162">
        <v>15</v>
      </c>
      <c r="K135" s="162">
        <v>11</v>
      </c>
      <c r="L135" s="162">
        <v>3</v>
      </c>
      <c r="M135" s="162">
        <v>2</v>
      </c>
      <c r="N135" s="162">
        <v>5</v>
      </c>
      <c r="O135" s="162">
        <v>5</v>
      </c>
      <c r="P135" s="162">
        <v>6</v>
      </c>
      <c r="Q135" s="162">
        <v>7</v>
      </c>
      <c r="R135" s="162">
        <v>7</v>
      </c>
      <c r="S135" s="162">
        <v>3</v>
      </c>
      <c r="T135" s="162">
        <v>11</v>
      </c>
      <c r="U135" s="162">
        <v>7</v>
      </c>
      <c r="V135" s="162">
        <v>10</v>
      </c>
      <c r="W135" s="162">
        <v>9</v>
      </c>
      <c r="X135" s="162">
        <v>9</v>
      </c>
      <c r="Y135" s="162">
        <v>8</v>
      </c>
      <c r="Z135" s="162">
        <v>13</v>
      </c>
      <c r="AA135" s="162">
        <v>5</v>
      </c>
      <c r="AB135" s="162">
        <v>4</v>
      </c>
      <c r="AC135" s="162">
        <v>6</v>
      </c>
      <c r="AD135" s="162">
        <v>8</v>
      </c>
      <c r="AE135" s="162">
        <v>8</v>
      </c>
      <c r="AF135" s="161">
        <v>9</v>
      </c>
      <c r="AG135" s="64">
        <f t="shared" si="19"/>
        <v>236</v>
      </c>
    </row>
    <row r="136" spans="1:35" ht="18.75" x14ac:dyDescent="0.25">
      <c r="A136" s="323" t="s">
        <v>64</v>
      </c>
      <c r="B136" s="249">
        <v>17</v>
      </c>
      <c r="C136" s="162">
        <v>24</v>
      </c>
      <c r="D136" s="162">
        <v>20</v>
      </c>
      <c r="E136" s="162">
        <v>20</v>
      </c>
      <c r="F136" s="162">
        <v>23</v>
      </c>
      <c r="G136" s="162">
        <v>11</v>
      </c>
      <c r="H136" s="162">
        <v>15</v>
      </c>
      <c r="I136" s="162">
        <v>17</v>
      </c>
      <c r="J136" s="162">
        <v>15</v>
      </c>
      <c r="K136" s="162">
        <v>17</v>
      </c>
      <c r="L136" s="162">
        <v>24</v>
      </c>
      <c r="M136" s="162">
        <v>21</v>
      </c>
      <c r="N136" s="162">
        <v>25</v>
      </c>
      <c r="O136" s="162">
        <v>16</v>
      </c>
      <c r="P136" s="162">
        <v>17</v>
      </c>
      <c r="Q136" s="162">
        <v>27</v>
      </c>
      <c r="R136" s="162">
        <v>19</v>
      </c>
      <c r="S136" s="162">
        <v>26</v>
      </c>
      <c r="T136" s="162">
        <v>24</v>
      </c>
      <c r="U136" s="162">
        <v>20</v>
      </c>
      <c r="V136" s="162">
        <v>14</v>
      </c>
      <c r="W136" s="162">
        <v>16</v>
      </c>
      <c r="X136" s="162">
        <v>18</v>
      </c>
      <c r="Y136" s="162">
        <v>23</v>
      </c>
      <c r="Z136" s="162">
        <v>24</v>
      </c>
      <c r="AA136" s="162">
        <v>24</v>
      </c>
      <c r="AB136" s="162">
        <v>20</v>
      </c>
      <c r="AC136" s="162">
        <v>18</v>
      </c>
      <c r="AD136" s="162">
        <v>20</v>
      </c>
      <c r="AE136" s="162">
        <v>21</v>
      </c>
      <c r="AF136" s="161">
        <v>11</v>
      </c>
      <c r="AG136" s="64">
        <f t="shared" si="19"/>
        <v>607</v>
      </c>
    </row>
    <row r="137" spans="1:35" ht="18.75" x14ac:dyDescent="0.25">
      <c r="A137" s="323" t="s">
        <v>63</v>
      </c>
      <c r="B137" s="249">
        <f>5+1</f>
        <v>6</v>
      </c>
      <c r="C137" s="162">
        <v>6</v>
      </c>
      <c r="D137" s="162">
        <v>6</v>
      </c>
      <c r="E137" s="162">
        <v>6</v>
      </c>
      <c r="F137" s="162">
        <v>2</v>
      </c>
      <c r="G137" s="162">
        <v>4</v>
      </c>
      <c r="H137" s="162">
        <f>2+1</f>
        <v>3</v>
      </c>
      <c r="I137" s="162">
        <v>2</v>
      </c>
      <c r="J137" s="162">
        <f>4+1</f>
        <v>5</v>
      </c>
      <c r="K137" s="162">
        <v>2</v>
      </c>
      <c r="L137" s="162">
        <v>1</v>
      </c>
      <c r="M137" s="162">
        <v>2</v>
      </c>
      <c r="N137" s="162">
        <f>5+1</f>
        <v>6</v>
      </c>
      <c r="O137" s="162">
        <v>5</v>
      </c>
      <c r="P137" s="162">
        <v>5</v>
      </c>
      <c r="Q137" s="162">
        <f>3+1</f>
        <v>4</v>
      </c>
      <c r="R137" s="162">
        <v>4</v>
      </c>
      <c r="S137" s="162">
        <v>2</v>
      </c>
      <c r="T137" s="162">
        <v>6</v>
      </c>
      <c r="U137" s="162">
        <v>10</v>
      </c>
      <c r="V137" s="162">
        <v>5</v>
      </c>
      <c r="W137" s="162">
        <f>2+1</f>
        <v>3</v>
      </c>
      <c r="X137" s="162">
        <f>3+1</f>
        <v>4</v>
      </c>
      <c r="Y137" s="162">
        <v>1</v>
      </c>
      <c r="Z137" s="162">
        <f>7+3</f>
        <v>10</v>
      </c>
      <c r="AA137" s="162">
        <f>9+2</f>
        <v>11</v>
      </c>
      <c r="AB137" s="162">
        <f>7+3</f>
        <v>10</v>
      </c>
      <c r="AC137" s="162">
        <v>4</v>
      </c>
      <c r="AD137" s="162">
        <f>7+1</f>
        <v>8</v>
      </c>
      <c r="AE137" s="162">
        <v>2</v>
      </c>
      <c r="AF137" s="161">
        <f>4+1</f>
        <v>5</v>
      </c>
      <c r="AG137" s="64">
        <f t="shared" si="19"/>
        <v>150</v>
      </c>
    </row>
    <row r="138" spans="1:35" ht="18.75" x14ac:dyDescent="0.25">
      <c r="A138" s="323" t="s">
        <v>62</v>
      </c>
      <c r="B138" s="249"/>
      <c r="C138" s="162">
        <v>1</v>
      </c>
      <c r="D138" s="162">
        <v>4</v>
      </c>
      <c r="E138" s="162">
        <v>3</v>
      </c>
      <c r="F138" s="162"/>
      <c r="G138" s="162"/>
      <c r="H138" s="162">
        <v>3</v>
      </c>
      <c r="I138" s="162"/>
      <c r="J138" s="162">
        <v>1</v>
      </c>
      <c r="K138" s="162">
        <v>2</v>
      </c>
      <c r="L138" s="162">
        <v>1</v>
      </c>
      <c r="M138" s="162">
        <v>1</v>
      </c>
      <c r="N138" s="162">
        <v>4</v>
      </c>
      <c r="O138" s="162">
        <v>1</v>
      </c>
      <c r="P138" s="162">
        <v>1</v>
      </c>
      <c r="Q138" s="162">
        <v>3</v>
      </c>
      <c r="R138" s="162">
        <v>3</v>
      </c>
      <c r="S138" s="162">
        <v>4</v>
      </c>
      <c r="T138" s="162">
        <v>2</v>
      </c>
      <c r="U138" s="162">
        <v>5</v>
      </c>
      <c r="V138" s="162">
        <v>1</v>
      </c>
      <c r="W138" s="162">
        <v>4</v>
      </c>
      <c r="X138" s="162"/>
      <c r="Y138" s="162">
        <v>2</v>
      </c>
      <c r="Z138" s="162">
        <v>2</v>
      </c>
      <c r="AA138" s="162">
        <v>3</v>
      </c>
      <c r="AB138" s="162">
        <v>3</v>
      </c>
      <c r="AC138" s="162">
        <v>2</v>
      </c>
      <c r="AD138" s="162"/>
      <c r="AE138" s="162">
        <v>1</v>
      </c>
      <c r="AF138" s="161">
        <v>1</v>
      </c>
      <c r="AG138" s="64">
        <f t="shared" si="19"/>
        <v>58</v>
      </c>
    </row>
    <row r="139" spans="1:35" ht="18.75" x14ac:dyDescent="0.25">
      <c r="A139" s="301" t="s">
        <v>60</v>
      </c>
      <c r="B139" s="249"/>
      <c r="C139" s="162">
        <v>4</v>
      </c>
      <c r="D139" s="162"/>
      <c r="E139" s="162">
        <f>3+2</f>
        <v>5</v>
      </c>
      <c r="F139" s="162">
        <v>2</v>
      </c>
      <c r="G139" s="162">
        <v>2</v>
      </c>
      <c r="H139" s="162"/>
      <c r="I139" s="162"/>
      <c r="J139" s="162"/>
      <c r="K139" s="162"/>
      <c r="L139" s="162">
        <v>4</v>
      </c>
      <c r="M139" s="162">
        <v>1</v>
      </c>
      <c r="N139" s="162">
        <f>3+2</f>
        <v>5</v>
      </c>
      <c r="O139" s="162">
        <v>1</v>
      </c>
      <c r="P139" s="162"/>
      <c r="Q139" s="162"/>
      <c r="R139" s="162"/>
      <c r="S139" s="162">
        <f>1+1</f>
        <v>2</v>
      </c>
      <c r="T139" s="162">
        <v>1</v>
      </c>
      <c r="U139" s="162">
        <v>1</v>
      </c>
      <c r="V139" s="162">
        <v>1</v>
      </c>
      <c r="W139" s="162">
        <f>2+1</f>
        <v>3</v>
      </c>
      <c r="X139" s="162"/>
      <c r="Y139" s="162">
        <f>2+2</f>
        <v>4</v>
      </c>
      <c r="Z139" s="162">
        <f>1+1</f>
        <v>2</v>
      </c>
      <c r="AA139" s="162"/>
      <c r="AB139" s="162">
        <v>4</v>
      </c>
      <c r="AC139" s="162">
        <v>1</v>
      </c>
      <c r="AD139" s="162"/>
      <c r="AE139" s="162">
        <v>3</v>
      </c>
      <c r="AF139" s="161">
        <v>1</v>
      </c>
      <c r="AG139" s="64">
        <f t="shared" si="19"/>
        <v>47</v>
      </c>
    </row>
    <row r="140" spans="1:35" ht="18.75" x14ac:dyDescent="0.25">
      <c r="A140" s="301" t="s">
        <v>59</v>
      </c>
      <c r="B140" s="249">
        <v>1</v>
      </c>
      <c r="C140" s="162"/>
      <c r="D140" s="162"/>
      <c r="E140" s="162">
        <v>1</v>
      </c>
      <c r="F140" s="162">
        <v>2</v>
      </c>
      <c r="G140" s="162">
        <v>2</v>
      </c>
      <c r="H140" s="162">
        <v>1</v>
      </c>
      <c r="I140" s="162">
        <v>2</v>
      </c>
      <c r="J140" s="162"/>
      <c r="K140" s="162">
        <v>1</v>
      </c>
      <c r="L140" s="162"/>
      <c r="M140" s="162"/>
      <c r="N140" s="162"/>
      <c r="O140" s="162"/>
      <c r="P140" s="162">
        <v>1</v>
      </c>
      <c r="Q140" s="162"/>
      <c r="R140" s="162">
        <v>1</v>
      </c>
      <c r="S140" s="162">
        <v>4</v>
      </c>
      <c r="T140" s="162"/>
      <c r="U140" s="162">
        <v>1</v>
      </c>
      <c r="V140" s="162">
        <v>1</v>
      </c>
      <c r="W140" s="162">
        <v>1</v>
      </c>
      <c r="X140" s="162"/>
      <c r="Y140" s="162"/>
      <c r="Z140" s="162"/>
      <c r="AA140" s="162">
        <v>1</v>
      </c>
      <c r="AB140" s="162"/>
      <c r="AC140" s="162">
        <v>1</v>
      </c>
      <c r="AD140" s="162"/>
      <c r="AE140" s="162"/>
      <c r="AF140" s="161"/>
      <c r="AG140" s="64">
        <f t="shared" si="19"/>
        <v>21</v>
      </c>
    </row>
    <row r="141" spans="1:35" ht="18.75" x14ac:dyDescent="0.25">
      <c r="A141" s="301" t="s">
        <v>58</v>
      </c>
      <c r="B141" s="249"/>
      <c r="C141" s="162">
        <v>1</v>
      </c>
      <c r="D141" s="162"/>
      <c r="E141" s="162"/>
      <c r="F141" s="162">
        <v>1</v>
      </c>
      <c r="G141" s="162"/>
      <c r="H141" s="162"/>
      <c r="I141" s="162"/>
      <c r="J141" s="162"/>
      <c r="K141" s="162"/>
      <c r="L141" s="162"/>
      <c r="M141" s="162"/>
      <c r="N141" s="162">
        <v>1</v>
      </c>
      <c r="O141" s="162"/>
      <c r="P141" s="162"/>
      <c r="Q141" s="162">
        <v>1</v>
      </c>
      <c r="R141" s="162"/>
      <c r="S141" s="162"/>
      <c r="T141" s="162"/>
      <c r="U141" s="162"/>
      <c r="V141" s="162">
        <v>1</v>
      </c>
      <c r="W141" s="162">
        <v>2</v>
      </c>
      <c r="X141" s="162"/>
      <c r="Y141" s="162"/>
      <c r="Z141" s="162"/>
      <c r="AA141" s="162">
        <v>1</v>
      </c>
      <c r="AB141" s="162"/>
      <c r="AC141" s="162">
        <v>1</v>
      </c>
      <c r="AD141" s="162"/>
      <c r="AE141" s="162"/>
      <c r="AF141" s="161"/>
      <c r="AG141" s="64">
        <f t="shared" si="19"/>
        <v>9</v>
      </c>
    </row>
    <row r="142" spans="1:35" ht="18.75" x14ac:dyDescent="0.25">
      <c r="A142" s="323" t="s">
        <v>88</v>
      </c>
      <c r="B142" s="249">
        <f>2+1+1+1+1</f>
        <v>6</v>
      </c>
      <c r="C142" s="162">
        <f>4+1+1+1+1+1</f>
        <v>9</v>
      </c>
      <c r="D142" s="162">
        <f>1+1</f>
        <v>2</v>
      </c>
      <c r="E142" s="162">
        <f>1+1+1</f>
        <v>3</v>
      </c>
      <c r="F142" s="162">
        <f>2+1</f>
        <v>3</v>
      </c>
      <c r="G142" s="162">
        <f>2+1+2+1</f>
        <v>6</v>
      </c>
      <c r="H142" s="162">
        <f>1+2+1+1+1+2</f>
        <v>8</v>
      </c>
      <c r="I142" s="162">
        <f>1</f>
        <v>1</v>
      </c>
      <c r="J142" s="162">
        <v>6</v>
      </c>
      <c r="K142" s="162">
        <f>1</f>
        <v>1</v>
      </c>
      <c r="L142" s="162">
        <f>1+1+1+1+1</f>
        <v>5</v>
      </c>
      <c r="M142" s="162">
        <f>1+1</f>
        <v>2</v>
      </c>
      <c r="N142" s="162">
        <f>1+1+1+1+1+1</f>
        <v>6</v>
      </c>
      <c r="O142" s="162">
        <f>1+5+1</f>
        <v>7</v>
      </c>
      <c r="P142" s="162">
        <f>1+1+1+1</f>
        <v>4</v>
      </c>
      <c r="Q142" s="162">
        <f>1+1+1</f>
        <v>3</v>
      </c>
      <c r="R142" s="162">
        <f>1+1+1</f>
        <v>3</v>
      </c>
      <c r="S142" s="162">
        <f>3+1+1</f>
        <v>5</v>
      </c>
      <c r="T142" s="162">
        <f>1+1+1+1+2+1</f>
        <v>7</v>
      </c>
      <c r="U142" s="162">
        <f>2+1+2+2</f>
        <v>7</v>
      </c>
      <c r="V142" s="162">
        <f>1+1+1+1+1</f>
        <v>5</v>
      </c>
      <c r="W142" s="162">
        <f>2+1</f>
        <v>3</v>
      </c>
      <c r="X142" s="162">
        <f>1+1+1+1+1+1</f>
        <v>6</v>
      </c>
      <c r="Y142" s="162">
        <f>1+1+1+1+1</f>
        <v>5</v>
      </c>
      <c r="Z142" s="162">
        <f>2+1+1+1</f>
        <v>5</v>
      </c>
      <c r="AA142" s="162">
        <f>1+1+1+1+1</f>
        <v>5</v>
      </c>
      <c r="AB142" s="162">
        <f>1+2+2</f>
        <v>5</v>
      </c>
      <c r="AC142" s="162">
        <f>2+1</f>
        <v>3</v>
      </c>
      <c r="AD142" s="162">
        <f>1+1</f>
        <v>2</v>
      </c>
      <c r="AE142" s="162">
        <f>1+2+1+1</f>
        <v>5</v>
      </c>
      <c r="AF142" s="161">
        <f>1+1+1</f>
        <v>3</v>
      </c>
      <c r="AG142" s="64">
        <f t="shared" si="19"/>
        <v>141</v>
      </c>
    </row>
    <row r="143" spans="1:35" ht="19.5" thickBot="1" x14ac:dyDescent="0.3">
      <c r="A143" s="324" t="s">
        <v>87</v>
      </c>
      <c r="B143" s="263">
        <f>10+10</f>
        <v>20</v>
      </c>
      <c r="C143" s="140">
        <f>9+10</f>
        <v>19</v>
      </c>
      <c r="D143" s="140">
        <f>4+11</f>
        <v>15</v>
      </c>
      <c r="E143" s="140">
        <f>7+4</f>
        <v>11</v>
      </c>
      <c r="F143" s="140">
        <f>8+7</f>
        <v>15</v>
      </c>
      <c r="G143" s="140">
        <f>11+9</f>
        <v>20</v>
      </c>
      <c r="H143" s="140">
        <f>8+8</f>
        <v>16</v>
      </c>
      <c r="I143" s="140">
        <f>11+16</f>
        <v>27</v>
      </c>
      <c r="J143" s="140">
        <v>9</v>
      </c>
      <c r="K143" s="140">
        <f>9+14</f>
        <v>23</v>
      </c>
      <c r="L143" s="140">
        <f>14+6</f>
        <v>20</v>
      </c>
      <c r="M143" s="140">
        <f>6+9</f>
        <v>15</v>
      </c>
      <c r="N143" s="140">
        <f>7+13</f>
        <v>20</v>
      </c>
      <c r="O143" s="140">
        <f>8+12</f>
        <v>20</v>
      </c>
      <c r="P143" s="140">
        <f>8+10</f>
        <v>18</v>
      </c>
      <c r="Q143" s="140">
        <f>6+8</f>
        <v>14</v>
      </c>
      <c r="R143" s="140">
        <f>21+16</f>
        <v>37</v>
      </c>
      <c r="S143" s="140">
        <f>12+5</f>
        <v>17</v>
      </c>
      <c r="T143" s="140">
        <f>14+6</f>
        <v>20</v>
      </c>
      <c r="U143" s="140">
        <f>4+5</f>
        <v>9</v>
      </c>
      <c r="V143" s="140">
        <f>14+5</f>
        <v>19</v>
      </c>
      <c r="W143" s="140">
        <f>7+10</f>
        <v>17</v>
      </c>
      <c r="X143" s="140">
        <f>6+6</f>
        <v>12</v>
      </c>
      <c r="Y143" s="140">
        <f>6+11</f>
        <v>17</v>
      </c>
      <c r="Z143" s="140">
        <f>12+10</f>
        <v>22</v>
      </c>
      <c r="AA143" s="140">
        <f>10+12</f>
        <v>22</v>
      </c>
      <c r="AB143" s="140">
        <f>13+7</f>
        <v>20</v>
      </c>
      <c r="AC143" s="140">
        <f>6+1+11</f>
        <v>18</v>
      </c>
      <c r="AD143" s="140">
        <f>15+9</f>
        <v>24</v>
      </c>
      <c r="AE143" s="140">
        <f>12+1+7</f>
        <v>20</v>
      </c>
      <c r="AF143" s="139">
        <f>1+12+1+9</f>
        <v>23</v>
      </c>
      <c r="AG143" s="160">
        <f t="shared" si="19"/>
        <v>579</v>
      </c>
    </row>
    <row r="144" spans="1:35" ht="19.5" thickBot="1" x14ac:dyDescent="0.3">
      <c r="A144" s="309" t="s">
        <v>86</v>
      </c>
      <c r="B144" s="257">
        <f t="shared" ref="B144:AF144" si="20">+B146+B156+B158+B167</f>
        <v>116</v>
      </c>
      <c r="C144" s="158">
        <f t="shared" si="20"/>
        <v>137</v>
      </c>
      <c r="D144" s="158">
        <f t="shared" si="20"/>
        <v>142</v>
      </c>
      <c r="E144" s="158">
        <f t="shared" si="20"/>
        <v>122</v>
      </c>
      <c r="F144" s="158">
        <f t="shared" si="20"/>
        <v>122</v>
      </c>
      <c r="G144" s="158">
        <f t="shared" si="20"/>
        <v>106</v>
      </c>
      <c r="H144" s="158">
        <f t="shared" si="20"/>
        <v>129</v>
      </c>
      <c r="I144" s="158">
        <f t="shared" si="20"/>
        <v>109</v>
      </c>
      <c r="J144" s="158">
        <f t="shared" si="20"/>
        <v>120</v>
      </c>
      <c r="K144" s="158">
        <f t="shared" si="20"/>
        <v>144</v>
      </c>
      <c r="L144" s="158">
        <f t="shared" si="20"/>
        <v>130</v>
      </c>
      <c r="M144" s="158">
        <f t="shared" si="20"/>
        <v>108</v>
      </c>
      <c r="N144" s="158">
        <f t="shared" si="20"/>
        <v>136</v>
      </c>
      <c r="O144" s="158">
        <f t="shared" si="20"/>
        <v>108</v>
      </c>
      <c r="P144" s="158">
        <f t="shared" si="20"/>
        <v>104</v>
      </c>
      <c r="Q144" s="158">
        <f t="shared" si="20"/>
        <v>123</v>
      </c>
      <c r="R144" s="158">
        <f t="shared" si="20"/>
        <v>149</v>
      </c>
      <c r="S144" s="158">
        <f t="shared" si="20"/>
        <v>145</v>
      </c>
      <c r="T144" s="158">
        <f t="shared" si="20"/>
        <v>145</v>
      </c>
      <c r="U144" s="158">
        <f t="shared" si="20"/>
        <v>129</v>
      </c>
      <c r="V144" s="158">
        <f t="shared" si="20"/>
        <v>125</v>
      </c>
      <c r="W144" s="158">
        <f t="shared" si="20"/>
        <v>129</v>
      </c>
      <c r="X144" s="158">
        <f t="shared" si="20"/>
        <v>128</v>
      </c>
      <c r="Y144" s="158">
        <f t="shared" si="20"/>
        <v>128</v>
      </c>
      <c r="Z144" s="158">
        <f t="shared" si="20"/>
        <v>158</v>
      </c>
      <c r="AA144" s="158">
        <f t="shared" si="20"/>
        <v>193</v>
      </c>
      <c r="AB144" s="158">
        <f t="shared" si="20"/>
        <v>157</v>
      </c>
      <c r="AC144" s="158">
        <f t="shared" si="20"/>
        <v>144</v>
      </c>
      <c r="AD144" s="158">
        <f t="shared" si="20"/>
        <v>128</v>
      </c>
      <c r="AE144" s="158">
        <f t="shared" si="20"/>
        <v>157</v>
      </c>
      <c r="AF144" s="158">
        <f t="shared" si="20"/>
        <v>131</v>
      </c>
      <c r="AG144" s="157">
        <f t="shared" si="19"/>
        <v>4102</v>
      </c>
      <c r="AH144" s="85" t="str">
        <f>IF(AG144&lt;&gt;AG93,"*","")</f>
        <v/>
      </c>
      <c r="AI144" t="s">
        <v>85</v>
      </c>
    </row>
    <row r="145" spans="1:34" ht="19.5" thickBot="1" x14ac:dyDescent="0.3">
      <c r="A145" s="325" t="s">
        <v>84</v>
      </c>
      <c r="B145" s="264">
        <f t="shared" ref="B145:AF145" si="21">+B149+B155+B157+B172</f>
        <v>7</v>
      </c>
      <c r="C145" s="155">
        <f t="shared" si="21"/>
        <v>6</v>
      </c>
      <c r="D145" s="155">
        <f t="shared" si="21"/>
        <v>6</v>
      </c>
      <c r="E145" s="155">
        <f t="shared" si="21"/>
        <v>18</v>
      </c>
      <c r="F145" s="155">
        <f t="shared" si="21"/>
        <v>11</v>
      </c>
      <c r="G145" s="155">
        <f t="shared" si="21"/>
        <v>13</v>
      </c>
      <c r="H145" s="155">
        <f t="shared" si="21"/>
        <v>10</v>
      </c>
      <c r="I145" s="155">
        <f t="shared" si="21"/>
        <v>13</v>
      </c>
      <c r="J145" s="155">
        <f t="shared" si="21"/>
        <v>5</v>
      </c>
      <c r="K145" s="155">
        <f t="shared" si="21"/>
        <v>5</v>
      </c>
      <c r="L145" s="155">
        <f t="shared" si="21"/>
        <v>15</v>
      </c>
      <c r="M145" s="155">
        <f t="shared" si="21"/>
        <v>3</v>
      </c>
      <c r="N145" s="155">
        <f t="shared" si="21"/>
        <v>12</v>
      </c>
      <c r="O145" s="155">
        <f t="shared" si="21"/>
        <v>6</v>
      </c>
      <c r="P145" s="155">
        <f t="shared" si="21"/>
        <v>7</v>
      </c>
      <c r="Q145" s="155">
        <f t="shared" si="21"/>
        <v>5</v>
      </c>
      <c r="R145" s="155">
        <f t="shared" si="21"/>
        <v>10</v>
      </c>
      <c r="S145" s="155">
        <f t="shared" si="21"/>
        <v>25</v>
      </c>
      <c r="T145" s="155">
        <f t="shared" si="21"/>
        <v>8</v>
      </c>
      <c r="U145" s="155">
        <f t="shared" si="21"/>
        <v>6</v>
      </c>
      <c r="V145" s="155">
        <f t="shared" si="21"/>
        <v>12</v>
      </c>
      <c r="W145" s="155">
        <f t="shared" si="21"/>
        <v>16</v>
      </c>
      <c r="X145" s="155">
        <f t="shared" si="21"/>
        <v>5</v>
      </c>
      <c r="Y145" s="155">
        <f t="shared" si="21"/>
        <v>3</v>
      </c>
      <c r="Z145" s="155">
        <f t="shared" si="21"/>
        <v>15</v>
      </c>
      <c r="AA145" s="155">
        <f t="shared" si="21"/>
        <v>3</v>
      </c>
      <c r="AB145" s="155">
        <f t="shared" si="21"/>
        <v>7</v>
      </c>
      <c r="AC145" s="155">
        <f t="shared" si="21"/>
        <v>10</v>
      </c>
      <c r="AD145" s="155">
        <f t="shared" si="21"/>
        <v>4</v>
      </c>
      <c r="AE145" s="155">
        <f t="shared" si="21"/>
        <v>7</v>
      </c>
      <c r="AF145" s="154">
        <f t="shared" si="21"/>
        <v>6</v>
      </c>
      <c r="AG145" s="153">
        <f t="shared" si="19"/>
        <v>279</v>
      </c>
      <c r="AH145" s="152"/>
    </row>
    <row r="146" spans="1:34" ht="19.5" thickBot="1" x14ac:dyDescent="0.3">
      <c r="A146" s="326" t="s">
        <v>83</v>
      </c>
      <c r="B146" s="265">
        <f t="shared" ref="B146:AG147" si="22">+B148+B154</f>
        <v>0</v>
      </c>
      <c r="C146" s="8">
        <f t="shared" si="22"/>
        <v>0</v>
      </c>
      <c r="D146" s="8">
        <f t="shared" si="22"/>
        <v>0</v>
      </c>
      <c r="E146" s="8">
        <f t="shared" si="22"/>
        <v>0</v>
      </c>
      <c r="F146" s="8">
        <f t="shared" si="22"/>
        <v>0</v>
      </c>
      <c r="G146" s="8">
        <f t="shared" si="22"/>
        <v>0</v>
      </c>
      <c r="H146" s="8">
        <f t="shared" si="22"/>
        <v>0</v>
      </c>
      <c r="I146" s="8">
        <f t="shared" si="22"/>
        <v>0</v>
      </c>
      <c r="J146" s="8">
        <f t="shared" si="22"/>
        <v>0</v>
      </c>
      <c r="K146" s="8">
        <f t="shared" si="22"/>
        <v>0</v>
      </c>
      <c r="L146" s="8">
        <f t="shared" si="22"/>
        <v>0</v>
      </c>
      <c r="M146" s="8">
        <f t="shared" si="22"/>
        <v>0</v>
      </c>
      <c r="N146" s="8">
        <f t="shared" si="22"/>
        <v>0</v>
      </c>
      <c r="O146" s="8">
        <f t="shared" si="22"/>
        <v>0</v>
      </c>
      <c r="P146" s="8">
        <f t="shared" si="22"/>
        <v>0</v>
      </c>
      <c r="Q146" s="8">
        <f t="shared" si="22"/>
        <v>0</v>
      </c>
      <c r="R146" s="8">
        <f t="shared" si="22"/>
        <v>0</v>
      </c>
      <c r="S146" s="8">
        <f t="shared" si="22"/>
        <v>0</v>
      </c>
      <c r="T146" s="8">
        <f t="shared" si="22"/>
        <v>0</v>
      </c>
      <c r="U146" s="8">
        <f t="shared" si="22"/>
        <v>0</v>
      </c>
      <c r="V146" s="8">
        <f t="shared" si="22"/>
        <v>0</v>
      </c>
      <c r="W146" s="8">
        <f t="shared" si="22"/>
        <v>0</v>
      </c>
      <c r="X146" s="8">
        <f t="shared" si="22"/>
        <v>0</v>
      </c>
      <c r="Y146" s="8">
        <f t="shared" si="22"/>
        <v>0</v>
      </c>
      <c r="Z146" s="8">
        <f t="shared" si="22"/>
        <v>0</v>
      </c>
      <c r="AA146" s="8">
        <f t="shared" si="22"/>
        <v>0</v>
      </c>
      <c r="AB146" s="8">
        <f t="shared" si="22"/>
        <v>0</v>
      </c>
      <c r="AC146" s="8">
        <f t="shared" si="22"/>
        <v>0</v>
      </c>
      <c r="AD146" s="8">
        <f t="shared" si="22"/>
        <v>0</v>
      </c>
      <c r="AE146" s="8">
        <f t="shared" si="22"/>
        <v>0</v>
      </c>
      <c r="AF146" s="150">
        <f t="shared" si="22"/>
        <v>0</v>
      </c>
      <c r="AG146" s="149">
        <f t="shared" si="22"/>
        <v>0</v>
      </c>
    </row>
    <row r="147" spans="1:34" ht="19.5" thickBot="1" x14ac:dyDescent="0.3">
      <c r="A147" s="327" t="s">
        <v>82</v>
      </c>
      <c r="B147" s="266">
        <f t="shared" si="22"/>
        <v>0</v>
      </c>
      <c r="C147" s="143">
        <f t="shared" si="22"/>
        <v>0</v>
      </c>
      <c r="D147" s="143">
        <f t="shared" si="22"/>
        <v>0</v>
      </c>
      <c r="E147" s="143">
        <f t="shared" si="22"/>
        <v>0</v>
      </c>
      <c r="F147" s="143">
        <f t="shared" si="22"/>
        <v>0</v>
      </c>
      <c r="G147" s="143">
        <f t="shared" si="22"/>
        <v>0</v>
      </c>
      <c r="H147" s="143">
        <f t="shared" si="22"/>
        <v>0</v>
      </c>
      <c r="I147" s="143">
        <f t="shared" si="22"/>
        <v>0</v>
      </c>
      <c r="J147" s="143">
        <f t="shared" si="22"/>
        <v>0</v>
      </c>
      <c r="K147" s="143">
        <f t="shared" si="22"/>
        <v>0</v>
      </c>
      <c r="L147" s="143">
        <f t="shared" si="22"/>
        <v>0</v>
      </c>
      <c r="M147" s="143">
        <f t="shared" si="22"/>
        <v>0</v>
      </c>
      <c r="N147" s="143">
        <f t="shared" si="22"/>
        <v>0</v>
      </c>
      <c r="O147" s="143">
        <f t="shared" si="22"/>
        <v>0</v>
      </c>
      <c r="P147" s="143">
        <f t="shared" si="22"/>
        <v>0</v>
      </c>
      <c r="Q147" s="143">
        <f t="shared" si="22"/>
        <v>0</v>
      </c>
      <c r="R147" s="143">
        <f t="shared" si="22"/>
        <v>0</v>
      </c>
      <c r="S147" s="143">
        <f t="shared" si="22"/>
        <v>0</v>
      </c>
      <c r="T147" s="143">
        <f t="shared" si="22"/>
        <v>0</v>
      </c>
      <c r="U147" s="143">
        <f t="shared" si="22"/>
        <v>0</v>
      </c>
      <c r="V147" s="143">
        <f t="shared" si="22"/>
        <v>0</v>
      </c>
      <c r="W147" s="143">
        <f t="shared" si="22"/>
        <v>0</v>
      </c>
      <c r="X147" s="143">
        <f t="shared" si="22"/>
        <v>0</v>
      </c>
      <c r="Y147" s="143">
        <f t="shared" si="22"/>
        <v>0</v>
      </c>
      <c r="Z147" s="143">
        <f t="shared" si="22"/>
        <v>0</v>
      </c>
      <c r="AA147" s="143">
        <f t="shared" si="22"/>
        <v>0</v>
      </c>
      <c r="AB147" s="143">
        <f t="shared" si="22"/>
        <v>0</v>
      </c>
      <c r="AC147" s="143">
        <f t="shared" si="22"/>
        <v>0</v>
      </c>
      <c r="AD147" s="143">
        <f t="shared" si="22"/>
        <v>0</v>
      </c>
      <c r="AE147" s="143">
        <f t="shared" si="22"/>
        <v>0</v>
      </c>
      <c r="AF147" s="142"/>
      <c r="AG147" s="86">
        <f t="shared" ref="AG147:AG178" si="23">SUM(B147:AF147)</f>
        <v>0</v>
      </c>
    </row>
    <row r="148" spans="1:34" ht="19.5" thickBot="1" x14ac:dyDescent="0.3">
      <c r="A148" s="328" t="s">
        <v>81</v>
      </c>
      <c r="B148" s="267">
        <f t="shared" ref="B148:AF148" si="24">SUM(B150:B153)</f>
        <v>0</v>
      </c>
      <c r="C148" s="147">
        <f t="shared" si="24"/>
        <v>0</v>
      </c>
      <c r="D148" s="147">
        <f t="shared" si="24"/>
        <v>0</v>
      </c>
      <c r="E148" s="147">
        <f t="shared" si="24"/>
        <v>0</v>
      </c>
      <c r="F148" s="147">
        <f t="shared" si="24"/>
        <v>0</v>
      </c>
      <c r="G148" s="147">
        <f t="shared" si="24"/>
        <v>0</v>
      </c>
      <c r="H148" s="147">
        <f t="shared" si="24"/>
        <v>0</v>
      </c>
      <c r="I148" s="147">
        <f t="shared" si="24"/>
        <v>0</v>
      </c>
      <c r="J148" s="147">
        <f t="shared" si="24"/>
        <v>0</v>
      </c>
      <c r="K148" s="147">
        <f t="shared" si="24"/>
        <v>0</v>
      </c>
      <c r="L148" s="147">
        <f t="shared" si="24"/>
        <v>0</v>
      </c>
      <c r="M148" s="147">
        <f t="shared" si="24"/>
        <v>0</v>
      </c>
      <c r="N148" s="147">
        <f t="shared" si="24"/>
        <v>0</v>
      </c>
      <c r="O148" s="147">
        <f t="shared" si="24"/>
        <v>0</v>
      </c>
      <c r="P148" s="147">
        <f t="shared" si="24"/>
        <v>0</v>
      </c>
      <c r="Q148" s="147">
        <f t="shared" si="24"/>
        <v>0</v>
      </c>
      <c r="R148" s="147">
        <f t="shared" si="24"/>
        <v>0</v>
      </c>
      <c r="S148" s="147">
        <f t="shared" si="24"/>
        <v>0</v>
      </c>
      <c r="T148" s="147">
        <f t="shared" si="24"/>
        <v>0</v>
      </c>
      <c r="U148" s="147">
        <f t="shared" si="24"/>
        <v>0</v>
      </c>
      <c r="V148" s="147">
        <f t="shared" si="24"/>
        <v>0</v>
      </c>
      <c r="W148" s="147">
        <f t="shared" si="24"/>
        <v>0</v>
      </c>
      <c r="X148" s="147">
        <f t="shared" si="24"/>
        <v>0</v>
      </c>
      <c r="Y148" s="147">
        <f t="shared" si="24"/>
        <v>0</v>
      </c>
      <c r="Z148" s="147">
        <f t="shared" si="24"/>
        <v>0</v>
      </c>
      <c r="AA148" s="147">
        <f t="shared" si="24"/>
        <v>0</v>
      </c>
      <c r="AB148" s="147">
        <f t="shared" si="24"/>
        <v>0</v>
      </c>
      <c r="AC148" s="147">
        <f t="shared" si="24"/>
        <v>0</v>
      </c>
      <c r="AD148" s="147">
        <f t="shared" si="24"/>
        <v>0</v>
      </c>
      <c r="AE148" s="147">
        <f t="shared" si="24"/>
        <v>0</v>
      </c>
      <c r="AF148" s="146">
        <f t="shared" si="24"/>
        <v>0</v>
      </c>
      <c r="AG148" s="145">
        <f t="shared" si="23"/>
        <v>0</v>
      </c>
    </row>
    <row r="149" spans="1:34" ht="19.5" thickBot="1" x14ac:dyDescent="0.3">
      <c r="A149" s="327" t="s">
        <v>80</v>
      </c>
      <c r="B149" s="266"/>
      <c r="C149" s="143"/>
      <c r="D149" s="143"/>
      <c r="E149" s="143"/>
      <c r="F149" s="143"/>
      <c r="G149" s="143"/>
      <c r="H149" s="143"/>
      <c r="I149" s="143"/>
      <c r="J149" s="143"/>
      <c r="K149" s="143"/>
      <c r="L149" s="143"/>
      <c r="M149" s="143"/>
      <c r="N149" s="143"/>
      <c r="O149" s="143"/>
      <c r="P149" s="143"/>
      <c r="Q149" s="143"/>
      <c r="R149" s="143"/>
      <c r="S149" s="143"/>
      <c r="T149" s="143"/>
      <c r="U149" s="143"/>
      <c r="V149" s="143"/>
      <c r="W149" s="143"/>
      <c r="X149" s="143"/>
      <c r="Y149" s="143"/>
      <c r="Z149" s="143"/>
      <c r="AA149" s="143"/>
      <c r="AB149" s="143"/>
      <c r="AC149" s="143"/>
      <c r="AD149" s="143"/>
      <c r="AE149" s="143"/>
      <c r="AF149" s="142"/>
      <c r="AG149" s="86">
        <f t="shared" si="23"/>
        <v>0</v>
      </c>
    </row>
    <row r="150" spans="1:34" ht="18.75" x14ac:dyDescent="0.25">
      <c r="A150" s="329" t="s">
        <v>79</v>
      </c>
      <c r="B150" s="268"/>
      <c r="C150" s="136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5"/>
      <c r="AG150" s="134">
        <f t="shared" si="23"/>
        <v>0</v>
      </c>
    </row>
    <row r="151" spans="1:34" ht="18.75" x14ac:dyDescent="0.25">
      <c r="A151" s="330" t="s">
        <v>78</v>
      </c>
      <c r="B151" s="269"/>
      <c r="C151" s="130"/>
      <c r="D151" s="130"/>
      <c r="E151" s="130"/>
      <c r="F151" s="130"/>
      <c r="G151" s="130"/>
      <c r="H151" s="130"/>
      <c r="I151" s="130"/>
      <c r="J151" s="130"/>
      <c r="K151" s="130"/>
      <c r="L151" s="130"/>
      <c r="M151" s="130"/>
      <c r="N151" s="130"/>
      <c r="O151" s="130"/>
      <c r="P151" s="130"/>
      <c r="Q151" s="130"/>
      <c r="R151" s="130"/>
      <c r="S151" s="130"/>
      <c r="T151" s="130"/>
      <c r="U151" s="130"/>
      <c r="V151" s="130"/>
      <c r="W151" s="130"/>
      <c r="X151" s="130"/>
      <c r="Y151" s="130"/>
      <c r="Z151" s="130"/>
      <c r="AA151" s="130"/>
      <c r="AB151" s="130"/>
      <c r="AC151" s="130"/>
      <c r="AD151" s="130"/>
      <c r="AE151" s="130"/>
      <c r="AF151" s="129"/>
      <c r="AG151" s="64">
        <f t="shared" si="23"/>
        <v>0</v>
      </c>
    </row>
    <row r="152" spans="1:34" ht="18.75" x14ac:dyDescent="0.25">
      <c r="A152" s="330" t="s">
        <v>77</v>
      </c>
      <c r="B152" s="269"/>
      <c r="C152" s="130"/>
      <c r="D152" s="130"/>
      <c r="E152" s="130"/>
      <c r="F152" s="130"/>
      <c r="G152" s="130"/>
      <c r="H152" s="130"/>
      <c r="I152" s="130"/>
      <c r="J152" s="130"/>
      <c r="K152" s="130"/>
      <c r="L152" s="130"/>
      <c r="M152" s="130"/>
      <c r="N152" s="130"/>
      <c r="O152" s="130"/>
      <c r="P152" s="130"/>
      <c r="Q152" s="130"/>
      <c r="R152" s="130"/>
      <c r="S152" s="130"/>
      <c r="T152" s="130"/>
      <c r="U152" s="130"/>
      <c r="V152" s="130"/>
      <c r="W152" s="130"/>
      <c r="X152" s="130"/>
      <c r="Y152" s="130"/>
      <c r="Z152" s="130"/>
      <c r="AA152" s="130"/>
      <c r="AB152" s="130"/>
      <c r="AC152" s="130"/>
      <c r="AD152" s="130"/>
      <c r="AE152" s="130"/>
      <c r="AF152" s="129"/>
      <c r="AG152" s="64">
        <f t="shared" si="23"/>
        <v>0</v>
      </c>
    </row>
    <row r="153" spans="1:34" ht="19.5" thickBot="1" x14ac:dyDescent="0.3">
      <c r="A153" s="331" t="s">
        <v>76</v>
      </c>
      <c r="B153" s="270"/>
      <c r="C153" s="127"/>
      <c r="D153" s="127"/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  <c r="Y153" s="127"/>
      <c r="Z153" s="127"/>
      <c r="AA153" s="127"/>
      <c r="AB153" s="127"/>
      <c r="AC153" s="127"/>
      <c r="AD153" s="127"/>
      <c r="AE153" s="127"/>
      <c r="AF153" s="126"/>
      <c r="AG153" s="10">
        <f t="shared" si="23"/>
        <v>0</v>
      </c>
    </row>
    <row r="154" spans="1:34" ht="19.5" thickBot="1" x14ac:dyDescent="0.3">
      <c r="A154" s="328" t="s">
        <v>75</v>
      </c>
      <c r="B154" s="267"/>
      <c r="C154" s="147"/>
      <c r="D154" s="147"/>
      <c r="E154" s="147"/>
      <c r="F154" s="147"/>
      <c r="G154" s="147"/>
      <c r="H154" s="147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  <c r="AA154" s="147"/>
      <c r="AB154" s="147"/>
      <c r="AC154" s="147"/>
      <c r="AD154" s="147"/>
      <c r="AE154" s="147"/>
      <c r="AF154" s="146"/>
      <c r="AG154" s="145">
        <f t="shared" si="23"/>
        <v>0</v>
      </c>
    </row>
    <row r="155" spans="1:34" ht="19.5" thickBot="1" x14ac:dyDescent="0.3">
      <c r="A155" s="327" t="s">
        <v>74</v>
      </c>
      <c r="B155" s="266"/>
      <c r="C155" s="143"/>
      <c r="D155" s="143"/>
      <c r="E155" s="143"/>
      <c r="F155" s="143"/>
      <c r="G155" s="143"/>
      <c r="H155" s="143"/>
      <c r="I155" s="143"/>
      <c r="J155" s="143"/>
      <c r="K155" s="143"/>
      <c r="L155" s="143"/>
      <c r="M155" s="143"/>
      <c r="N155" s="143"/>
      <c r="O155" s="143"/>
      <c r="P155" s="143"/>
      <c r="Q155" s="143"/>
      <c r="R155" s="143"/>
      <c r="S155" s="143"/>
      <c r="T155" s="143"/>
      <c r="U155" s="143"/>
      <c r="V155" s="143"/>
      <c r="W155" s="143"/>
      <c r="X155" s="143"/>
      <c r="Y155" s="143"/>
      <c r="Z155" s="143"/>
      <c r="AA155" s="143"/>
      <c r="AB155" s="143"/>
      <c r="AC155" s="143"/>
      <c r="AD155" s="143"/>
      <c r="AE155" s="143"/>
      <c r="AF155" s="142"/>
      <c r="AG155" s="86">
        <f t="shared" si="23"/>
        <v>0</v>
      </c>
    </row>
    <row r="156" spans="1:34" ht="18.75" x14ac:dyDescent="0.25">
      <c r="A156" s="332" t="s">
        <v>73</v>
      </c>
      <c r="B156" s="271">
        <v>116</v>
      </c>
      <c r="C156" s="18">
        <v>136</v>
      </c>
      <c r="D156" s="18">
        <v>142</v>
      </c>
      <c r="E156" s="18">
        <v>122</v>
      </c>
      <c r="F156" s="18">
        <v>122</v>
      </c>
      <c r="G156" s="18">
        <v>106</v>
      </c>
      <c r="H156" s="18">
        <v>128</v>
      </c>
      <c r="I156" s="18">
        <v>109</v>
      </c>
      <c r="J156" s="18">
        <v>120</v>
      </c>
      <c r="K156" s="18">
        <v>144</v>
      </c>
      <c r="L156" s="18">
        <v>130</v>
      </c>
      <c r="M156" s="18">
        <v>108</v>
      </c>
      <c r="N156" s="18">
        <v>136</v>
      </c>
      <c r="O156" s="18">
        <v>108</v>
      </c>
      <c r="P156" s="18">
        <v>104</v>
      </c>
      <c r="Q156" s="18">
        <v>123</v>
      </c>
      <c r="R156" s="18">
        <v>149</v>
      </c>
      <c r="S156" s="18">
        <v>145</v>
      </c>
      <c r="T156" s="18">
        <v>143</v>
      </c>
      <c r="U156" s="18">
        <v>129</v>
      </c>
      <c r="V156" s="18">
        <v>124</v>
      </c>
      <c r="W156" s="18">
        <v>129</v>
      </c>
      <c r="X156" s="18">
        <v>128</v>
      </c>
      <c r="Y156" s="18">
        <v>128</v>
      </c>
      <c r="Z156" s="18">
        <v>158</v>
      </c>
      <c r="AA156" s="18">
        <v>193</v>
      </c>
      <c r="AB156" s="18">
        <v>157</v>
      </c>
      <c r="AC156" s="18">
        <v>144</v>
      </c>
      <c r="AD156" s="18">
        <v>128</v>
      </c>
      <c r="AE156" s="18">
        <v>157</v>
      </c>
      <c r="AF156" s="17">
        <v>131</v>
      </c>
      <c r="AG156" s="7">
        <f t="shared" si="23"/>
        <v>4097</v>
      </c>
      <c r="AH156" s="98" t="s">
        <v>72</v>
      </c>
    </row>
    <row r="157" spans="1:34" ht="19.5" thickBot="1" x14ac:dyDescent="0.3">
      <c r="A157" s="324" t="s">
        <v>71</v>
      </c>
      <c r="B157" s="263">
        <v>7</v>
      </c>
      <c r="C157" s="140">
        <v>6</v>
      </c>
      <c r="D157" s="140">
        <v>6</v>
      </c>
      <c r="E157" s="140">
        <v>18</v>
      </c>
      <c r="F157" s="140">
        <v>11</v>
      </c>
      <c r="G157" s="140">
        <v>13</v>
      </c>
      <c r="H157" s="140">
        <v>10</v>
      </c>
      <c r="I157" s="140">
        <v>13</v>
      </c>
      <c r="J157" s="140">
        <v>5</v>
      </c>
      <c r="K157" s="140">
        <v>5</v>
      </c>
      <c r="L157" s="140">
        <v>14</v>
      </c>
      <c r="M157" s="140">
        <v>3</v>
      </c>
      <c r="N157" s="140">
        <v>12</v>
      </c>
      <c r="O157" s="140">
        <v>6</v>
      </c>
      <c r="P157" s="140">
        <v>7</v>
      </c>
      <c r="Q157" s="140">
        <v>5</v>
      </c>
      <c r="R157" s="140">
        <v>10</v>
      </c>
      <c r="S157" s="140">
        <v>25</v>
      </c>
      <c r="T157" s="140">
        <v>8</v>
      </c>
      <c r="U157" s="140">
        <v>6</v>
      </c>
      <c r="V157" s="140">
        <v>12</v>
      </c>
      <c r="W157" s="140">
        <v>16</v>
      </c>
      <c r="X157" s="140">
        <v>5</v>
      </c>
      <c r="Y157" s="140">
        <v>3</v>
      </c>
      <c r="Z157" s="140">
        <v>15</v>
      </c>
      <c r="AA157" s="140">
        <v>3</v>
      </c>
      <c r="AB157" s="140">
        <v>7</v>
      </c>
      <c r="AC157" s="140">
        <v>10</v>
      </c>
      <c r="AD157" s="140">
        <v>4</v>
      </c>
      <c r="AE157" s="140">
        <v>7</v>
      </c>
      <c r="AF157" s="139">
        <v>6</v>
      </c>
      <c r="AG157" s="138">
        <f t="shared" si="23"/>
        <v>278</v>
      </c>
      <c r="AH157" s="98"/>
    </row>
    <row r="158" spans="1:34" ht="19.5" thickBot="1" x14ac:dyDescent="0.3">
      <c r="A158" s="333" t="s">
        <v>70</v>
      </c>
      <c r="B158" s="272">
        <f t="shared" ref="B158:AF158" si="25">SUM(B159:B166)</f>
        <v>0</v>
      </c>
      <c r="C158" s="35">
        <f t="shared" si="25"/>
        <v>0</v>
      </c>
      <c r="D158" s="35">
        <f t="shared" si="25"/>
        <v>0</v>
      </c>
      <c r="E158" s="35">
        <f t="shared" si="25"/>
        <v>0</v>
      </c>
      <c r="F158" s="35">
        <f t="shared" si="25"/>
        <v>0</v>
      </c>
      <c r="G158" s="35">
        <f t="shared" si="25"/>
        <v>0</v>
      </c>
      <c r="H158" s="35">
        <f t="shared" si="25"/>
        <v>0</v>
      </c>
      <c r="I158" s="35">
        <f t="shared" si="25"/>
        <v>0</v>
      </c>
      <c r="J158" s="35">
        <f t="shared" si="25"/>
        <v>0</v>
      </c>
      <c r="K158" s="35">
        <f t="shared" si="25"/>
        <v>0</v>
      </c>
      <c r="L158" s="35">
        <f t="shared" si="25"/>
        <v>0</v>
      </c>
      <c r="M158" s="35">
        <f t="shared" si="25"/>
        <v>0</v>
      </c>
      <c r="N158" s="35">
        <f t="shared" si="25"/>
        <v>0</v>
      </c>
      <c r="O158" s="35">
        <f t="shared" si="25"/>
        <v>0</v>
      </c>
      <c r="P158" s="35">
        <f t="shared" si="25"/>
        <v>0</v>
      </c>
      <c r="Q158" s="35">
        <f t="shared" si="25"/>
        <v>0</v>
      </c>
      <c r="R158" s="35">
        <f t="shared" si="25"/>
        <v>0</v>
      </c>
      <c r="S158" s="35">
        <f t="shared" si="25"/>
        <v>0</v>
      </c>
      <c r="T158" s="35">
        <f t="shared" si="25"/>
        <v>2</v>
      </c>
      <c r="U158" s="35">
        <f t="shared" si="25"/>
        <v>0</v>
      </c>
      <c r="V158" s="35">
        <f t="shared" si="25"/>
        <v>0</v>
      </c>
      <c r="W158" s="35">
        <f t="shared" si="25"/>
        <v>0</v>
      </c>
      <c r="X158" s="35">
        <f t="shared" si="25"/>
        <v>0</v>
      </c>
      <c r="Y158" s="35">
        <f t="shared" si="25"/>
        <v>0</v>
      </c>
      <c r="Z158" s="35">
        <f t="shared" si="25"/>
        <v>0</v>
      </c>
      <c r="AA158" s="35">
        <f t="shared" si="25"/>
        <v>0</v>
      </c>
      <c r="AB158" s="35">
        <f t="shared" si="25"/>
        <v>0</v>
      </c>
      <c r="AC158" s="35">
        <f t="shared" si="25"/>
        <v>0</v>
      </c>
      <c r="AD158" s="35">
        <f t="shared" si="25"/>
        <v>0</v>
      </c>
      <c r="AE158" s="35">
        <f t="shared" si="25"/>
        <v>0</v>
      </c>
      <c r="AF158" s="34">
        <f t="shared" si="25"/>
        <v>0</v>
      </c>
      <c r="AG158" s="33">
        <f t="shared" si="23"/>
        <v>2</v>
      </c>
    </row>
    <row r="159" spans="1:34" ht="18.75" x14ac:dyDescent="0.25">
      <c r="A159" s="329" t="s">
        <v>69</v>
      </c>
      <c r="B159" s="268"/>
      <c r="C159" s="136"/>
      <c r="D159" s="136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A159" s="136"/>
      <c r="AB159" s="136"/>
      <c r="AC159" s="136"/>
      <c r="AD159" s="136"/>
      <c r="AE159" s="136"/>
      <c r="AF159" s="135"/>
      <c r="AG159" s="134">
        <f t="shared" si="23"/>
        <v>0</v>
      </c>
    </row>
    <row r="160" spans="1:34" ht="18.75" x14ac:dyDescent="0.25">
      <c r="A160" s="330" t="s">
        <v>68</v>
      </c>
      <c r="B160" s="269"/>
      <c r="C160" s="130"/>
      <c r="D160" s="130"/>
      <c r="E160" s="130"/>
      <c r="F160" s="130"/>
      <c r="G160" s="130"/>
      <c r="H160" s="130"/>
      <c r="I160" s="130"/>
      <c r="J160" s="130"/>
      <c r="K160" s="130"/>
      <c r="L160" s="130"/>
      <c r="M160" s="130"/>
      <c r="N160" s="130"/>
      <c r="O160" s="130"/>
      <c r="P160" s="130"/>
      <c r="Q160" s="130"/>
      <c r="R160" s="130"/>
      <c r="S160" s="130"/>
      <c r="T160" s="130"/>
      <c r="U160" s="130"/>
      <c r="V160" s="130"/>
      <c r="W160" s="130"/>
      <c r="X160" s="130"/>
      <c r="Y160" s="130"/>
      <c r="Z160" s="130"/>
      <c r="AA160" s="130"/>
      <c r="AB160" s="130"/>
      <c r="AC160" s="130"/>
      <c r="AD160" s="130"/>
      <c r="AE160" s="130"/>
      <c r="AF160" s="129"/>
      <c r="AG160" s="64">
        <f t="shared" si="23"/>
        <v>0</v>
      </c>
    </row>
    <row r="161" spans="1:34" ht="18.75" x14ac:dyDescent="0.25">
      <c r="A161" s="330" t="s">
        <v>67</v>
      </c>
      <c r="B161" s="269"/>
      <c r="C161" s="130"/>
      <c r="D161" s="130"/>
      <c r="E161" s="130"/>
      <c r="F161" s="130"/>
      <c r="G161" s="130"/>
      <c r="H161" s="130"/>
      <c r="I161" s="130"/>
      <c r="J161" s="130"/>
      <c r="K161" s="130"/>
      <c r="L161" s="130"/>
      <c r="M161" s="130"/>
      <c r="N161" s="130"/>
      <c r="O161" s="130"/>
      <c r="P161" s="130"/>
      <c r="Q161" s="130"/>
      <c r="R161" s="130"/>
      <c r="S161" s="130"/>
      <c r="T161" s="130">
        <v>2</v>
      </c>
      <c r="U161" s="130"/>
      <c r="V161" s="130"/>
      <c r="W161" s="130"/>
      <c r="X161" s="130"/>
      <c r="Y161" s="130"/>
      <c r="Z161" s="130"/>
      <c r="AA161" s="130"/>
      <c r="AB161" s="130"/>
      <c r="AC161" s="130"/>
      <c r="AD161" s="130"/>
      <c r="AE161" s="130"/>
      <c r="AF161" s="129"/>
      <c r="AG161" s="64">
        <f t="shared" si="23"/>
        <v>2</v>
      </c>
    </row>
    <row r="162" spans="1:34" ht="18.75" x14ac:dyDescent="0.25">
      <c r="A162" s="330" t="s">
        <v>66</v>
      </c>
      <c r="B162" s="269"/>
      <c r="C162" s="130"/>
      <c r="D162" s="130"/>
      <c r="E162" s="130"/>
      <c r="F162" s="130"/>
      <c r="G162" s="130"/>
      <c r="H162" s="130"/>
      <c r="I162" s="130"/>
      <c r="J162" s="130"/>
      <c r="K162" s="130"/>
      <c r="L162" s="130"/>
      <c r="M162" s="130"/>
      <c r="N162" s="130"/>
      <c r="O162" s="130"/>
      <c r="P162" s="130"/>
      <c r="Q162" s="130"/>
      <c r="R162" s="130"/>
      <c r="S162" s="130"/>
      <c r="T162" s="130"/>
      <c r="U162" s="130"/>
      <c r="V162" s="130"/>
      <c r="W162" s="130"/>
      <c r="X162" s="130"/>
      <c r="Y162" s="130"/>
      <c r="Z162" s="130"/>
      <c r="AA162" s="130"/>
      <c r="AB162" s="130"/>
      <c r="AC162" s="130"/>
      <c r="AD162" s="130"/>
      <c r="AE162" s="130"/>
      <c r="AF162" s="129"/>
      <c r="AG162" s="64">
        <f t="shared" si="23"/>
        <v>0</v>
      </c>
    </row>
    <row r="163" spans="1:34" ht="18.75" x14ac:dyDescent="0.25">
      <c r="A163" s="330" t="s">
        <v>65</v>
      </c>
      <c r="B163" s="269"/>
      <c r="C163" s="130"/>
      <c r="D163" s="130"/>
      <c r="E163" s="130"/>
      <c r="F163" s="130"/>
      <c r="G163" s="130"/>
      <c r="H163" s="130"/>
      <c r="I163" s="130"/>
      <c r="J163" s="130"/>
      <c r="K163" s="130"/>
      <c r="L163" s="130"/>
      <c r="M163" s="130"/>
      <c r="N163" s="130"/>
      <c r="O163" s="130"/>
      <c r="P163" s="130"/>
      <c r="Q163" s="130"/>
      <c r="R163" s="130"/>
      <c r="S163" s="130"/>
      <c r="T163" s="130"/>
      <c r="U163" s="130"/>
      <c r="V163" s="130"/>
      <c r="W163" s="130"/>
      <c r="X163" s="130"/>
      <c r="Y163" s="130"/>
      <c r="Z163" s="130"/>
      <c r="AA163" s="130"/>
      <c r="AB163" s="130"/>
      <c r="AC163" s="130"/>
      <c r="AD163" s="130"/>
      <c r="AE163" s="130"/>
      <c r="AF163" s="129"/>
      <c r="AG163" s="64">
        <f t="shared" si="23"/>
        <v>0</v>
      </c>
    </row>
    <row r="164" spans="1:34" ht="18.75" x14ac:dyDescent="0.25">
      <c r="A164" s="330" t="s">
        <v>64</v>
      </c>
      <c r="B164" s="269"/>
      <c r="C164" s="130"/>
      <c r="D164" s="130"/>
      <c r="E164" s="130"/>
      <c r="F164" s="130"/>
      <c r="G164" s="130"/>
      <c r="H164" s="130"/>
      <c r="I164" s="130"/>
      <c r="J164" s="130"/>
      <c r="K164" s="130"/>
      <c r="L164" s="130"/>
      <c r="M164" s="130"/>
      <c r="N164" s="130"/>
      <c r="O164" s="130"/>
      <c r="P164" s="130"/>
      <c r="Q164" s="130"/>
      <c r="R164" s="130"/>
      <c r="S164" s="130"/>
      <c r="T164" s="130"/>
      <c r="U164" s="130"/>
      <c r="V164" s="130"/>
      <c r="W164" s="130"/>
      <c r="X164" s="130"/>
      <c r="Y164" s="130"/>
      <c r="Z164" s="130"/>
      <c r="AA164" s="130"/>
      <c r="AB164" s="130"/>
      <c r="AC164" s="130"/>
      <c r="AD164" s="130"/>
      <c r="AE164" s="130"/>
      <c r="AF164" s="129"/>
      <c r="AG164" s="64">
        <f t="shared" si="23"/>
        <v>0</v>
      </c>
    </row>
    <row r="165" spans="1:34" ht="18.75" x14ac:dyDescent="0.25">
      <c r="A165" s="330" t="s">
        <v>63</v>
      </c>
      <c r="B165" s="269"/>
      <c r="C165" s="130"/>
      <c r="D165" s="130"/>
      <c r="E165" s="130"/>
      <c r="F165" s="130"/>
      <c r="G165" s="130"/>
      <c r="H165" s="130"/>
      <c r="I165" s="130"/>
      <c r="J165" s="130"/>
      <c r="K165" s="130"/>
      <c r="L165" s="130"/>
      <c r="M165" s="130"/>
      <c r="N165" s="130"/>
      <c r="O165" s="130"/>
      <c r="P165" s="130"/>
      <c r="Q165" s="130"/>
      <c r="R165" s="130"/>
      <c r="S165" s="130"/>
      <c r="T165" s="130"/>
      <c r="U165" s="130"/>
      <c r="V165" s="130"/>
      <c r="W165" s="130"/>
      <c r="X165" s="130"/>
      <c r="Y165" s="130"/>
      <c r="Z165" s="130"/>
      <c r="AA165" s="130"/>
      <c r="AB165" s="130"/>
      <c r="AC165" s="130"/>
      <c r="AD165" s="130"/>
      <c r="AE165" s="130"/>
      <c r="AF165" s="129"/>
      <c r="AG165" s="64">
        <f t="shared" si="23"/>
        <v>0</v>
      </c>
    </row>
    <row r="166" spans="1:34" ht="19.5" thickBot="1" x14ac:dyDescent="0.3">
      <c r="A166" s="331" t="s">
        <v>62</v>
      </c>
      <c r="B166" s="270"/>
      <c r="C166" s="127"/>
      <c r="D166" s="127"/>
      <c r="E166" s="127"/>
      <c r="F166" s="127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  <c r="Y166" s="127"/>
      <c r="Z166" s="127"/>
      <c r="AA166" s="127"/>
      <c r="AB166" s="127"/>
      <c r="AC166" s="127"/>
      <c r="AD166" s="127"/>
      <c r="AE166" s="127"/>
      <c r="AF166" s="126"/>
      <c r="AG166" s="10">
        <f t="shared" si="23"/>
        <v>0</v>
      </c>
    </row>
    <row r="167" spans="1:34" ht="18.75" x14ac:dyDescent="0.25">
      <c r="A167" s="332" t="s">
        <v>61</v>
      </c>
      <c r="B167" s="271">
        <f t="shared" ref="B167:AF167" si="26">SUM(B168:B171)</f>
        <v>0</v>
      </c>
      <c r="C167" s="18">
        <f t="shared" si="26"/>
        <v>1</v>
      </c>
      <c r="D167" s="18">
        <f t="shared" si="26"/>
        <v>0</v>
      </c>
      <c r="E167" s="18">
        <f t="shared" si="26"/>
        <v>0</v>
      </c>
      <c r="F167" s="18">
        <f t="shared" si="26"/>
        <v>0</v>
      </c>
      <c r="G167" s="18">
        <f t="shared" si="26"/>
        <v>0</v>
      </c>
      <c r="H167" s="18">
        <f t="shared" si="26"/>
        <v>1</v>
      </c>
      <c r="I167" s="18">
        <f t="shared" si="26"/>
        <v>0</v>
      </c>
      <c r="J167" s="18">
        <f t="shared" si="26"/>
        <v>0</v>
      </c>
      <c r="K167" s="18">
        <f t="shared" si="26"/>
        <v>0</v>
      </c>
      <c r="L167" s="18">
        <f t="shared" si="26"/>
        <v>0</v>
      </c>
      <c r="M167" s="18">
        <f t="shared" si="26"/>
        <v>0</v>
      </c>
      <c r="N167" s="18">
        <f t="shared" si="26"/>
        <v>0</v>
      </c>
      <c r="O167" s="18">
        <f t="shared" si="26"/>
        <v>0</v>
      </c>
      <c r="P167" s="18">
        <f t="shared" si="26"/>
        <v>0</v>
      </c>
      <c r="Q167" s="18">
        <f t="shared" si="26"/>
        <v>0</v>
      </c>
      <c r="R167" s="18">
        <f t="shared" si="26"/>
        <v>0</v>
      </c>
      <c r="S167" s="18">
        <f t="shared" si="26"/>
        <v>0</v>
      </c>
      <c r="T167" s="18">
        <f t="shared" si="26"/>
        <v>0</v>
      </c>
      <c r="U167" s="18">
        <f t="shared" si="26"/>
        <v>0</v>
      </c>
      <c r="V167" s="18">
        <f t="shared" si="26"/>
        <v>1</v>
      </c>
      <c r="W167" s="18">
        <f t="shared" si="26"/>
        <v>0</v>
      </c>
      <c r="X167" s="18">
        <f t="shared" si="26"/>
        <v>0</v>
      </c>
      <c r="Y167" s="18">
        <f t="shared" si="26"/>
        <v>0</v>
      </c>
      <c r="Z167" s="18">
        <f t="shared" si="26"/>
        <v>0</v>
      </c>
      <c r="AA167" s="18">
        <f t="shared" si="26"/>
        <v>0</v>
      </c>
      <c r="AB167" s="18">
        <f t="shared" si="26"/>
        <v>0</v>
      </c>
      <c r="AC167" s="18">
        <f t="shared" si="26"/>
        <v>0</v>
      </c>
      <c r="AD167" s="18">
        <f t="shared" si="26"/>
        <v>0</v>
      </c>
      <c r="AE167" s="18">
        <f t="shared" si="26"/>
        <v>0</v>
      </c>
      <c r="AF167" s="17">
        <f t="shared" si="26"/>
        <v>0</v>
      </c>
      <c r="AG167" s="7">
        <f t="shared" si="23"/>
        <v>3</v>
      </c>
    </row>
    <row r="168" spans="1:34" ht="18.75" x14ac:dyDescent="0.25">
      <c r="A168" s="334" t="s">
        <v>60</v>
      </c>
      <c r="B168" s="269"/>
      <c r="C168" s="130"/>
      <c r="D168" s="130"/>
      <c r="E168" s="130"/>
      <c r="F168" s="130"/>
      <c r="G168" s="130"/>
      <c r="H168" s="130"/>
      <c r="I168" s="130"/>
      <c r="J168" s="130"/>
      <c r="K168" s="130"/>
      <c r="L168" s="130"/>
      <c r="M168" s="130"/>
      <c r="N168" s="130"/>
      <c r="O168" s="130"/>
      <c r="P168" s="130"/>
      <c r="Q168" s="130"/>
      <c r="R168" s="130"/>
      <c r="S168" s="130"/>
      <c r="T168" s="130"/>
      <c r="U168" s="130"/>
      <c r="V168" s="130"/>
      <c r="W168" s="130"/>
      <c r="X168" s="130"/>
      <c r="Y168" s="130"/>
      <c r="Z168" s="130"/>
      <c r="AA168" s="130"/>
      <c r="AB168" s="130"/>
      <c r="AC168" s="130"/>
      <c r="AD168" s="130"/>
      <c r="AE168" s="130"/>
      <c r="AF168" s="129"/>
      <c r="AG168" s="64">
        <f t="shared" si="23"/>
        <v>0</v>
      </c>
    </row>
    <row r="169" spans="1:34" ht="18.75" x14ac:dyDescent="0.25">
      <c r="A169" s="334" t="s">
        <v>59</v>
      </c>
      <c r="B169" s="269"/>
      <c r="C169" s="130"/>
      <c r="D169" s="130"/>
      <c r="E169" s="130"/>
      <c r="F169" s="130"/>
      <c r="G169" s="130"/>
      <c r="H169" s="130"/>
      <c r="I169" s="130"/>
      <c r="J169" s="130"/>
      <c r="K169" s="130"/>
      <c r="L169" s="130"/>
      <c r="M169" s="130"/>
      <c r="N169" s="130"/>
      <c r="O169" s="130"/>
      <c r="P169" s="130"/>
      <c r="Q169" s="130"/>
      <c r="R169" s="130"/>
      <c r="S169" s="130"/>
      <c r="T169" s="130"/>
      <c r="U169" s="130"/>
      <c r="V169" s="130"/>
      <c r="W169" s="130"/>
      <c r="X169" s="130"/>
      <c r="Y169" s="130"/>
      <c r="Z169" s="130"/>
      <c r="AA169" s="130"/>
      <c r="AB169" s="130"/>
      <c r="AC169" s="130"/>
      <c r="AD169" s="130"/>
      <c r="AE169" s="130"/>
      <c r="AF169" s="129"/>
      <c r="AG169" s="64">
        <f t="shared" si="23"/>
        <v>0</v>
      </c>
    </row>
    <row r="170" spans="1:34" ht="18.75" x14ac:dyDescent="0.25">
      <c r="A170" s="334" t="s">
        <v>58</v>
      </c>
      <c r="B170" s="269"/>
      <c r="C170" s="130"/>
      <c r="D170" s="130"/>
      <c r="E170" s="130"/>
      <c r="F170" s="130"/>
      <c r="G170" s="130"/>
      <c r="H170" s="130"/>
      <c r="I170" s="130"/>
      <c r="J170" s="130"/>
      <c r="K170" s="130"/>
      <c r="L170" s="130"/>
      <c r="M170" s="130"/>
      <c r="N170" s="130"/>
      <c r="O170" s="130"/>
      <c r="P170" s="130"/>
      <c r="Q170" s="130"/>
      <c r="R170" s="130"/>
      <c r="S170" s="130"/>
      <c r="T170" s="130"/>
      <c r="U170" s="130"/>
      <c r="V170" s="130"/>
      <c r="W170" s="130"/>
      <c r="X170" s="130"/>
      <c r="Y170" s="130"/>
      <c r="Z170" s="130"/>
      <c r="AA170" s="130"/>
      <c r="AB170" s="130"/>
      <c r="AC170" s="130"/>
      <c r="AD170" s="130"/>
      <c r="AE170" s="130"/>
      <c r="AF170" s="129"/>
      <c r="AG170" s="64">
        <f t="shared" si="23"/>
        <v>0</v>
      </c>
    </row>
    <row r="171" spans="1:34" ht="19.5" thickBot="1" x14ac:dyDescent="0.3">
      <c r="A171" s="335" t="s">
        <v>57</v>
      </c>
      <c r="B171" s="270"/>
      <c r="C171" s="127">
        <v>1</v>
      </c>
      <c r="D171" s="127"/>
      <c r="E171" s="127"/>
      <c r="F171" s="127"/>
      <c r="G171" s="127"/>
      <c r="H171" s="127">
        <v>1</v>
      </c>
      <c r="I171" s="127"/>
      <c r="J171" s="127"/>
      <c r="K171" s="127"/>
      <c r="L171" s="127"/>
      <c r="M171" s="127"/>
      <c r="N171" s="127"/>
      <c r="O171" s="127"/>
      <c r="P171" s="127"/>
      <c r="Q171" s="127"/>
      <c r="R171" s="127"/>
      <c r="S171" s="127"/>
      <c r="T171" s="127"/>
      <c r="U171" s="127"/>
      <c r="V171" s="127">
        <v>1</v>
      </c>
      <c r="W171" s="127"/>
      <c r="X171" s="127"/>
      <c r="Y171" s="127"/>
      <c r="Z171" s="127"/>
      <c r="AA171" s="127"/>
      <c r="AB171" s="127"/>
      <c r="AC171" s="127"/>
      <c r="AD171" s="127"/>
      <c r="AE171" s="127"/>
      <c r="AF171" s="126"/>
      <c r="AG171" s="10">
        <f t="shared" si="23"/>
        <v>3</v>
      </c>
    </row>
    <row r="172" spans="1:34" ht="19.5" thickBot="1" x14ac:dyDescent="0.3">
      <c r="A172" s="336" t="s">
        <v>56</v>
      </c>
      <c r="B172" s="273"/>
      <c r="C172" s="124"/>
      <c r="D172" s="124"/>
      <c r="E172" s="124"/>
      <c r="F172" s="124"/>
      <c r="G172" s="124"/>
      <c r="H172" s="124"/>
      <c r="I172" s="124"/>
      <c r="J172" s="124"/>
      <c r="K172" s="124"/>
      <c r="L172" s="124">
        <v>1</v>
      </c>
      <c r="M172" s="124"/>
      <c r="N172" s="124"/>
      <c r="O172" s="124"/>
      <c r="P172" s="124"/>
      <c r="Q172" s="124"/>
      <c r="R172" s="124"/>
      <c r="S172" s="124"/>
      <c r="T172" s="124"/>
      <c r="U172" s="124"/>
      <c r="V172" s="124"/>
      <c r="W172" s="124"/>
      <c r="X172" s="124"/>
      <c r="Y172" s="124"/>
      <c r="Z172" s="124"/>
      <c r="AA172" s="124"/>
      <c r="AB172" s="124"/>
      <c r="AC172" s="124"/>
      <c r="AD172" s="124"/>
      <c r="AE172" s="124"/>
      <c r="AF172" s="123"/>
      <c r="AG172" s="122">
        <f t="shared" si="23"/>
        <v>1</v>
      </c>
    </row>
    <row r="173" spans="1:34" ht="19.5" thickBot="1" x14ac:dyDescent="0.3">
      <c r="A173" s="299" t="s">
        <v>55</v>
      </c>
      <c r="B173" s="247">
        <f t="shared" ref="B173:AF173" si="27">SUM(B174:B175)</f>
        <v>0</v>
      </c>
      <c r="C173" s="120">
        <f t="shared" si="27"/>
        <v>1</v>
      </c>
      <c r="D173" s="120">
        <f t="shared" si="27"/>
        <v>0</v>
      </c>
      <c r="E173" s="120">
        <f t="shared" si="27"/>
        <v>0</v>
      </c>
      <c r="F173" s="120">
        <f t="shared" si="27"/>
        <v>0</v>
      </c>
      <c r="G173" s="120">
        <f t="shared" si="27"/>
        <v>0</v>
      </c>
      <c r="H173" s="120">
        <f t="shared" si="27"/>
        <v>0</v>
      </c>
      <c r="I173" s="120">
        <f t="shared" si="27"/>
        <v>0</v>
      </c>
      <c r="J173" s="120">
        <f t="shared" si="27"/>
        <v>1</v>
      </c>
      <c r="K173" s="120">
        <f t="shared" si="27"/>
        <v>1</v>
      </c>
      <c r="L173" s="120">
        <f t="shared" si="27"/>
        <v>0</v>
      </c>
      <c r="M173" s="120">
        <f t="shared" si="27"/>
        <v>1</v>
      </c>
      <c r="N173" s="120">
        <f t="shared" si="27"/>
        <v>0</v>
      </c>
      <c r="O173" s="120">
        <f t="shared" si="27"/>
        <v>0</v>
      </c>
      <c r="P173" s="120">
        <f t="shared" si="27"/>
        <v>0</v>
      </c>
      <c r="Q173" s="120">
        <f t="shared" si="27"/>
        <v>1</v>
      </c>
      <c r="R173" s="120">
        <f t="shared" si="27"/>
        <v>1</v>
      </c>
      <c r="S173" s="120">
        <f t="shared" si="27"/>
        <v>0</v>
      </c>
      <c r="T173" s="120">
        <f t="shared" si="27"/>
        <v>0</v>
      </c>
      <c r="U173" s="120">
        <f t="shared" si="27"/>
        <v>0</v>
      </c>
      <c r="V173" s="120">
        <f t="shared" si="27"/>
        <v>0</v>
      </c>
      <c r="W173" s="120">
        <f t="shared" si="27"/>
        <v>0</v>
      </c>
      <c r="X173" s="120">
        <f t="shared" si="27"/>
        <v>1</v>
      </c>
      <c r="Y173" s="120">
        <f t="shared" si="27"/>
        <v>0</v>
      </c>
      <c r="Z173" s="120">
        <f t="shared" si="27"/>
        <v>0</v>
      </c>
      <c r="AA173" s="120">
        <f t="shared" si="27"/>
        <v>0</v>
      </c>
      <c r="AB173" s="120">
        <f t="shared" si="27"/>
        <v>0</v>
      </c>
      <c r="AC173" s="120">
        <f t="shared" si="27"/>
        <v>1</v>
      </c>
      <c r="AD173" s="120">
        <f t="shared" si="27"/>
        <v>1</v>
      </c>
      <c r="AE173" s="120">
        <f t="shared" si="27"/>
        <v>0</v>
      </c>
      <c r="AF173" s="119">
        <f t="shared" si="27"/>
        <v>0</v>
      </c>
      <c r="AG173" s="118">
        <f t="shared" si="23"/>
        <v>9</v>
      </c>
      <c r="AH173" s="98" t="s">
        <v>54</v>
      </c>
    </row>
    <row r="174" spans="1:34" ht="18.75" x14ac:dyDescent="0.25">
      <c r="A174" s="337" t="s">
        <v>53</v>
      </c>
      <c r="B174" s="274">
        <v>0</v>
      </c>
      <c r="C174" s="116">
        <v>1</v>
      </c>
      <c r="D174" s="116">
        <v>0</v>
      </c>
      <c r="E174" s="116">
        <v>0</v>
      </c>
      <c r="F174" s="116">
        <v>0</v>
      </c>
      <c r="G174" s="116">
        <v>0</v>
      </c>
      <c r="H174" s="116">
        <v>0</v>
      </c>
      <c r="I174" s="116">
        <v>0</v>
      </c>
      <c r="J174" s="116">
        <v>1</v>
      </c>
      <c r="K174" s="116">
        <v>1</v>
      </c>
      <c r="L174" s="116">
        <v>0</v>
      </c>
      <c r="M174" s="116">
        <v>1</v>
      </c>
      <c r="N174" s="116">
        <v>0</v>
      </c>
      <c r="O174" s="116">
        <v>0</v>
      </c>
      <c r="P174" s="116">
        <v>0</v>
      </c>
      <c r="Q174" s="116">
        <v>1</v>
      </c>
      <c r="R174" s="116">
        <v>1</v>
      </c>
      <c r="S174" s="116">
        <v>0</v>
      </c>
      <c r="T174" s="116">
        <v>0</v>
      </c>
      <c r="U174" s="116">
        <v>0</v>
      </c>
      <c r="V174" s="116">
        <v>0</v>
      </c>
      <c r="W174" s="116">
        <v>0</v>
      </c>
      <c r="X174" s="116">
        <v>1</v>
      </c>
      <c r="Y174" s="116">
        <v>0</v>
      </c>
      <c r="Z174" s="116">
        <v>0</v>
      </c>
      <c r="AA174" s="116">
        <v>0</v>
      </c>
      <c r="AB174" s="116">
        <v>0</v>
      </c>
      <c r="AC174" s="116">
        <v>1</v>
      </c>
      <c r="AD174" s="116">
        <v>1</v>
      </c>
      <c r="AE174" s="116">
        <v>0</v>
      </c>
      <c r="AF174" s="115">
        <v>0</v>
      </c>
      <c r="AG174" s="114">
        <f t="shared" si="23"/>
        <v>9</v>
      </c>
      <c r="AH174" s="98"/>
    </row>
    <row r="175" spans="1:34" ht="18.75" x14ac:dyDescent="0.25">
      <c r="A175" s="338" t="s">
        <v>52</v>
      </c>
      <c r="B175" s="275">
        <v>0</v>
      </c>
      <c r="C175" s="112">
        <v>0</v>
      </c>
      <c r="D175" s="112">
        <v>0</v>
      </c>
      <c r="E175" s="112">
        <v>0</v>
      </c>
      <c r="F175" s="112">
        <v>0</v>
      </c>
      <c r="G175" s="112">
        <v>0</v>
      </c>
      <c r="H175" s="112">
        <v>0</v>
      </c>
      <c r="I175" s="112">
        <v>0</v>
      </c>
      <c r="J175" s="112">
        <v>0</v>
      </c>
      <c r="K175" s="112">
        <v>0</v>
      </c>
      <c r="L175" s="112">
        <v>0</v>
      </c>
      <c r="M175" s="112">
        <v>0</v>
      </c>
      <c r="N175" s="112">
        <v>0</v>
      </c>
      <c r="O175" s="112">
        <v>0</v>
      </c>
      <c r="P175" s="112">
        <v>0</v>
      </c>
      <c r="Q175" s="112">
        <v>0</v>
      </c>
      <c r="R175" s="112">
        <v>0</v>
      </c>
      <c r="S175" s="112">
        <v>0</v>
      </c>
      <c r="T175" s="112">
        <v>0</v>
      </c>
      <c r="U175" s="112">
        <v>0</v>
      </c>
      <c r="V175" s="112">
        <v>0</v>
      </c>
      <c r="W175" s="112">
        <v>0</v>
      </c>
      <c r="X175" s="112">
        <v>0</v>
      </c>
      <c r="Y175" s="112">
        <v>0</v>
      </c>
      <c r="Z175" s="112">
        <v>0</v>
      </c>
      <c r="AA175" s="112">
        <v>0</v>
      </c>
      <c r="AB175" s="112">
        <v>0</v>
      </c>
      <c r="AC175" s="112">
        <v>0</v>
      </c>
      <c r="AD175" s="112">
        <v>0</v>
      </c>
      <c r="AE175" s="112">
        <v>0</v>
      </c>
      <c r="AF175" s="111">
        <v>0</v>
      </c>
      <c r="AG175" s="110">
        <f t="shared" si="23"/>
        <v>0</v>
      </c>
      <c r="AH175" s="98"/>
    </row>
    <row r="176" spans="1:34" ht="19.5" thickBot="1" x14ac:dyDescent="0.3">
      <c r="A176" s="339" t="s">
        <v>51</v>
      </c>
      <c r="B176" s="276">
        <f t="shared" ref="B176:AF176" si="28">SUM(B177:B178)</f>
        <v>3</v>
      </c>
      <c r="C176" s="109">
        <f t="shared" si="28"/>
        <v>2</v>
      </c>
      <c r="D176" s="109">
        <f t="shared" si="28"/>
        <v>0</v>
      </c>
      <c r="E176" s="109">
        <f t="shared" si="28"/>
        <v>0</v>
      </c>
      <c r="F176" s="109">
        <f t="shared" si="28"/>
        <v>2</v>
      </c>
      <c r="G176" s="109">
        <f t="shared" si="28"/>
        <v>2</v>
      </c>
      <c r="H176" s="109">
        <f t="shared" si="28"/>
        <v>4</v>
      </c>
      <c r="I176" s="109">
        <f t="shared" si="28"/>
        <v>1</v>
      </c>
      <c r="J176" s="109">
        <f t="shared" si="28"/>
        <v>3</v>
      </c>
      <c r="K176" s="109">
        <f t="shared" si="28"/>
        <v>2</v>
      </c>
      <c r="L176" s="109">
        <f t="shared" si="28"/>
        <v>2</v>
      </c>
      <c r="M176" s="109">
        <f t="shared" si="28"/>
        <v>1</v>
      </c>
      <c r="N176" s="109">
        <f t="shared" si="28"/>
        <v>3</v>
      </c>
      <c r="O176" s="109">
        <f t="shared" si="28"/>
        <v>2</v>
      </c>
      <c r="P176" s="109">
        <f t="shared" si="28"/>
        <v>1</v>
      </c>
      <c r="Q176" s="109">
        <f t="shared" si="28"/>
        <v>5</v>
      </c>
      <c r="R176" s="109">
        <f t="shared" si="28"/>
        <v>2</v>
      </c>
      <c r="S176" s="109">
        <f t="shared" si="28"/>
        <v>4</v>
      </c>
      <c r="T176" s="109">
        <f t="shared" si="28"/>
        <v>3</v>
      </c>
      <c r="U176" s="109">
        <f t="shared" si="28"/>
        <v>3</v>
      </c>
      <c r="V176" s="109">
        <f t="shared" si="28"/>
        <v>1</v>
      </c>
      <c r="W176" s="109">
        <f t="shared" si="28"/>
        <v>0</v>
      </c>
      <c r="X176" s="109">
        <f t="shared" si="28"/>
        <v>5</v>
      </c>
      <c r="Y176" s="109">
        <f t="shared" si="28"/>
        <v>2</v>
      </c>
      <c r="Z176" s="109">
        <f t="shared" si="28"/>
        <v>4</v>
      </c>
      <c r="AA176" s="109">
        <f t="shared" si="28"/>
        <v>8</v>
      </c>
      <c r="AB176" s="109">
        <f t="shared" si="28"/>
        <v>1</v>
      </c>
      <c r="AC176" s="109">
        <f t="shared" si="28"/>
        <v>3</v>
      </c>
      <c r="AD176" s="109">
        <f t="shared" si="28"/>
        <v>0</v>
      </c>
      <c r="AE176" s="109">
        <f t="shared" si="28"/>
        <v>3</v>
      </c>
      <c r="AF176" s="108">
        <f t="shared" si="28"/>
        <v>4</v>
      </c>
      <c r="AG176" s="107">
        <f t="shared" si="23"/>
        <v>76</v>
      </c>
      <c r="AH176" s="98" t="s">
        <v>48</v>
      </c>
    </row>
    <row r="177" spans="1:34" ht="18.75" x14ac:dyDescent="0.25">
      <c r="A177" s="340" t="s">
        <v>50</v>
      </c>
      <c r="B177" s="277">
        <v>0</v>
      </c>
      <c r="C177" s="105">
        <v>0</v>
      </c>
      <c r="D177" s="105">
        <v>0</v>
      </c>
      <c r="E177" s="105">
        <v>0</v>
      </c>
      <c r="F177" s="105">
        <v>0</v>
      </c>
      <c r="G177" s="105">
        <v>0</v>
      </c>
      <c r="H177" s="105">
        <v>1</v>
      </c>
      <c r="I177" s="105">
        <v>0</v>
      </c>
      <c r="J177" s="105">
        <v>0</v>
      </c>
      <c r="K177" s="105">
        <v>0</v>
      </c>
      <c r="L177" s="105">
        <v>0</v>
      </c>
      <c r="M177" s="105">
        <v>0</v>
      </c>
      <c r="N177" s="105">
        <v>0</v>
      </c>
      <c r="O177" s="105">
        <v>0</v>
      </c>
      <c r="P177" s="105">
        <v>0</v>
      </c>
      <c r="Q177" s="105">
        <v>0</v>
      </c>
      <c r="R177" s="105">
        <v>0</v>
      </c>
      <c r="S177" s="105">
        <v>0</v>
      </c>
      <c r="T177" s="105">
        <v>1</v>
      </c>
      <c r="U177" s="105">
        <v>0</v>
      </c>
      <c r="V177" s="105">
        <v>0</v>
      </c>
      <c r="W177" s="105">
        <v>0</v>
      </c>
      <c r="X177" s="105">
        <v>0</v>
      </c>
      <c r="Y177" s="105">
        <v>0</v>
      </c>
      <c r="Z177" s="105">
        <v>0</v>
      </c>
      <c r="AA177" s="105">
        <v>0</v>
      </c>
      <c r="AB177" s="105">
        <v>0</v>
      </c>
      <c r="AC177" s="105">
        <v>0</v>
      </c>
      <c r="AD177" s="105">
        <v>0</v>
      </c>
      <c r="AE177" s="105">
        <v>0</v>
      </c>
      <c r="AF177" s="104">
        <v>0</v>
      </c>
      <c r="AG177" s="103">
        <f t="shared" si="23"/>
        <v>2</v>
      </c>
      <c r="AH177" s="98" t="s">
        <v>48</v>
      </c>
    </row>
    <row r="178" spans="1:34" ht="19.5" thickBot="1" x14ac:dyDescent="0.3">
      <c r="A178" s="313" t="s">
        <v>49</v>
      </c>
      <c r="B178" s="278">
        <v>3</v>
      </c>
      <c r="C178" s="101">
        <v>2</v>
      </c>
      <c r="D178" s="101">
        <v>0</v>
      </c>
      <c r="E178" s="101">
        <v>0</v>
      </c>
      <c r="F178" s="101">
        <v>2</v>
      </c>
      <c r="G178" s="101">
        <v>2</v>
      </c>
      <c r="H178" s="101">
        <v>3</v>
      </c>
      <c r="I178" s="101">
        <v>1</v>
      </c>
      <c r="J178" s="101">
        <v>3</v>
      </c>
      <c r="K178" s="101">
        <v>2</v>
      </c>
      <c r="L178" s="101">
        <v>2</v>
      </c>
      <c r="M178" s="101">
        <v>1</v>
      </c>
      <c r="N178" s="101">
        <v>3</v>
      </c>
      <c r="O178" s="101">
        <v>2</v>
      </c>
      <c r="P178" s="101">
        <v>1</v>
      </c>
      <c r="Q178" s="101">
        <v>5</v>
      </c>
      <c r="R178" s="101">
        <v>2</v>
      </c>
      <c r="S178" s="101">
        <v>4</v>
      </c>
      <c r="T178" s="101">
        <v>2</v>
      </c>
      <c r="U178" s="101">
        <v>3</v>
      </c>
      <c r="V178" s="101">
        <v>1</v>
      </c>
      <c r="W178" s="101">
        <v>0</v>
      </c>
      <c r="X178" s="101">
        <v>5</v>
      </c>
      <c r="Y178" s="101">
        <v>2</v>
      </c>
      <c r="Z178" s="101">
        <v>4</v>
      </c>
      <c r="AA178" s="101">
        <v>8</v>
      </c>
      <c r="AB178" s="101">
        <v>1</v>
      </c>
      <c r="AC178" s="101">
        <v>3</v>
      </c>
      <c r="AD178" s="101">
        <v>0</v>
      </c>
      <c r="AE178" s="101">
        <v>3</v>
      </c>
      <c r="AF178" s="100">
        <v>4</v>
      </c>
      <c r="AG178" s="99">
        <f t="shared" si="23"/>
        <v>74</v>
      </c>
      <c r="AH178" s="98" t="s">
        <v>48</v>
      </c>
    </row>
    <row r="179" spans="1:34" ht="18.75" x14ac:dyDescent="0.25">
      <c r="A179" s="341" t="s">
        <v>47</v>
      </c>
      <c r="B179" s="279"/>
      <c r="C179" s="96"/>
      <c r="D179" s="96"/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  <c r="AA179" s="96"/>
      <c r="AB179" s="96"/>
      <c r="AC179" s="96"/>
      <c r="AD179" s="96"/>
      <c r="AE179" s="96"/>
      <c r="AF179" s="95"/>
      <c r="AG179" s="94">
        <f t="shared" ref="AG179:AG210" si="29">SUM(B179:AF179)</f>
        <v>0</v>
      </c>
    </row>
    <row r="180" spans="1:34" ht="19.5" thickBot="1" x14ac:dyDescent="0.3">
      <c r="A180" s="342" t="s">
        <v>46</v>
      </c>
      <c r="B180" s="280"/>
      <c r="C180" s="92"/>
      <c r="D180" s="92"/>
      <c r="E180" s="92"/>
      <c r="F180" s="92"/>
      <c r="G180" s="92"/>
      <c r="H180" s="92"/>
      <c r="I180" s="92"/>
      <c r="J180" s="92"/>
      <c r="K180" s="92"/>
      <c r="L180" s="92"/>
      <c r="M180" s="92"/>
      <c r="N180" s="92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92"/>
      <c r="AA180" s="92"/>
      <c r="AB180" s="92"/>
      <c r="AC180" s="92"/>
      <c r="AD180" s="92"/>
      <c r="AE180" s="92"/>
      <c r="AF180" s="91"/>
      <c r="AG180" s="90">
        <f t="shared" si="29"/>
        <v>0</v>
      </c>
    </row>
    <row r="181" spans="1:34" ht="19.5" thickBot="1" x14ac:dyDescent="0.3">
      <c r="A181" s="343" t="s">
        <v>45</v>
      </c>
      <c r="B181" s="281">
        <f t="shared" ref="B181:AF181" si="30">SUM(B182:B207)</f>
        <v>52</v>
      </c>
      <c r="C181" s="88">
        <f t="shared" si="30"/>
        <v>46</v>
      </c>
      <c r="D181" s="88">
        <f t="shared" si="30"/>
        <v>42</v>
      </c>
      <c r="E181" s="88">
        <f t="shared" si="30"/>
        <v>72</v>
      </c>
      <c r="F181" s="88">
        <f t="shared" si="30"/>
        <v>59</v>
      </c>
      <c r="G181" s="88">
        <f t="shared" si="30"/>
        <v>50</v>
      </c>
      <c r="H181" s="88">
        <f t="shared" si="30"/>
        <v>59</v>
      </c>
      <c r="I181" s="88">
        <f t="shared" si="30"/>
        <v>43</v>
      </c>
      <c r="J181" s="88">
        <f t="shared" si="30"/>
        <v>37</v>
      </c>
      <c r="K181" s="88">
        <f t="shared" si="30"/>
        <v>61</v>
      </c>
      <c r="L181" s="88">
        <f t="shared" si="30"/>
        <v>59</v>
      </c>
      <c r="M181" s="88">
        <f t="shared" si="30"/>
        <v>56</v>
      </c>
      <c r="N181" s="88">
        <f t="shared" si="30"/>
        <v>77</v>
      </c>
      <c r="O181" s="88">
        <f t="shared" si="30"/>
        <v>50</v>
      </c>
      <c r="P181" s="88">
        <f t="shared" si="30"/>
        <v>51</v>
      </c>
      <c r="Q181" s="88">
        <f t="shared" si="30"/>
        <v>53</v>
      </c>
      <c r="R181" s="88">
        <f t="shared" si="30"/>
        <v>83</v>
      </c>
      <c r="S181" s="88">
        <f t="shared" si="30"/>
        <v>71</v>
      </c>
      <c r="T181" s="88">
        <f t="shared" si="30"/>
        <v>74</v>
      </c>
      <c r="U181" s="88">
        <f t="shared" si="30"/>
        <v>52</v>
      </c>
      <c r="V181" s="88">
        <f t="shared" si="30"/>
        <v>68</v>
      </c>
      <c r="W181" s="88">
        <f t="shared" si="30"/>
        <v>74</v>
      </c>
      <c r="X181" s="88">
        <f t="shared" si="30"/>
        <v>51</v>
      </c>
      <c r="Y181" s="88">
        <f t="shared" si="30"/>
        <v>54</v>
      </c>
      <c r="Z181" s="88">
        <f t="shared" si="30"/>
        <v>85</v>
      </c>
      <c r="AA181" s="88">
        <f t="shared" si="30"/>
        <v>93</v>
      </c>
      <c r="AB181" s="88">
        <f t="shared" si="30"/>
        <v>70</v>
      </c>
      <c r="AC181" s="88">
        <f t="shared" si="30"/>
        <v>69</v>
      </c>
      <c r="AD181" s="88">
        <f t="shared" si="30"/>
        <v>63</v>
      </c>
      <c r="AE181" s="88">
        <f t="shared" si="30"/>
        <v>69</v>
      </c>
      <c r="AF181" s="87">
        <f t="shared" si="30"/>
        <v>52</v>
      </c>
      <c r="AG181" s="86">
        <f t="shared" si="29"/>
        <v>1895</v>
      </c>
      <c r="AH181" s="85"/>
    </row>
    <row r="182" spans="1:34" ht="18.75" x14ac:dyDescent="0.25">
      <c r="A182" s="76" t="s">
        <v>44</v>
      </c>
      <c r="B182" s="282"/>
      <c r="C182" s="84">
        <v>7</v>
      </c>
      <c r="D182" s="84">
        <v>3</v>
      </c>
      <c r="E182" s="84">
        <v>2</v>
      </c>
      <c r="F182" s="84">
        <v>2</v>
      </c>
      <c r="G182" s="84">
        <v>1</v>
      </c>
      <c r="H182" s="84">
        <v>4</v>
      </c>
      <c r="I182" s="84"/>
      <c r="J182" s="84">
        <v>2</v>
      </c>
      <c r="K182" s="84">
        <v>4</v>
      </c>
      <c r="L182" s="84">
        <v>2</v>
      </c>
      <c r="M182" s="84">
        <v>1</v>
      </c>
      <c r="N182" s="83">
        <v>5</v>
      </c>
      <c r="O182" s="83">
        <v>1</v>
      </c>
      <c r="P182" s="83">
        <v>3</v>
      </c>
      <c r="Q182" s="83">
        <v>8</v>
      </c>
      <c r="R182" s="83">
        <v>8</v>
      </c>
      <c r="S182" s="83">
        <v>4</v>
      </c>
      <c r="T182" s="83">
        <v>2</v>
      </c>
      <c r="U182" s="83">
        <v>5</v>
      </c>
      <c r="V182" s="83">
        <v>5</v>
      </c>
      <c r="W182" s="83">
        <v>4</v>
      </c>
      <c r="X182" s="83">
        <v>7</v>
      </c>
      <c r="Y182" s="83">
        <v>2</v>
      </c>
      <c r="Z182" s="83">
        <v>7</v>
      </c>
      <c r="AA182" s="83">
        <v>5</v>
      </c>
      <c r="AB182" s="83">
        <v>7</v>
      </c>
      <c r="AC182" s="83">
        <v>4</v>
      </c>
      <c r="AD182" s="83">
        <v>5</v>
      </c>
      <c r="AE182" s="83">
        <v>3</v>
      </c>
      <c r="AF182" s="82">
        <v>8</v>
      </c>
      <c r="AG182" s="11">
        <f t="shared" si="29"/>
        <v>121</v>
      </c>
    </row>
    <row r="183" spans="1:34" ht="18.75" x14ac:dyDescent="0.25">
      <c r="A183" s="76" t="s">
        <v>43</v>
      </c>
      <c r="B183" s="283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  <c r="AA183" s="68"/>
      <c r="AB183" s="68"/>
      <c r="AC183" s="68"/>
      <c r="AD183" s="68"/>
      <c r="AE183" s="68"/>
      <c r="AF183" s="67"/>
      <c r="AG183" s="64">
        <f t="shared" si="29"/>
        <v>0</v>
      </c>
    </row>
    <row r="184" spans="1:34" ht="18.75" x14ac:dyDescent="0.25">
      <c r="A184" s="76" t="s">
        <v>42</v>
      </c>
      <c r="B184" s="283">
        <v>1</v>
      </c>
      <c r="C184" s="69"/>
      <c r="D184" s="69"/>
      <c r="E184" s="69">
        <v>7</v>
      </c>
      <c r="F184" s="69">
        <v>2</v>
      </c>
      <c r="G184" s="69">
        <v>3</v>
      </c>
      <c r="H184" s="69"/>
      <c r="I184" s="69"/>
      <c r="J184" s="69"/>
      <c r="K184" s="69"/>
      <c r="L184" s="69">
        <v>5</v>
      </c>
      <c r="M184" s="69">
        <v>3</v>
      </c>
      <c r="N184" s="68">
        <v>3</v>
      </c>
      <c r="O184" s="68">
        <v>4</v>
      </c>
      <c r="P184" s="68"/>
      <c r="Q184" s="68"/>
      <c r="R184" s="68"/>
      <c r="S184" s="68">
        <v>7</v>
      </c>
      <c r="T184" s="68">
        <v>1</v>
      </c>
      <c r="U184" s="68"/>
      <c r="V184" s="68">
        <v>2</v>
      </c>
      <c r="W184" s="68"/>
      <c r="X184" s="68"/>
      <c r="Y184" s="68"/>
      <c r="Z184" s="68">
        <v>1</v>
      </c>
      <c r="AA184" s="68">
        <v>1</v>
      </c>
      <c r="AB184" s="68">
        <v>3</v>
      </c>
      <c r="AC184" s="68">
        <v>4</v>
      </c>
      <c r="AD184" s="68"/>
      <c r="AE184" s="68"/>
      <c r="AF184" s="67"/>
      <c r="AG184" s="64">
        <f t="shared" si="29"/>
        <v>47</v>
      </c>
    </row>
    <row r="185" spans="1:34" ht="18.75" x14ac:dyDescent="0.25">
      <c r="A185" s="76" t="s">
        <v>41</v>
      </c>
      <c r="B185" s="283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  <c r="AB185" s="68"/>
      <c r="AC185" s="68"/>
      <c r="AD185" s="68"/>
      <c r="AE185" s="68"/>
      <c r="AF185" s="67"/>
      <c r="AG185" s="64">
        <f t="shared" si="29"/>
        <v>0</v>
      </c>
    </row>
    <row r="186" spans="1:34" s="77" customFormat="1" ht="18.75" x14ac:dyDescent="0.25">
      <c r="A186" s="81" t="s">
        <v>40</v>
      </c>
      <c r="B186" s="284">
        <v>49</v>
      </c>
      <c r="C186" s="80">
        <v>36</v>
      </c>
      <c r="D186" s="80">
        <v>39</v>
      </c>
      <c r="E186" s="80">
        <v>61</v>
      </c>
      <c r="F186" s="80">
        <v>51</v>
      </c>
      <c r="G186" s="80">
        <v>45</v>
      </c>
      <c r="H186" s="80">
        <v>51</v>
      </c>
      <c r="I186" s="80">
        <v>42</v>
      </c>
      <c r="J186" s="80">
        <v>34</v>
      </c>
      <c r="K186" s="80">
        <v>54</v>
      </c>
      <c r="L186" s="80">
        <v>52</v>
      </c>
      <c r="M186" s="80">
        <v>50</v>
      </c>
      <c r="N186" s="79">
        <v>66</v>
      </c>
      <c r="O186" s="79">
        <v>44</v>
      </c>
      <c r="P186" s="79">
        <v>44</v>
      </c>
      <c r="Q186" s="79">
        <v>45</v>
      </c>
      <c r="R186" s="79">
        <v>72</v>
      </c>
      <c r="S186" s="79">
        <v>56</v>
      </c>
      <c r="T186" s="79">
        <v>71</v>
      </c>
      <c r="U186" s="79">
        <v>46</v>
      </c>
      <c r="V186" s="79">
        <v>59</v>
      </c>
      <c r="W186" s="79">
        <v>66</v>
      </c>
      <c r="X186" s="79">
        <v>42</v>
      </c>
      <c r="Y186" s="79">
        <v>48</v>
      </c>
      <c r="Z186" s="79">
        <v>75</v>
      </c>
      <c r="AA186" s="79">
        <v>85</v>
      </c>
      <c r="AB186" s="79">
        <v>58</v>
      </c>
      <c r="AC186" s="79">
        <v>60</v>
      </c>
      <c r="AD186" s="79">
        <v>58</v>
      </c>
      <c r="AE186" s="79">
        <v>64</v>
      </c>
      <c r="AF186" s="78">
        <v>43</v>
      </c>
      <c r="AG186" s="21">
        <f t="shared" si="29"/>
        <v>1666</v>
      </c>
    </row>
    <row r="187" spans="1:34" ht="18.75" x14ac:dyDescent="0.25">
      <c r="A187" s="76" t="s">
        <v>39</v>
      </c>
      <c r="B187" s="283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8"/>
      <c r="O187" s="68"/>
      <c r="P187" s="68"/>
      <c r="Q187" s="68"/>
      <c r="R187" s="68"/>
      <c r="S187" s="68"/>
      <c r="T187" s="68"/>
      <c r="U187" s="68"/>
      <c r="V187" s="68"/>
      <c r="W187" s="68">
        <v>1</v>
      </c>
      <c r="X187" s="68"/>
      <c r="Y187" s="68"/>
      <c r="Z187" s="68"/>
      <c r="AA187" s="68"/>
      <c r="AB187" s="68"/>
      <c r="AC187" s="68"/>
      <c r="AD187" s="68"/>
      <c r="AE187" s="68"/>
      <c r="AF187" s="67"/>
      <c r="AG187" s="64">
        <f t="shared" si="29"/>
        <v>1</v>
      </c>
    </row>
    <row r="188" spans="1:34" ht="18.75" x14ac:dyDescent="0.25">
      <c r="A188" s="76" t="s">
        <v>38</v>
      </c>
      <c r="B188" s="283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8">
        <v>1</v>
      </c>
      <c r="O188" s="68"/>
      <c r="P188" s="68"/>
      <c r="Q188" s="68"/>
      <c r="R188" s="68"/>
      <c r="S188" s="68"/>
      <c r="T188" s="68"/>
      <c r="U188" s="68"/>
      <c r="V188" s="68"/>
      <c r="W188" s="68"/>
      <c r="X188" s="68">
        <v>1</v>
      </c>
      <c r="Y188" s="68"/>
      <c r="Z188" s="68"/>
      <c r="AA188" s="68"/>
      <c r="AB188" s="68"/>
      <c r="AC188" s="68"/>
      <c r="AD188" s="68"/>
      <c r="AE188" s="68"/>
      <c r="AF188" s="67"/>
      <c r="AG188" s="64">
        <f t="shared" si="29"/>
        <v>2</v>
      </c>
    </row>
    <row r="189" spans="1:34" ht="18.75" x14ac:dyDescent="0.25">
      <c r="A189" s="76" t="s">
        <v>37</v>
      </c>
      <c r="B189" s="283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  <c r="AA189" s="68"/>
      <c r="AB189" s="68"/>
      <c r="AC189" s="68"/>
      <c r="AD189" s="68"/>
      <c r="AE189" s="68"/>
      <c r="AF189" s="67"/>
      <c r="AG189" s="64">
        <f t="shared" si="29"/>
        <v>0</v>
      </c>
    </row>
    <row r="190" spans="1:34" ht="18.75" x14ac:dyDescent="0.25">
      <c r="A190" s="76" t="s">
        <v>36</v>
      </c>
      <c r="B190" s="283"/>
      <c r="C190" s="69"/>
      <c r="D190" s="69"/>
      <c r="E190" s="69"/>
      <c r="F190" s="69"/>
      <c r="G190" s="69"/>
      <c r="H190" s="69">
        <v>1</v>
      </c>
      <c r="I190" s="69"/>
      <c r="J190" s="69"/>
      <c r="K190" s="69"/>
      <c r="L190" s="69"/>
      <c r="M190" s="69"/>
      <c r="N190" s="68"/>
      <c r="O190" s="68"/>
      <c r="P190" s="68">
        <v>4</v>
      </c>
      <c r="Q190" s="68"/>
      <c r="R190" s="68"/>
      <c r="S190" s="68"/>
      <c r="T190" s="68"/>
      <c r="U190" s="68"/>
      <c r="V190" s="68">
        <v>1</v>
      </c>
      <c r="W190" s="68">
        <v>2</v>
      </c>
      <c r="X190" s="68"/>
      <c r="Y190" s="68">
        <v>1</v>
      </c>
      <c r="Z190" s="68">
        <v>1</v>
      </c>
      <c r="AA190" s="68"/>
      <c r="AB190" s="68"/>
      <c r="AC190" s="68"/>
      <c r="AD190" s="68"/>
      <c r="AE190" s="68"/>
      <c r="AF190" s="67"/>
      <c r="AG190" s="64">
        <f t="shared" si="29"/>
        <v>10</v>
      </c>
    </row>
    <row r="191" spans="1:34" ht="18.75" x14ac:dyDescent="0.25">
      <c r="A191" s="66" t="s">
        <v>35</v>
      </c>
      <c r="B191" s="283"/>
      <c r="C191" s="69"/>
      <c r="D191" s="69"/>
      <c r="E191" s="69"/>
      <c r="F191" s="69"/>
      <c r="G191" s="69"/>
      <c r="H191" s="69"/>
      <c r="I191" s="69"/>
      <c r="J191" s="69">
        <v>1</v>
      </c>
      <c r="K191" s="69"/>
      <c r="L191" s="69"/>
      <c r="M191" s="69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  <c r="AA191" s="68"/>
      <c r="AB191" s="68"/>
      <c r="AC191" s="68"/>
      <c r="AD191" s="68"/>
      <c r="AE191" s="68"/>
      <c r="AF191" s="67"/>
      <c r="AG191" s="64">
        <f t="shared" si="29"/>
        <v>1</v>
      </c>
    </row>
    <row r="192" spans="1:34" ht="18.75" x14ac:dyDescent="0.25">
      <c r="A192" s="66" t="s">
        <v>34</v>
      </c>
      <c r="B192" s="283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  <c r="AA192" s="68"/>
      <c r="AB192" s="68"/>
      <c r="AC192" s="68"/>
      <c r="AD192" s="68"/>
      <c r="AE192" s="68"/>
      <c r="AF192" s="67"/>
      <c r="AG192" s="64">
        <f t="shared" si="29"/>
        <v>0</v>
      </c>
    </row>
    <row r="193" spans="1:34" ht="18.75" x14ac:dyDescent="0.25">
      <c r="A193" s="66" t="s">
        <v>33</v>
      </c>
      <c r="B193" s="283"/>
      <c r="C193" s="69"/>
      <c r="D193" s="69"/>
      <c r="E193" s="69"/>
      <c r="F193" s="69"/>
      <c r="G193" s="69"/>
      <c r="H193" s="69"/>
      <c r="I193" s="69"/>
      <c r="J193" s="69"/>
      <c r="K193" s="69">
        <v>1</v>
      </c>
      <c r="L193" s="69"/>
      <c r="M193" s="69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  <c r="AA193" s="68"/>
      <c r="AB193" s="68"/>
      <c r="AC193" s="68"/>
      <c r="AD193" s="68"/>
      <c r="AE193" s="68"/>
      <c r="AF193" s="67"/>
      <c r="AG193" s="64">
        <f t="shared" si="29"/>
        <v>1</v>
      </c>
    </row>
    <row r="194" spans="1:34" ht="18.75" x14ac:dyDescent="0.25">
      <c r="A194" s="66" t="s">
        <v>32</v>
      </c>
      <c r="B194" s="283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  <c r="AA194" s="68"/>
      <c r="AB194" s="68"/>
      <c r="AC194" s="68"/>
      <c r="AD194" s="68"/>
      <c r="AE194" s="68"/>
      <c r="AF194" s="67"/>
      <c r="AG194" s="64">
        <f t="shared" si="29"/>
        <v>0</v>
      </c>
    </row>
    <row r="195" spans="1:34" ht="18.75" x14ac:dyDescent="0.25">
      <c r="A195" s="75" t="s">
        <v>31</v>
      </c>
      <c r="B195" s="285">
        <v>1</v>
      </c>
      <c r="C195" s="74">
        <v>2</v>
      </c>
      <c r="D195" s="74"/>
      <c r="E195" s="74">
        <v>2</v>
      </c>
      <c r="F195" s="74">
        <v>3</v>
      </c>
      <c r="G195" s="74"/>
      <c r="H195" s="74"/>
      <c r="I195" s="74"/>
      <c r="J195" s="74"/>
      <c r="K195" s="74">
        <v>1</v>
      </c>
      <c r="L195" s="74"/>
      <c r="M195" s="74"/>
      <c r="N195" s="73">
        <v>1</v>
      </c>
      <c r="O195" s="73">
        <v>1</v>
      </c>
      <c r="P195" s="73"/>
      <c r="Q195" s="73"/>
      <c r="R195" s="73">
        <v>1</v>
      </c>
      <c r="S195" s="73">
        <v>2</v>
      </c>
      <c r="T195" s="73"/>
      <c r="U195" s="73">
        <v>1</v>
      </c>
      <c r="V195" s="73">
        <v>1</v>
      </c>
      <c r="W195" s="73"/>
      <c r="X195" s="73"/>
      <c r="Y195" s="73">
        <v>1</v>
      </c>
      <c r="Z195" s="73"/>
      <c r="AA195" s="73"/>
      <c r="AB195" s="73">
        <v>1</v>
      </c>
      <c r="AC195" s="73">
        <v>1</v>
      </c>
      <c r="AD195" s="73"/>
      <c r="AE195" s="73">
        <v>2</v>
      </c>
      <c r="AF195" s="72">
        <v>1</v>
      </c>
      <c r="AG195" s="71">
        <f t="shared" si="29"/>
        <v>22</v>
      </c>
    </row>
    <row r="196" spans="1:34" ht="18.75" x14ac:dyDescent="0.25">
      <c r="A196" s="70" t="s">
        <v>30</v>
      </c>
      <c r="B196" s="283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  <c r="AB196" s="68"/>
      <c r="AC196" s="68"/>
      <c r="AD196" s="68"/>
      <c r="AE196" s="68"/>
      <c r="AF196" s="67"/>
      <c r="AG196" s="64">
        <f t="shared" si="29"/>
        <v>0</v>
      </c>
    </row>
    <row r="197" spans="1:34" ht="18.75" x14ac:dyDescent="0.25">
      <c r="A197" s="70" t="s">
        <v>29</v>
      </c>
      <c r="B197" s="283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  <c r="AA197" s="68"/>
      <c r="AB197" s="68"/>
      <c r="AC197" s="68"/>
      <c r="AD197" s="68"/>
      <c r="AE197" s="68"/>
      <c r="AF197" s="67"/>
      <c r="AG197" s="64">
        <f t="shared" si="29"/>
        <v>0</v>
      </c>
    </row>
    <row r="198" spans="1:34" ht="18.75" x14ac:dyDescent="0.25">
      <c r="A198" s="70" t="s">
        <v>28</v>
      </c>
      <c r="B198" s="283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8"/>
      <c r="O198" s="68"/>
      <c r="P198" s="68"/>
      <c r="Q198" s="68"/>
      <c r="R198" s="68"/>
      <c r="S198" s="68">
        <v>1</v>
      </c>
      <c r="T198" s="68"/>
      <c r="U198" s="68"/>
      <c r="V198" s="68"/>
      <c r="W198" s="68"/>
      <c r="X198" s="68"/>
      <c r="Y198" s="68"/>
      <c r="Z198" s="68"/>
      <c r="AA198" s="68"/>
      <c r="AB198" s="68"/>
      <c r="AC198" s="68"/>
      <c r="AD198" s="68"/>
      <c r="AE198" s="68"/>
      <c r="AF198" s="67"/>
      <c r="AG198" s="64">
        <f t="shared" si="29"/>
        <v>1</v>
      </c>
    </row>
    <row r="199" spans="1:34" ht="18.75" x14ac:dyDescent="0.25">
      <c r="A199" s="70" t="s">
        <v>27</v>
      </c>
      <c r="B199" s="283"/>
      <c r="C199" s="69">
        <v>1</v>
      </c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  <c r="AA199" s="68"/>
      <c r="AB199" s="68"/>
      <c r="AC199" s="68"/>
      <c r="AD199" s="68"/>
      <c r="AE199" s="68"/>
      <c r="AF199" s="67"/>
      <c r="AG199" s="64">
        <f t="shared" si="29"/>
        <v>1</v>
      </c>
    </row>
    <row r="200" spans="1:34" ht="18.75" x14ac:dyDescent="0.25">
      <c r="A200" s="70" t="s">
        <v>26</v>
      </c>
      <c r="B200" s="283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  <c r="AA200" s="68"/>
      <c r="AB200" s="68"/>
      <c r="AC200" s="68"/>
      <c r="AD200" s="68"/>
      <c r="AE200" s="68"/>
      <c r="AF200" s="67"/>
      <c r="AG200" s="64">
        <f t="shared" si="29"/>
        <v>0</v>
      </c>
    </row>
    <row r="201" spans="1:34" ht="18.75" x14ac:dyDescent="0.25">
      <c r="A201" s="70" t="s">
        <v>25</v>
      </c>
      <c r="B201" s="283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  <c r="AA201" s="68"/>
      <c r="AB201" s="68"/>
      <c r="AC201" s="68"/>
      <c r="AD201" s="68"/>
      <c r="AE201" s="68"/>
      <c r="AF201" s="67"/>
      <c r="AG201" s="64">
        <f t="shared" si="29"/>
        <v>0</v>
      </c>
    </row>
    <row r="202" spans="1:34" ht="18.75" x14ac:dyDescent="0.25">
      <c r="A202" s="66" t="s">
        <v>24</v>
      </c>
      <c r="B202" s="283"/>
      <c r="C202" s="69"/>
      <c r="D202" s="69"/>
      <c r="E202" s="69"/>
      <c r="F202" s="69"/>
      <c r="G202" s="69"/>
      <c r="H202" s="69">
        <v>1</v>
      </c>
      <c r="I202" s="69"/>
      <c r="J202" s="69"/>
      <c r="K202" s="69"/>
      <c r="L202" s="69"/>
      <c r="M202" s="69">
        <v>2</v>
      </c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  <c r="AA202" s="68"/>
      <c r="AB202" s="68"/>
      <c r="AC202" s="68"/>
      <c r="AD202" s="68"/>
      <c r="AE202" s="68"/>
      <c r="AF202" s="67"/>
      <c r="AG202" s="64">
        <f t="shared" si="29"/>
        <v>3</v>
      </c>
    </row>
    <row r="203" spans="1:34" ht="18.75" x14ac:dyDescent="0.25">
      <c r="A203" s="66" t="s">
        <v>23</v>
      </c>
      <c r="B203" s="283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  <c r="AA203" s="68"/>
      <c r="AB203" s="68"/>
      <c r="AC203" s="68"/>
      <c r="AD203" s="68"/>
      <c r="AE203" s="68"/>
      <c r="AF203" s="67"/>
      <c r="AG203" s="64">
        <f t="shared" si="29"/>
        <v>0</v>
      </c>
    </row>
    <row r="204" spans="1:34" ht="18.75" x14ac:dyDescent="0.25">
      <c r="A204" s="66" t="s">
        <v>22</v>
      </c>
      <c r="B204" s="283"/>
      <c r="C204" s="69"/>
      <c r="D204" s="69"/>
      <c r="E204" s="69"/>
      <c r="F204" s="69"/>
      <c r="G204" s="69"/>
      <c r="H204" s="69"/>
      <c r="I204" s="69"/>
      <c r="J204" s="69"/>
      <c r="K204" s="69">
        <v>1</v>
      </c>
      <c r="L204" s="69"/>
      <c r="M204" s="69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>
        <v>1</v>
      </c>
      <c r="Y204" s="68"/>
      <c r="Z204" s="68"/>
      <c r="AA204" s="68"/>
      <c r="AB204" s="68"/>
      <c r="AC204" s="68"/>
      <c r="AD204" s="68"/>
      <c r="AE204" s="68"/>
      <c r="AF204" s="67"/>
      <c r="AG204" s="64">
        <f t="shared" si="29"/>
        <v>2</v>
      </c>
    </row>
    <row r="205" spans="1:34" ht="18.75" x14ac:dyDescent="0.25">
      <c r="A205" s="66" t="s">
        <v>21</v>
      </c>
      <c r="B205" s="286"/>
      <c r="C205" s="62"/>
      <c r="D205" s="62"/>
      <c r="E205" s="62"/>
      <c r="F205" s="62"/>
      <c r="G205" s="62"/>
      <c r="H205" s="62">
        <v>1</v>
      </c>
      <c r="I205" s="62">
        <v>1</v>
      </c>
      <c r="J205" s="62"/>
      <c r="K205" s="62"/>
      <c r="L205" s="62"/>
      <c r="M205" s="62"/>
      <c r="N205" s="61">
        <v>1</v>
      </c>
      <c r="O205" s="61"/>
      <c r="P205" s="61"/>
      <c r="Q205" s="61"/>
      <c r="R205" s="61"/>
      <c r="S205" s="61">
        <v>1</v>
      </c>
      <c r="T205" s="61"/>
      <c r="U205" s="61"/>
      <c r="V205" s="61"/>
      <c r="W205" s="61">
        <v>1</v>
      </c>
      <c r="X205" s="61"/>
      <c r="Y205" s="61">
        <v>2</v>
      </c>
      <c r="Z205" s="61">
        <v>1</v>
      </c>
      <c r="AA205" s="61">
        <v>1</v>
      </c>
      <c r="AB205" s="61">
        <v>1</v>
      </c>
      <c r="AC205" s="61"/>
      <c r="AD205" s="61"/>
      <c r="AE205" s="61"/>
      <c r="AF205" s="60"/>
      <c r="AG205" s="64">
        <f t="shared" si="29"/>
        <v>10</v>
      </c>
    </row>
    <row r="206" spans="1:34" ht="18.75" x14ac:dyDescent="0.25">
      <c r="A206" s="65" t="s">
        <v>20</v>
      </c>
      <c r="B206" s="286">
        <v>1</v>
      </c>
      <c r="C206" s="62"/>
      <c r="D206" s="62"/>
      <c r="E206" s="62"/>
      <c r="F206" s="62">
        <v>1</v>
      </c>
      <c r="G206" s="62">
        <v>1</v>
      </c>
      <c r="H206" s="62">
        <v>1</v>
      </c>
      <c r="I206" s="62"/>
      <c r="J206" s="62"/>
      <c r="K206" s="62"/>
      <c r="L206" s="62"/>
      <c r="M206" s="62"/>
      <c r="N206" s="61"/>
      <c r="O206" s="61"/>
      <c r="P206" s="61"/>
      <c r="Q206" s="61"/>
      <c r="R206" s="61">
        <v>1</v>
      </c>
      <c r="S206" s="61"/>
      <c r="T206" s="61"/>
      <c r="U206" s="61"/>
      <c r="V206" s="61"/>
      <c r="W206" s="61"/>
      <c r="X206" s="61"/>
      <c r="Y206" s="61"/>
      <c r="Z206" s="61"/>
      <c r="AA206" s="61">
        <v>1</v>
      </c>
      <c r="AB206" s="61"/>
      <c r="AC206" s="61"/>
      <c r="AD206" s="61"/>
      <c r="AE206" s="61"/>
      <c r="AF206" s="60"/>
      <c r="AG206" s="64">
        <f t="shared" si="29"/>
        <v>6</v>
      </c>
    </row>
    <row r="207" spans="1:34" ht="19.5" thickBot="1" x14ac:dyDescent="0.3">
      <c r="A207" s="63" t="s">
        <v>19</v>
      </c>
      <c r="B207" s="286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1"/>
      <c r="O207" s="61"/>
      <c r="P207" s="61"/>
      <c r="Q207" s="61"/>
      <c r="R207" s="61">
        <v>1</v>
      </c>
      <c r="S207" s="61"/>
      <c r="T207" s="61"/>
      <c r="U207" s="61"/>
      <c r="V207" s="61"/>
      <c r="W207" s="61"/>
      <c r="X207" s="61"/>
      <c r="Y207" s="61"/>
      <c r="Z207" s="61"/>
      <c r="AA207" s="61"/>
      <c r="AB207" s="61"/>
      <c r="AC207" s="61"/>
      <c r="AD207" s="61"/>
      <c r="AE207" s="61"/>
      <c r="AF207" s="60"/>
      <c r="AG207" s="10">
        <f t="shared" si="29"/>
        <v>1</v>
      </c>
    </row>
    <row r="208" spans="1:34" ht="19.5" thickBot="1" x14ac:dyDescent="0.3">
      <c r="A208" s="59" t="s">
        <v>18</v>
      </c>
      <c r="B208" s="287">
        <f t="shared" ref="B208:AF208" si="31">SUM(B209:B213)</f>
        <v>116</v>
      </c>
      <c r="C208" s="57">
        <f t="shared" si="31"/>
        <v>137</v>
      </c>
      <c r="D208" s="57">
        <f t="shared" si="31"/>
        <v>142</v>
      </c>
      <c r="E208" s="57">
        <f t="shared" si="31"/>
        <v>122</v>
      </c>
      <c r="F208" s="57">
        <f t="shared" si="31"/>
        <v>122</v>
      </c>
      <c r="G208" s="57">
        <f t="shared" si="31"/>
        <v>106</v>
      </c>
      <c r="H208" s="57">
        <f t="shared" si="31"/>
        <v>129</v>
      </c>
      <c r="I208" s="57">
        <f t="shared" si="31"/>
        <v>109</v>
      </c>
      <c r="J208" s="57">
        <f t="shared" si="31"/>
        <v>120</v>
      </c>
      <c r="K208" s="57">
        <f t="shared" si="31"/>
        <v>144</v>
      </c>
      <c r="L208" s="57">
        <f t="shared" si="31"/>
        <v>130</v>
      </c>
      <c r="M208" s="57">
        <f t="shared" si="31"/>
        <v>108</v>
      </c>
      <c r="N208" s="56">
        <f t="shared" si="31"/>
        <v>136</v>
      </c>
      <c r="O208" s="56">
        <f t="shared" si="31"/>
        <v>108</v>
      </c>
      <c r="P208" s="56">
        <f t="shared" si="31"/>
        <v>104</v>
      </c>
      <c r="Q208" s="56">
        <f t="shared" si="31"/>
        <v>123</v>
      </c>
      <c r="R208" s="56">
        <f t="shared" si="31"/>
        <v>149</v>
      </c>
      <c r="S208" s="56">
        <f t="shared" si="31"/>
        <v>145</v>
      </c>
      <c r="T208" s="56">
        <f t="shared" si="31"/>
        <v>145</v>
      </c>
      <c r="U208" s="56">
        <f t="shared" si="31"/>
        <v>129</v>
      </c>
      <c r="V208" s="56">
        <f t="shared" si="31"/>
        <v>125</v>
      </c>
      <c r="W208" s="56">
        <f t="shared" si="31"/>
        <v>129</v>
      </c>
      <c r="X208" s="56">
        <f t="shared" si="31"/>
        <v>128</v>
      </c>
      <c r="Y208" s="56">
        <f t="shared" si="31"/>
        <v>128</v>
      </c>
      <c r="Z208" s="56">
        <f t="shared" si="31"/>
        <v>158</v>
      </c>
      <c r="AA208" s="56">
        <f t="shared" si="31"/>
        <v>193</v>
      </c>
      <c r="AB208" s="56">
        <f t="shared" si="31"/>
        <v>157</v>
      </c>
      <c r="AC208" s="56">
        <f t="shared" si="31"/>
        <v>144</v>
      </c>
      <c r="AD208" s="56">
        <f t="shared" si="31"/>
        <v>128</v>
      </c>
      <c r="AE208" s="56">
        <f t="shared" si="31"/>
        <v>157</v>
      </c>
      <c r="AF208" s="55">
        <f t="shared" si="31"/>
        <v>131</v>
      </c>
      <c r="AG208" s="54">
        <f t="shared" si="29"/>
        <v>4102</v>
      </c>
      <c r="AH208" s="53" t="str">
        <f>IF(AG208&lt;&gt;AG93,"X","")</f>
        <v/>
      </c>
    </row>
    <row r="209" spans="1:34" ht="18.75" x14ac:dyDescent="0.25">
      <c r="A209" s="344" t="s">
        <v>17</v>
      </c>
      <c r="B209" s="288"/>
      <c r="C209" s="51"/>
      <c r="D209" s="51"/>
      <c r="E209" s="51"/>
      <c r="F209" s="51"/>
      <c r="G209" s="51"/>
      <c r="H209" s="51">
        <v>1</v>
      </c>
      <c r="I209" s="51"/>
      <c r="J209" s="51"/>
      <c r="K209" s="51"/>
      <c r="L209" s="51"/>
      <c r="M209" s="51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  <c r="AA209" s="50"/>
      <c r="AB209" s="50"/>
      <c r="AC209" s="50"/>
      <c r="AD209" s="50"/>
      <c r="AE209" s="50"/>
      <c r="AF209" s="49"/>
      <c r="AG209" s="48">
        <f t="shared" si="29"/>
        <v>1</v>
      </c>
    </row>
    <row r="210" spans="1:34" ht="18.75" x14ac:dyDescent="0.25">
      <c r="A210" s="345" t="s">
        <v>16</v>
      </c>
      <c r="B210" s="289">
        <v>2</v>
      </c>
      <c r="C210" s="46">
        <v>2</v>
      </c>
      <c r="D210" s="46"/>
      <c r="E210" s="46"/>
      <c r="F210" s="46">
        <v>3</v>
      </c>
      <c r="G210" s="46">
        <v>2</v>
      </c>
      <c r="H210" s="46">
        <v>2</v>
      </c>
      <c r="I210" s="46"/>
      <c r="J210" s="46"/>
      <c r="K210" s="46"/>
      <c r="L210" s="46">
        <v>2</v>
      </c>
      <c r="M210" s="46">
        <v>1</v>
      </c>
      <c r="N210" s="45"/>
      <c r="O210" s="45"/>
      <c r="P210" s="45">
        <v>1</v>
      </c>
      <c r="Q210" s="45">
        <v>1</v>
      </c>
      <c r="R210" s="45">
        <v>1</v>
      </c>
      <c r="S210" s="45">
        <v>1</v>
      </c>
      <c r="T210" s="45"/>
      <c r="U210" s="45">
        <v>1</v>
      </c>
      <c r="V210" s="45"/>
      <c r="W210" s="45">
        <v>1</v>
      </c>
      <c r="X210" s="45"/>
      <c r="Y210" s="45"/>
      <c r="Z210" s="45">
        <v>4</v>
      </c>
      <c r="AA210" s="45">
        <v>2</v>
      </c>
      <c r="AB210" s="45">
        <v>3</v>
      </c>
      <c r="AC210" s="45"/>
      <c r="AD210" s="45">
        <v>1</v>
      </c>
      <c r="AE210" s="45">
        <v>1</v>
      </c>
      <c r="AF210" s="44">
        <v>1</v>
      </c>
      <c r="AG210" s="43">
        <f t="shared" si="29"/>
        <v>32</v>
      </c>
    </row>
    <row r="211" spans="1:34" ht="18.75" x14ac:dyDescent="0.25">
      <c r="A211" s="345" t="s">
        <v>15</v>
      </c>
      <c r="B211" s="289">
        <v>13</v>
      </c>
      <c r="C211" s="46">
        <v>16</v>
      </c>
      <c r="D211" s="46">
        <v>11</v>
      </c>
      <c r="E211" s="46">
        <v>12</v>
      </c>
      <c r="F211" s="46">
        <v>5</v>
      </c>
      <c r="G211" s="46">
        <v>6</v>
      </c>
      <c r="H211" s="46">
        <v>9</v>
      </c>
      <c r="I211" s="46">
        <v>3</v>
      </c>
      <c r="J211" s="46">
        <v>10</v>
      </c>
      <c r="K211" s="46">
        <v>7</v>
      </c>
      <c r="L211" s="46">
        <v>10</v>
      </c>
      <c r="M211" s="46">
        <v>7</v>
      </c>
      <c r="N211" s="45">
        <v>5</v>
      </c>
      <c r="O211" s="45">
        <v>9</v>
      </c>
      <c r="P211" s="45">
        <v>14</v>
      </c>
      <c r="Q211" s="45">
        <v>14</v>
      </c>
      <c r="R211" s="45">
        <v>11</v>
      </c>
      <c r="S211" s="45">
        <v>13</v>
      </c>
      <c r="T211" s="45">
        <v>10</v>
      </c>
      <c r="U211" s="45">
        <v>12</v>
      </c>
      <c r="V211" s="45">
        <v>10</v>
      </c>
      <c r="W211" s="45">
        <v>6</v>
      </c>
      <c r="X211" s="45">
        <v>10</v>
      </c>
      <c r="Y211" s="45">
        <v>8</v>
      </c>
      <c r="Z211" s="45">
        <v>14</v>
      </c>
      <c r="AA211" s="45">
        <v>13</v>
      </c>
      <c r="AB211" s="45">
        <v>17</v>
      </c>
      <c r="AC211" s="45">
        <v>18</v>
      </c>
      <c r="AD211" s="45">
        <v>17</v>
      </c>
      <c r="AE211" s="45">
        <v>19</v>
      </c>
      <c r="AF211" s="44">
        <v>17</v>
      </c>
      <c r="AG211" s="43">
        <f t="shared" ref="AG211:AG223" si="32">SUM(B211:AF211)</f>
        <v>346</v>
      </c>
    </row>
    <row r="212" spans="1:34" ht="18.75" x14ac:dyDescent="0.25">
      <c r="A212" s="345" t="s">
        <v>14</v>
      </c>
      <c r="B212" s="289">
        <v>78</v>
      </c>
      <c r="C212" s="46">
        <v>99</v>
      </c>
      <c r="D212" s="46">
        <v>94</v>
      </c>
      <c r="E212" s="46">
        <v>55</v>
      </c>
      <c r="F212" s="46">
        <v>78</v>
      </c>
      <c r="G212" s="46">
        <v>82</v>
      </c>
      <c r="H212" s="46">
        <v>94</v>
      </c>
      <c r="I212" s="46">
        <v>57</v>
      </c>
      <c r="J212" s="46">
        <v>78</v>
      </c>
      <c r="K212" s="46">
        <v>98</v>
      </c>
      <c r="L212" s="46">
        <v>106</v>
      </c>
      <c r="M212" s="46">
        <v>59</v>
      </c>
      <c r="N212" s="45">
        <v>98</v>
      </c>
      <c r="O212" s="45">
        <v>76</v>
      </c>
      <c r="P212" s="45">
        <v>79</v>
      </c>
      <c r="Q212" s="45">
        <v>53</v>
      </c>
      <c r="R212" s="45">
        <v>111</v>
      </c>
      <c r="S212" s="45">
        <v>124</v>
      </c>
      <c r="T212" s="45">
        <v>124</v>
      </c>
      <c r="U212" s="45">
        <v>71</v>
      </c>
      <c r="V212" s="45">
        <v>83</v>
      </c>
      <c r="W212" s="45">
        <v>100</v>
      </c>
      <c r="X212" s="45">
        <v>94</v>
      </c>
      <c r="Y212" s="45">
        <v>75</v>
      </c>
      <c r="Z212" s="45">
        <v>122</v>
      </c>
      <c r="AA212" s="45">
        <v>140</v>
      </c>
      <c r="AB212" s="45">
        <v>106</v>
      </c>
      <c r="AC212" s="45">
        <v>100</v>
      </c>
      <c r="AD212" s="45">
        <v>92</v>
      </c>
      <c r="AE212" s="45">
        <v>105</v>
      </c>
      <c r="AF212" s="44">
        <v>84</v>
      </c>
      <c r="AG212" s="43">
        <f t="shared" si="32"/>
        <v>2815</v>
      </c>
    </row>
    <row r="213" spans="1:34" ht="19.5" thickBot="1" x14ac:dyDescent="0.3">
      <c r="A213" s="346" t="s">
        <v>13</v>
      </c>
      <c r="B213" s="290">
        <v>23</v>
      </c>
      <c r="C213" s="41">
        <v>20</v>
      </c>
      <c r="D213" s="41">
        <v>37</v>
      </c>
      <c r="E213" s="41">
        <v>55</v>
      </c>
      <c r="F213" s="41">
        <v>36</v>
      </c>
      <c r="G213" s="41">
        <v>16</v>
      </c>
      <c r="H213" s="41">
        <v>23</v>
      </c>
      <c r="I213" s="41">
        <v>49</v>
      </c>
      <c r="J213" s="41">
        <v>32</v>
      </c>
      <c r="K213" s="41">
        <v>39</v>
      </c>
      <c r="L213" s="41">
        <v>12</v>
      </c>
      <c r="M213" s="41">
        <v>41</v>
      </c>
      <c r="N213" s="40">
        <v>33</v>
      </c>
      <c r="O213" s="40">
        <v>23</v>
      </c>
      <c r="P213" s="40">
        <v>10</v>
      </c>
      <c r="Q213" s="40">
        <v>55</v>
      </c>
      <c r="R213" s="40">
        <v>26</v>
      </c>
      <c r="S213" s="40">
        <v>7</v>
      </c>
      <c r="T213" s="40">
        <v>11</v>
      </c>
      <c r="U213" s="40">
        <v>45</v>
      </c>
      <c r="V213" s="40">
        <v>32</v>
      </c>
      <c r="W213" s="40">
        <v>22</v>
      </c>
      <c r="X213" s="40">
        <v>24</v>
      </c>
      <c r="Y213" s="40">
        <v>45</v>
      </c>
      <c r="Z213" s="40">
        <v>18</v>
      </c>
      <c r="AA213" s="40">
        <v>38</v>
      </c>
      <c r="AB213" s="40">
        <v>31</v>
      </c>
      <c r="AC213" s="40">
        <v>26</v>
      </c>
      <c r="AD213" s="40">
        <v>18</v>
      </c>
      <c r="AE213" s="40">
        <v>32</v>
      </c>
      <c r="AF213" s="39">
        <v>29</v>
      </c>
      <c r="AG213" s="38">
        <f t="shared" si="32"/>
        <v>908</v>
      </c>
    </row>
    <row r="214" spans="1:34" ht="19.5" thickBot="1" x14ac:dyDescent="0.3">
      <c r="A214" s="333" t="s">
        <v>12</v>
      </c>
      <c r="B214" s="291">
        <f t="shared" ref="B214:AF214" si="33">SUM(B215:B221)</f>
        <v>37</v>
      </c>
      <c r="C214" s="36">
        <f t="shared" si="33"/>
        <v>33</v>
      </c>
      <c r="D214" s="36">
        <f t="shared" si="33"/>
        <v>38</v>
      </c>
      <c r="E214" s="36">
        <f t="shared" si="33"/>
        <v>58</v>
      </c>
      <c r="F214" s="36">
        <f t="shared" si="33"/>
        <v>54</v>
      </c>
      <c r="G214" s="36">
        <f t="shared" si="33"/>
        <v>46</v>
      </c>
      <c r="H214" s="36">
        <f t="shared" si="33"/>
        <v>44</v>
      </c>
      <c r="I214" s="36">
        <f t="shared" si="33"/>
        <v>45</v>
      </c>
      <c r="J214" s="36">
        <f t="shared" si="33"/>
        <v>33</v>
      </c>
      <c r="K214" s="36">
        <f t="shared" si="33"/>
        <v>54</v>
      </c>
      <c r="L214" s="36">
        <f t="shared" si="33"/>
        <v>65</v>
      </c>
      <c r="M214" s="36">
        <f t="shared" si="33"/>
        <v>58</v>
      </c>
      <c r="N214" s="35">
        <f t="shared" si="33"/>
        <v>69</v>
      </c>
      <c r="O214" s="35">
        <f t="shared" si="33"/>
        <v>49</v>
      </c>
      <c r="P214" s="35">
        <f t="shared" si="33"/>
        <v>63</v>
      </c>
      <c r="Q214" s="35">
        <f t="shared" si="33"/>
        <v>48</v>
      </c>
      <c r="R214" s="35">
        <f t="shared" si="33"/>
        <v>64</v>
      </c>
      <c r="S214" s="35">
        <f t="shared" si="33"/>
        <v>68</v>
      </c>
      <c r="T214" s="35">
        <f t="shared" si="33"/>
        <v>64</v>
      </c>
      <c r="U214" s="35">
        <f t="shared" si="33"/>
        <v>46</v>
      </c>
      <c r="V214" s="35">
        <f t="shared" si="33"/>
        <v>59</v>
      </c>
      <c r="W214" s="35">
        <f t="shared" si="33"/>
        <v>67</v>
      </c>
      <c r="X214" s="35">
        <f t="shared" si="33"/>
        <v>39</v>
      </c>
      <c r="Y214" s="35">
        <f t="shared" si="33"/>
        <v>50</v>
      </c>
      <c r="Z214" s="35">
        <f t="shared" si="33"/>
        <v>66</v>
      </c>
      <c r="AA214" s="35">
        <f t="shared" si="33"/>
        <v>72</v>
      </c>
      <c r="AB214" s="35">
        <f t="shared" si="33"/>
        <v>69</v>
      </c>
      <c r="AC214" s="35">
        <f t="shared" si="33"/>
        <v>61</v>
      </c>
      <c r="AD214" s="35">
        <f t="shared" si="33"/>
        <v>56</v>
      </c>
      <c r="AE214" s="35">
        <f t="shared" si="33"/>
        <v>62</v>
      </c>
      <c r="AF214" s="34">
        <f t="shared" si="33"/>
        <v>39</v>
      </c>
      <c r="AG214" s="33">
        <f t="shared" si="32"/>
        <v>1676</v>
      </c>
    </row>
    <row r="215" spans="1:34" ht="18.75" x14ac:dyDescent="0.25">
      <c r="A215" s="81" t="s">
        <v>11</v>
      </c>
      <c r="B215" s="292">
        <v>22</v>
      </c>
      <c r="C215" s="31">
        <v>25</v>
      </c>
      <c r="D215" s="31">
        <v>33</v>
      </c>
      <c r="E215" s="31">
        <v>42</v>
      </c>
      <c r="F215" s="31">
        <v>43</v>
      </c>
      <c r="G215" s="31">
        <v>38</v>
      </c>
      <c r="H215" s="31">
        <v>32</v>
      </c>
      <c r="I215" s="31">
        <v>40</v>
      </c>
      <c r="J215" s="31">
        <v>26</v>
      </c>
      <c r="K215" s="31">
        <v>37</v>
      </c>
      <c r="L215" s="31">
        <v>50</v>
      </c>
      <c r="M215" s="31">
        <v>50</v>
      </c>
      <c r="N215" s="30">
        <v>57</v>
      </c>
      <c r="O215" s="30">
        <v>42</v>
      </c>
      <c r="P215" s="30">
        <v>53</v>
      </c>
      <c r="Q215" s="30">
        <v>32</v>
      </c>
      <c r="R215" s="30">
        <v>49</v>
      </c>
      <c r="S215" s="30">
        <v>56</v>
      </c>
      <c r="T215" s="30">
        <v>48</v>
      </c>
      <c r="U215" s="30">
        <v>35</v>
      </c>
      <c r="V215" s="30">
        <v>49</v>
      </c>
      <c r="W215" s="30">
        <v>53</v>
      </c>
      <c r="X215" s="30">
        <v>34</v>
      </c>
      <c r="Y215" s="30">
        <v>33</v>
      </c>
      <c r="Z215" s="30">
        <v>48</v>
      </c>
      <c r="AA215" s="30">
        <v>63</v>
      </c>
      <c r="AB215" s="30">
        <v>49</v>
      </c>
      <c r="AC215" s="30">
        <v>50</v>
      </c>
      <c r="AD215" s="30">
        <v>43</v>
      </c>
      <c r="AE215" s="30">
        <v>37</v>
      </c>
      <c r="AF215" s="29">
        <v>29</v>
      </c>
      <c r="AG215" s="28">
        <f t="shared" si="32"/>
        <v>1298</v>
      </c>
    </row>
    <row r="216" spans="1:34" ht="18.75" x14ac:dyDescent="0.25">
      <c r="A216" s="347" t="s">
        <v>10</v>
      </c>
      <c r="B216" s="293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3"/>
      <c r="AG216" s="21">
        <f t="shared" si="32"/>
        <v>0</v>
      </c>
    </row>
    <row r="217" spans="1:34" ht="18.75" x14ac:dyDescent="0.25">
      <c r="A217" s="348" t="s">
        <v>9</v>
      </c>
      <c r="B217" s="293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4">
        <v>1</v>
      </c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3"/>
      <c r="AG217" s="21">
        <f t="shared" si="32"/>
        <v>1</v>
      </c>
    </row>
    <row r="218" spans="1:34" ht="18.75" x14ac:dyDescent="0.25">
      <c r="A218" s="348" t="s">
        <v>150</v>
      </c>
      <c r="B218" s="293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3"/>
      <c r="AG218" s="21">
        <f t="shared" si="32"/>
        <v>0</v>
      </c>
    </row>
    <row r="219" spans="1:34" ht="18.75" x14ac:dyDescent="0.25">
      <c r="A219" s="348" t="s">
        <v>154</v>
      </c>
      <c r="B219" s="293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3"/>
      <c r="AG219" s="21">
        <f t="shared" si="32"/>
        <v>0</v>
      </c>
    </row>
    <row r="220" spans="1:34" ht="18.75" x14ac:dyDescent="0.25">
      <c r="A220" s="348" t="s">
        <v>8</v>
      </c>
      <c r="B220" s="293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4"/>
      <c r="O220" s="24"/>
      <c r="P220" s="24"/>
      <c r="Q220" s="24"/>
      <c r="R220" s="24"/>
      <c r="S220" s="24"/>
      <c r="T220" s="24">
        <v>1</v>
      </c>
      <c r="U220" s="24"/>
      <c r="V220" s="24"/>
      <c r="W220" s="24">
        <v>1</v>
      </c>
      <c r="X220" s="24"/>
      <c r="Y220" s="24"/>
      <c r="Z220" s="24"/>
      <c r="AA220" s="24">
        <v>1</v>
      </c>
      <c r="AB220" s="24"/>
      <c r="AC220" s="24">
        <v>1</v>
      </c>
      <c r="AD220" s="24">
        <v>1</v>
      </c>
      <c r="AE220" s="24"/>
      <c r="AF220" s="23"/>
      <c r="AG220" s="21">
        <f t="shared" si="32"/>
        <v>5</v>
      </c>
    </row>
    <row r="221" spans="1:34" ht="19.5" thickBot="1" x14ac:dyDescent="0.3">
      <c r="A221" s="358" t="s">
        <v>7</v>
      </c>
      <c r="B221" s="356">
        <v>15</v>
      </c>
      <c r="C221" s="16">
        <v>8</v>
      </c>
      <c r="D221" s="16">
        <v>5</v>
      </c>
      <c r="E221" s="16">
        <v>16</v>
      </c>
      <c r="F221" s="16">
        <v>11</v>
      </c>
      <c r="G221" s="16">
        <v>8</v>
      </c>
      <c r="H221" s="16">
        <v>12</v>
      </c>
      <c r="I221" s="16">
        <v>5</v>
      </c>
      <c r="J221" s="16">
        <v>7</v>
      </c>
      <c r="K221" s="16">
        <v>17</v>
      </c>
      <c r="L221" s="16">
        <v>15</v>
      </c>
      <c r="M221" s="16">
        <v>8</v>
      </c>
      <c r="N221" s="15">
        <v>11</v>
      </c>
      <c r="O221" s="15">
        <v>7</v>
      </c>
      <c r="P221" s="15">
        <v>10</v>
      </c>
      <c r="Q221" s="15">
        <v>16</v>
      </c>
      <c r="R221" s="15">
        <v>15</v>
      </c>
      <c r="S221" s="15">
        <v>12</v>
      </c>
      <c r="T221" s="15">
        <v>15</v>
      </c>
      <c r="U221" s="15">
        <v>11</v>
      </c>
      <c r="V221" s="15">
        <v>10</v>
      </c>
      <c r="W221" s="15">
        <v>13</v>
      </c>
      <c r="X221" s="15">
        <v>5</v>
      </c>
      <c r="Y221" s="15">
        <v>17</v>
      </c>
      <c r="Z221" s="15">
        <v>18</v>
      </c>
      <c r="AA221" s="15">
        <v>8</v>
      </c>
      <c r="AB221" s="15">
        <v>20</v>
      </c>
      <c r="AC221" s="15">
        <v>10</v>
      </c>
      <c r="AD221" s="15">
        <v>12</v>
      </c>
      <c r="AE221" s="15">
        <v>25</v>
      </c>
      <c r="AF221" s="22">
        <v>10</v>
      </c>
      <c r="AG221" s="21">
        <f t="shared" si="32"/>
        <v>372</v>
      </c>
    </row>
    <row r="222" spans="1:34" ht="18.75" x14ac:dyDescent="0.25">
      <c r="A222" s="332" t="s">
        <v>6</v>
      </c>
      <c r="B222" s="357">
        <v>37</v>
      </c>
      <c r="C222" s="19">
        <v>33</v>
      </c>
      <c r="D222" s="19">
        <v>38</v>
      </c>
      <c r="E222" s="19">
        <v>58</v>
      </c>
      <c r="F222" s="19">
        <v>54</v>
      </c>
      <c r="G222" s="19">
        <v>46</v>
      </c>
      <c r="H222" s="19">
        <v>44</v>
      </c>
      <c r="I222" s="19">
        <v>45</v>
      </c>
      <c r="J222" s="19">
        <v>33</v>
      </c>
      <c r="K222" s="19">
        <v>54</v>
      </c>
      <c r="L222" s="19">
        <v>64</v>
      </c>
      <c r="M222" s="19">
        <v>58</v>
      </c>
      <c r="N222" s="18">
        <v>69</v>
      </c>
      <c r="O222" s="18">
        <v>49</v>
      </c>
      <c r="P222" s="18">
        <v>63</v>
      </c>
      <c r="Q222" s="18">
        <v>48</v>
      </c>
      <c r="R222" s="18">
        <v>64</v>
      </c>
      <c r="S222" s="18">
        <v>68</v>
      </c>
      <c r="T222" s="18">
        <v>64</v>
      </c>
      <c r="U222" s="18">
        <v>46</v>
      </c>
      <c r="V222" s="18">
        <v>59</v>
      </c>
      <c r="W222" s="18">
        <v>62</v>
      </c>
      <c r="X222" s="18">
        <v>39</v>
      </c>
      <c r="Y222" s="18">
        <v>50</v>
      </c>
      <c r="Z222" s="18">
        <v>66</v>
      </c>
      <c r="AA222" s="18">
        <v>72</v>
      </c>
      <c r="AB222" s="18">
        <v>68</v>
      </c>
      <c r="AC222" s="18">
        <v>61</v>
      </c>
      <c r="AD222" s="18">
        <v>56</v>
      </c>
      <c r="AE222" s="18">
        <v>61</v>
      </c>
      <c r="AF222" s="17">
        <v>39</v>
      </c>
      <c r="AG222" s="7">
        <f t="shared" si="32"/>
        <v>1668</v>
      </c>
    </row>
    <row r="223" spans="1:34" ht="19.5" thickBot="1" x14ac:dyDescent="0.3">
      <c r="A223" s="358" t="s">
        <v>5</v>
      </c>
      <c r="B223" s="356">
        <f t="shared" ref="B223:AF223" si="34">+B214-B222</f>
        <v>0</v>
      </c>
      <c r="C223" s="16">
        <f t="shared" si="34"/>
        <v>0</v>
      </c>
      <c r="D223" s="16">
        <f t="shared" si="34"/>
        <v>0</v>
      </c>
      <c r="E223" s="16">
        <f t="shared" si="34"/>
        <v>0</v>
      </c>
      <c r="F223" s="16">
        <f t="shared" si="34"/>
        <v>0</v>
      </c>
      <c r="G223" s="16">
        <f t="shared" si="34"/>
        <v>0</v>
      </c>
      <c r="H223" s="16">
        <f t="shared" si="34"/>
        <v>0</v>
      </c>
      <c r="I223" s="16">
        <f t="shared" si="34"/>
        <v>0</v>
      </c>
      <c r="J223" s="16">
        <f t="shared" si="34"/>
        <v>0</v>
      </c>
      <c r="K223" s="16">
        <f t="shared" si="34"/>
        <v>0</v>
      </c>
      <c r="L223" s="16">
        <f t="shared" si="34"/>
        <v>1</v>
      </c>
      <c r="M223" s="16">
        <f t="shared" si="34"/>
        <v>0</v>
      </c>
      <c r="N223" s="15">
        <f t="shared" si="34"/>
        <v>0</v>
      </c>
      <c r="O223" s="15">
        <f t="shared" si="34"/>
        <v>0</v>
      </c>
      <c r="P223" s="15">
        <f t="shared" si="34"/>
        <v>0</v>
      </c>
      <c r="Q223" s="15">
        <f t="shared" si="34"/>
        <v>0</v>
      </c>
      <c r="R223" s="15">
        <f t="shared" si="34"/>
        <v>0</v>
      </c>
      <c r="S223" s="15">
        <f t="shared" si="34"/>
        <v>0</v>
      </c>
      <c r="T223" s="15">
        <f t="shared" si="34"/>
        <v>0</v>
      </c>
      <c r="U223" s="15">
        <f t="shared" si="34"/>
        <v>0</v>
      </c>
      <c r="V223" s="15">
        <f t="shared" si="34"/>
        <v>0</v>
      </c>
      <c r="W223" s="15">
        <f t="shared" si="34"/>
        <v>5</v>
      </c>
      <c r="X223" s="15">
        <f t="shared" si="34"/>
        <v>0</v>
      </c>
      <c r="Y223" s="15">
        <f t="shared" si="34"/>
        <v>0</v>
      </c>
      <c r="Z223" s="15">
        <f t="shared" si="34"/>
        <v>0</v>
      </c>
      <c r="AA223" s="15">
        <f t="shared" si="34"/>
        <v>0</v>
      </c>
      <c r="AB223" s="15">
        <f t="shared" si="34"/>
        <v>1</v>
      </c>
      <c r="AC223" s="15">
        <f t="shared" si="34"/>
        <v>0</v>
      </c>
      <c r="AD223" s="15">
        <f t="shared" si="34"/>
        <v>0</v>
      </c>
      <c r="AE223" s="15">
        <f t="shared" si="34"/>
        <v>1</v>
      </c>
      <c r="AF223" s="14">
        <f t="shared" si="34"/>
        <v>0</v>
      </c>
      <c r="AG223" s="13">
        <f t="shared" si="32"/>
        <v>8</v>
      </c>
    </row>
    <row r="224" spans="1:34" ht="18.75" x14ac:dyDescent="0.25">
      <c r="A224" s="351" t="s">
        <v>4</v>
      </c>
      <c r="B224" s="265">
        <v>4</v>
      </c>
      <c r="C224" s="8">
        <v>6</v>
      </c>
      <c r="D224" s="8">
        <v>8</v>
      </c>
      <c r="E224" s="8">
        <v>12</v>
      </c>
      <c r="F224" s="8">
        <v>19</v>
      </c>
      <c r="G224" s="8">
        <v>19</v>
      </c>
      <c r="H224" s="8">
        <v>25</v>
      </c>
      <c r="I224" s="8">
        <v>16</v>
      </c>
      <c r="J224" s="8">
        <v>8</v>
      </c>
      <c r="K224" s="8">
        <v>14</v>
      </c>
      <c r="L224" s="8">
        <v>10</v>
      </c>
      <c r="M224" s="8">
        <v>11</v>
      </c>
      <c r="N224" s="8">
        <v>9</v>
      </c>
      <c r="O224" s="8">
        <v>0</v>
      </c>
      <c r="P224" s="8">
        <v>0</v>
      </c>
      <c r="Q224" s="8">
        <v>9</v>
      </c>
      <c r="R224" s="8">
        <v>8</v>
      </c>
      <c r="S224" s="8">
        <v>7</v>
      </c>
      <c r="T224" s="8">
        <v>9</v>
      </c>
      <c r="U224" s="8">
        <v>2</v>
      </c>
      <c r="V224" s="8">
        <v>3</v>
      </c>
      <c r="W224" s="8">
        <v>10</v>
      </c>
      <c r="X224" s="8">
        <v>8</v>
      </c>
      <c r="Y224" s="8">
        <v>12</v>
      </c>
      <c r="Z224" s="8">
        <v>10</v>
      </c>
      <c r="AA224" s="8">
        <v>10</v>
      </c>
      <c r="AB224" s="8">
        <v>17</v>
      </c>
      <c r="AC224" s="8">
        <v>7</v>
      </c>
      <c r="AD224" s="8">
        <v>5</v>
      </c>
      <c r="AE224" s="8">
        <v>7</v>
      </c>
      <c r="AF224" s="8">
        <v>12</v>
      </c>
      <c r="AG224" s="7">
        <f t="shared" ref="AG224:AG227" si="35">SUM(B224:AF224)</f>
        <v>297</v>
      </c>
      <c r="AH224" s="406" t="s">
        <v>3</v>
      </c>
    </row>
    <row r="225" spans="1:34" ht="18.75" x14ac:dyDescent="0.25">
      <c r="A225" s="352" t="s">
        <v>2</v>
      </c>
      <c r="B225" s="5">
        <v>0</v>
      </c>
      <c r="C225" s="3">
        <v>1</v>
      </c>
      <c r="D225" s="3">
        <v>3</v>
      </c>
      <c r="E225" s="3">
        <v>3</v>
      </c>
      <c r="F225" s="3">
        <v>12</v>
      </c>
      <c r="G225" s="3">
        <v>8</v>
      </c>
      <c r="H225" s="3">
        <v>9</v>
      </c>
      <c r="I225" s="3">
        <v>8</v>
      </c>
      <c r="J225" s="3">
        <v>2</v>
      </c>
      <c r="K225" s="3">
        <v>5</v>
      </c>
      <c r="L225" s="3">
        <v>4</v>
      </c>
      <c r="M225" s="3">
        <v>9</v>
      </c>
      <c r="N225" s="5">
        <v>9</v>
      </c>
      <c r="O225" s="3">
        <v>0</v>
      </c>
      <c r="P225" s="3">
        <v>0</v>
      </c>
      <c r="Q225" s="3">
        <v>4</v>
      </c>
      <c r="R225" s="3">
        <v>2</v>
      </c>
      <c r="S225" s="3">
        <v>4</v>
      </c>
      <c r="T225" s="3">
        <v>7</v>
      </c>
      <c r="U225" s="3">
        <v>2</v>
      </c>
      <c r="V225" s="3">
        <v>0</v>
      </c>
      <c r="W225" s="3">
        <v>9</v>
      </c>
      <c r="X225" s="3">
        <v>6</v>
      </c>
      <c r="Y225" s="3">
        <v>4</v>
      </c>
      <c r="Z225" s="4">
        <v>5</v>
      </c>
      <c r="AA225" s="3">
        <v>7</v>
      </c>
      <c r="AB225" s="3">
        <v>14</v>
      </c>
      <c r="AC225" s="3">
        <v>0</v>
      </c>
      <c r="AD225" s="3">
        <v>3</v>
      </c>
      <c r="AE225" s="3">
        <v>5</v>
      </c>
      <c r="AF225" s="2">
        <v>4</v>
      </c>
      <c r="AG225" s="1">
        <f t="shared" si="35"/>
        <v>149</v>
      </c>
      <c r="AH225" s="407"/>
    </row>
    <row r="226" spans="1:34" ht="18.75" x14ac:dyDescent="0.25">
      <c r="A226" s="352" t="s">
        <v>1</v>
      </c>
      <c r="B226" s="5">
        <v>4</v>
      </c>
      <c r="C226" s="3">
        <v>5</v>
      </c>
      <c r="D226" s="3">
        <v>5</v>
      </c>
      <c r="E226" s="3">
        <v>9</v>
      </c>
      <c r="F226" s="3">
        <v>7</v>
      </c>
      <c r="G226" s="3">
        <v>11</v>
      </c>
      <c r="H226" s="3">
        <v>16</v>
      </c>
      <c r="I226" s="3">
        <v>8</v>
      </c>
      <c r="J226" s="3">
        <v>6</v>
      </c>
      <c r="K226" s="3">
        <v>9</v>
      </c>
      <c r="L226" s="3">
        <v>6</v>
      </c>
      <c r="M226" s="3">
        <v>2</v>
      </c>
      <c r="N226" s="5">
        <v>0</v>
      </c>
      <c r="O226" s="3">
        <v>0</v>
      </c>
      <c r="P226" s="3">
        <v>0</v>
      </c>
      <c r="Q226" s="3">
        <v>5</v>
      </c>
      <c r="R226" s="3">
        <v>6</v>
      </c>
      <c r="S226" s="3">
        <v>3</v>
      </c>
      <c r="T226" s="3">
        <v>2</v>
      </c>
      <c r="U226" s="3">
        <v>0</v>
      </c>
      <c r="V226" s="3">
        <v>3</v>
      </c>
      <c r="W226" s="3">
        <v>1</v>
      </c>
      <c r="X226" s="3">
        <v>2</v>
      </c>
      <c r="Y226" s="3">
        <v>8</v>
      </c>
      <c r="Z226" s="4">
        <v>5</v>
      </c>
      <c r="AA226" s="3">
        <v>3</v>
      </c>
      <c r="AB226" s="3">
        <v>3</v>
      </c>
      <c r="AC226" s="3">
        <v>7</v>
      </c>
      <c r="AD226" s="3">
        <v>2</v>
      </c>
      <c r="AE226" s="3">
        <v>2</v>
      </c>
      <c r="AF226" s="2">
        <v>8</v>
      </c>
      <c r="AG226" s="1">
        <f t="shared" si="35"/>
        <v>148</v>
      </c>
      <c r="AH226" s="407"/>
    </row>
    <row r="227" spans="1:34" ht="19.5" thickBot="1" x14ac:dyDescent="0.3">
      <c r="A227" s="353" t="s">
        <v>0</v>
      </c>
      <c r="B227" s="297"/>
      <c r="C227" s="240"/>
      <c r="D227" s="240"/>
      <c r="E227" s="240"/>
      <c r="F227" s="240"/>
      <c r="G227" s="240"/>
      <c r="H227" s="240"/>
      <c r="I227" s="240"/>
      <c r="J227" s="240"/>
      <c r="K227" s="241"/>
      <c r="L227" s="241"/>
      <c r="M227" s="241"/>
      <c r="N227" s="242"/>
      <c r="O227" s="243"/>
      <c r="P227" s="243"/>
      <c r="Q227" s="243"/>
      <c r="R227" s="243"/>
      <c r="S227" s="243"/>
      <c r="T227" s="243"/>
      <c r="U227" s="243"/>
      <c r="V227" s="243"/>
      <c r="W227" s="243"/>
      <c r="X227" s="243"/>
      <c r="Y227" s="243"/>
      <c r="Z227" s="243"/>
      <c r="AA227" s="243"/>
      <c r="AB227" s="243"/>
      <c r="AC227" s="243"/>
      <c r="AD227" s="243"/>
      <c r="AE227" s="243"/>
      <c r="AF227" s="244"/>
      <c r="AG227" s="10">
        <f t="shared" si="35"/>
        <v>0</v>
      </c>
      <c r="AH227" s="408"/>
    </row>
    <row r="247" ht="18.75" customHeight="1" x14ac:dyDescent="0.25"/>
    <row r="248" ht="18.75" customHeight="1" x14ac:dyDescent="0.25"/>
    <row r="249" ht="18.75" customHeight="1" x14ac:dyDescent="0.25"/>
    <row r="250" ht="18.75" customHeight="1" x14ac:dyDescent="0.25"/>
    <row r="251" ht="18.75" customHeight="1" x14ac:dyDescent="0.25"/>
    <row r="252" ht="18.75" customHeight="1" x14ac:dyDescent="0.25"/>
    <row r="253" ht="18.75" customHeight="1" x14ac:dyDescent="0.25"/>
    <row r="254" ht="18.75" customHeight="1" x14ac:dyDescent="0.25"/>
    <row r="255" ht="18.75" customHeight="1" x14ac:dyDescent="0.25"/>
    <row r="256" ht="18.75" customHeight="1" x14ac:dyDescent="0.25"/>
    <row r="257" ht="18.75" customHeight="1" x14ac:dyDescent="0.25"/>
    <row r="258" ht="19.5" customHeight="1" x14ac:dyDescent="0.25"/>
    <row r="260" ht="18.75" customHeight="1" x14ac:dyDescent="0.25"/>
    <row r="263" ht="18.75" customHeight="1" x14ac:dyDescent="0.25"/>
  </sheetData>
  <dataConsolidate/>
  <mergeCells count="3">
    <mergeCell ref="A1:AG1"/>
    <mergeCell ref="AI84:AI86"/>
    <mergeCell ref="AH224:AH227"/>
  </mergeCells>
  <conditionalFormatting sqref="B29:AF52">
    <cfRule type="cellIs" dxfId="120" priority="6" operator="lessThan">
      <formula>0</formula>
    </cfRule>
  </conditionalFormatting>
  <conditionalFormatting sqref="D54:D77">
    <cfRule type="cellIs" dxfId="119" priority="2" operator="lessThan">
      <formula>0</formula>
    </cfRule>
  </conditionalFormatting>
  <conditionalFormatting sqref="G54:G77">
    <cfRule type="cellIs" dxfId="118" priority="1" operator="lessThan">
      <formula>0</formula>
    </cfRule>
  </conditionalFormatting>
  <conditionalFormatting sqref="AH81">
    <cfRule type="cellIs" dxfId="117" priority="4" operator="equal">
      <formula>"*"</formula>
    </cfRule>
  </conditionalFormatting>
  <conditionalFormatting sqref="AH84 AH87">
    <cfRule type="cellIs" dxfId="116" priority="5" operator="equal">
      <formula>"*"</formula>
    </cfRule>
  </conditionalFormatting>
  <conditionalFormatting sqref="AH93">
    <cfRule type="cellIs" dxfId="115" priority="10" operator="equal">
      <formula>"*"</formula>
    </cfRule>
  </conditionalFormatting>
  <conditionalFormatting sqref="AH130">
    <cfRule type="cellIs" dxfId="114" priority="8" operator="equal">
      <formula>"*"</formula>
    </cfRule>
  </conditionalFormatting>
  <conditionalFormatting sqref="AH144:AH145">
    <cfRule type="cellIs" dxfId="113" priority="9" operator="equal">
      <formula>"*"</formula>
    </cfRule>
  </conditionalFormatting>
  <conditionalFormatting sqref="AH181">
    <cfRule type="cellIs" dxfId="112" priority="7" operator="equal">
      <formula>"*"</formula>
    </cfRule>
  </conditionalFormatting>
  <conditionalFormatting sqref="AH208">
    <cfRule type="cellIs" dxfId="111" priority="3" operator="equal">
      <formula>"X"</formula>
    </cfRule>
  </conditionalFormatting>
  <dataValidations count="1">
    <dataValidation type="whole" allowBlank="1" showInputMessage="1" showErrorMessage="1" errorTitle="ERROR" error="Por favor ingrese solo Números" sqref="A98:A99 A101:A115" xr:uid="{00000000-0002-0000-0100-000000000000}">
      <formula1>0</formula1>
      <formula2>1000000000</formula2>
    </dataValidation>
  </dataValidation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/>
  <dimension ref="A1:AI263"/>
  <sheetViews>
    <sheetView zoomScale="80" zoomScaleNormal="80" workbookViewId="0">
      <pane xSplit="1" ySplit="3" topLeftCell="B4" activePane="bottomRight" state="frozen"/>
      <selection activeCell="AG3" sqref="AG3"/>
      <selection pane="topRight" activeCell="AG3" sqref="AG3"/>
      <selection pane="bottomLeft" activeCell="AG3" sqref="AG3"/>
      <selection pane="bottomRight" activeCell="B4" sqref="B4"/>
    </sheetView>
  </sheetViews>
  <sheetFormatPr baseColWidth="10" defaultRowHeight="15" x14ac:dyDescent="0.25"/>
  <cols>
    <col min="1" max="1" width="34.7109375" customWidth="1"/>
    <col min="2" max="13" width="8.28515625" customWidth="1"/>
    <col min="14" max="14" width="10.140625" customWidth="1"/>
    <col min="15" max="27" width="8.28515625" customWidth="1"/>
    <col min="28" max="28" width="9.7109375" customWidth="1"/>
    <col min="29" max="32" width="8.28515625" customWidth="1"/>
    <col min="33" max="33" width="11.140625" customWidth="1"/>
    <col min="34" max="34" width="12.42578125" customWidth="1"/>
  </cols>
  <sheetData>
    <row r="1" spans="1:33" ht="21.75" thickBot="1" x14ac:dyDescent="0.3">
      <c r="A1" s="400"/>
      <c r="B1" s="401"/>
      <c r="C1" s="401"/>
      <c r="D1" s="401"/>
      <c r="E1" s="401"/>
      <c r="F1" s="401"/>
      <c r="G1" s="401"/>
      <c r="H1" s="401"/>
      <c r="I1" s="401"/>
      <c r="J1" s="401"/>
      <c r="K1" s="401"/>
      <c r="L1" s="401"/>
      <c r="M1" s="401"/>
      <c r="N1" s="401"/>
      <c r="O1" s="401"/>
      <c r="P1" s="401"/>
      <c r="Q1" s="401"/>
      <c r="R1" s="401"/>
      <c r="S1" s="401"/>
      <c r="T1" s="401"/>
      <c r="U1" s="401"/>
      <c r="V1" s="401"/>
      <c r="W1" s="401"/>
      <c r="X1" s="401"/>
      <c r="Y1" s="401"/>
      <c r="Z1" s="401"/>
      <c r="AA1" s="401"/>
      <c r="AB1" s="401"/>
      <c r="AC1" s="401"/>
      <c r="AD1" s="401"/>
      <c r="AE1" s="401"/>
      <c r="AF1" s="401"/>
      <c r="AG1" s="402"/>
    </row>
    <row r="2" spans="1:33" ht="21.75" thickBot="1" x14ac:dyDescent="0.3">
      <c r="A2" s="298" t="s">
        <v>152</v>
      </c>
      <c r="B2" s="246">
        <v>1</v>
      </c>
      <c r="C2" s="215">
        <f t="shared" ref="C2:AA2" si="0">+B2+1</f>
        <v>2</v>
      </c>
      <c r="D2" s="215">
        <f t="shared" si="0"/>
        <v>3</v>
      </c>
      <c r="E2" s="215">
        <f t="shared" si="0"/>
        <v>4</v>
      </c>
      <c r="F2" s="215">
        <f t="shared" si="0"/>
        <v>5</v>
      </c>
      <c r="G2" s="215">
        <f t="shared" si="0"/>
        <v>6</v>
      </c>
      <c r="H2" s="215">
        <f t="shared" si="0"/>
        <v>7</v>
      </c>
      <c r="I2" s="215">
        <f t="shared" si="0"/>
        <v>8</v>
      </c>
      <c r="J2" s="215">
        <f t="shared" si="0"/>
        <v>9</v>
      </c>
      <c r="K2" s="215">
        <f t="shared" si="0"/>
        <v>10</v>
      </c>
      <c r="L2" s="215">
        <f t="shared" si="0"/>
        <v>11</v>
      </c>
      <c r="M2" s="215">
        <f t="shared" si="0"/>
        <v>12</v>
      </c>
      <c r="N2" s="215">
        <f t="shared" si="0"/>
        <v>13</v>
      </c>
      <c r="O2" s="215">
        <f t="shared" si="0"/>
        <v>14</v>
      </c>
      <c r="P2" s="215">
        <f t="shared" si="0"/>
        <v>15</v>
      </c>
      <c r="Q2" s="215">
        <f t="shared" si="0"/>
        <v>16</v>
      </c>
      <c r="R2" s="215">
        <f t="shared" si="0"/>
        <v>17</v>
      </c>
      <c r="S2" s="215">
        <f t="shared" si="0"/>
        <v>18</v>
      </c>
      <c r="T2" s="215">
        <f t="shared" si="0"/>
        <v>19</v>
      </c>
      <c r="U2" s="215">
        <f t="shared" si="0"/>
        <v>20</v>
      </c>
      <c r="V2" s="215">
        <f t="shared" si="0"/>
        <v>21</v>
      </c>
      <c r="W2" s="215">
        <f t="shared" si="0"/>
        <v>22</v>
      </c>
      <c r="X2" s="215">
        <f t="shared" si="0"/>
        <v>23</v>
      </c>
      <c r="Y2" s="215">
        <f t="shared" si="0"/>
        <v>24</v>
      </c>
      <c r="Z2" s="215">
        <f t="shared" si="0"/>
        <v>25</v>
      </c>
      <c r="AA2" s="215">
        <f t="shared" si="0"/>
        <v>26</v>
      </c>
      <c r="AB2" s="215">
        <v>27</v>
      </c>
      <c r="AC2" s="215">
        <f>+AB2+1</f>
        <v>28</v>
      </c>
      <c r="AD2" s="215">
        <v>29</v>
      </c>
      <c r="AE2" s="215">
        <v>30</v>
      </c>
      <c r="AF2" s="215">
        <v>31</v>
      </c>
      <c r="AG2" s="214" t="s">
        <v>148</v>
      </c>
    </row>
    <row r="3" spans="1:33" ht="19.5" thickBot="1" x14ac:dyDescent="0.3">
      <c r="A3" s="299" t="s">
        <v>147</v>
      </c>
      <c r="B3" s="247">
        <f t="shared" ref="B3:AF3" si="1">SUM(B4:B27)</f>
        <v>191</v>
      </c>
      <c r="C3" s="120">
        <f t="shared" si="1"/>
        <v>173</v>
      </c>
      <c r="D3" s="120">
        <f t="shared" si="1"/>
        <v>152</v>
      </c>
      <c r="E3" s="120">
        <f t="shared" si="1"/>
        <v>142</v>
      </c>
      <c r="F3" s="120">
        <f t="shared" si="1"/>
        <v>143</v>
      </c>
      <c r="G3" s="120">
        <f t="shared" si="1"/>
        <v>148</v>
      </c>
      <c r="H3" s="120">
        <f t="shared" si="1"/>
        <v>161</v>
      </c>
      <c r="I3" s="120">
        <f t="shared" si="1"/>
        <v>215</v>
      </c>
      <c r="J3" s="120">
        <f t="shared" si="1"/>
        <v>173</v>
      </c>
      <c r="K3" s="120">
        <f t="shared" si="1"/>
        <v>178</v>
      </c>
      <c r="L3" s="120">
        <f t="shared" si="1"/>
        <v>166</v>
      </c>
      <c r="M3" s="120">
        <f t="shared" si="1"/>
        <v>176</v>
      </c>
      <c r="N3" s="120">
        <f t="shared" si="1"/>
        <v>152</v>
      </c>
      <c r="O3" s="120">
        <f t="shared" si="1"/>
        <v>135</v>
      </c>
      <c r="P3" s="120">
        <f t="shared" si="1"/>
        <v>173</v>
      </c>
      <c r="Q3" s="120">
        <f t="shared" si="1"/>
        <v>170</v>
      </c>
      <c r="R3" s="120">
        <f t="shared" si="1"/>
        <v>148</v>
      </c>
      <c r="S3" s="120">
        <f t="shared" si="1"/>
        <v>174</v>
      </c>
      <c r="T3" s="120">
        <f t="shared" si="1"/>
        <v>143</v>
      </c>
      <c r="U3" s="120">
        <f t="shared" si="1"/>
        <v>149</v>
      </c>
      <c r="V3" s="120">
        <f t="shared" si="1"/>
        <v>130</v>
      </c>
      <c r="W3" s="120">
        <f t="shared" si="1"/>
        <v>145</v>
      </c>
      <c r="X3" s="120">
        <f t="shared" si="1"/>
        <v>147</v>
      </c>
      <c r="Y3" s="120">
        <f t="shared" si="1"/>
        <v>132</v>
      </c>
      <c r="Z3" s="120">
        <f t="shared" si="1"/>
        <v>132</v>
      </c>
      <c r="AA3" s="120">
        <f t="shared" si="1"/>
        <v>130</v>
      </c>
      <c r="AB3" s="120">
        <f t="shared" si="1"/>
        <v>144</v>
      </c>
      <c r="AC3" s="120">
        <f t="shared" si="1"/>
        <v>127</v>
      </c>
      <c r="AD3" s="120">
        <f t="shared" si="1"/>
        <v>0</v>
      </c>
      <c r="AE3" s="120">
        <f t="shared" si="1"/>
        <v>0</v>
      </c>
      <c r="AF3" s="120">
        <f t="shared" si="1"/>
        <v>0</v>
      </c>
      <c r="AG3" s="118">
        <f t="shared" ref="AG3:AG66" si="2">SUM(B3:AF3)</f>
        <v>4349</v>
      </c>
    </row>
    <row r="4" spans="1:33" ht="18.75" x14ac:dyDescent="0.25">
      <c r="A4" s="300" t="s">
        <v>144</v>
      </c>
      <c r="B4" s="248">
        <v>7</v>
      </c>
      <c r="C4" s="199">
        <v>8</v>
      </c>
      <c r="D4" s="199">
        <v>8</v>
      </c>
      <c r="E4" s="199">
        <v>8</v>
      </c>
      <c r="F4" s="199">
        <v>5</v>
      </c>
      <c r="G4" s="199">
        <v>3</v>
      </c>
      <c r="H4" s="199">
        <v>2</v>
      </c>
      <c r="I4" s="199">
        <v>6</v>
      </c>
      <c r="J4" s="199">
        <v>5</v>
      </c>
      <c r="K4" s="199">
        <v>6</v>
      </c>
      <c r="L4" s="199">
        <v>6</v>
      </c>
      <c r="M4" s="199">
        <v>8</v>
      </c>
      <c r="N4" s="199">
        <v>5</v>
      </c>
      <c r="O4" s="199">
        <v>3</v>
      </c>
      <c r="P4" s="199">
        <v>3</v>
      </c>
      <c r="Q4" s="199">
        <v>4</v>
      </c>
      <c r="R4" s="199">
        <v>9</v>
      </c>
      <c r="S4" s="199">
        <v>1</v>
      </c>
      <c r="T4" s="199">
        <v>5</v>
      </c>
      <c r="U4" s="199">
        <v>2</v>
      </c>
      <c r="V4" s="199">
        <v>6</v>
      </c>
      <c r="W4" s="199">
        <v>5</v>
      </c>
      <c r="X4" s="199">
        <v>2</v>
      </c>
      <c r="Y4" s="199">
        <v>5</v>
      </c>
      <c r="Z4" s="199">
        <v>3</v>
      </c>
      <c r="AA4" s="199">
        <v>2</v>
      </c>
      <c r="AB4" s="199">
        <v>2</v>
      </c>
      <c r="AC4" s="199"/>
      <c r="AD4" s="199"/>
      <c r="AE4" s="199"/>
      <c r="AF4" s="206"/>
      <c r="AG4" s="134">
        <f t="shared" si="2"/>
        <v>129</v>
      </c>
    </row>
    <row r="5" spans="1:33" ht="18.75" x14ac:dyDescent="0.25">
      <c r="A5" s="301" t="s">
        <v>143</v>
      </c>
      <c r="B5" s="249">
        <v>12</v>
      </c>
      <c r="C5" s="162">
        <v>9</v>
      </c>
      <c r="D5" s="162">
        <v>2</v>
      </c>
      <c r="E5" s="162">
        <v>12</v>
      </c>
      <c r="F5" s="162">
        <v>9</v>
      </c>
      <c r="G5" s="162">
        <v>4</v>
      </c>
      <c r="H5" s="162">
        <v>4</v>
      </c>
      <c r="I5" s="162">
        <v>18</v>
      </c>
      <c r="J5" s="162">
        <v>11</v>
      </c>
      <c r="K5" s="162">
        <v>3</v>
      </c>
      <c r="L5" s="162">
        <v>8</v>
      </c>
      <c r="M5" s="162">
        <v>5</v>
      </c>
      <c r="N5" s="162">
        <v>6</v>
      </c>
      <c r="O5" s="162">
        <v>3</v>
      </c>
      <c r="P5" s="162">
        <v>5</v>
      </c>
      <c r="Q5" s="162">
        <v>7</v>
      </c>
      <c r="R5" s="162">
        <v>6</v>
      </c>
      <c r="S5" s="162">
        <v>7</v>
      </c>
      <c r="T5" s="162">
        <v>2</v>
      </c>
      <c r="U5" s="162">
        <v>9</v>
      </c>
      <c r="V5" s="162">
        <v>3</v>
      </c>
      <c r="W5" s="162">
        <v>5</v>
      </c>
      <c r="X5" s="162">
        <v>3</v>
      </c>
      <c r="Y5" s="162">
        <v>5</v>
      </c>
      <c r="Z5" s="162">
        <v>8</v>
      </c>
      <c r="AA5" s="162">
        <v>8</v>
      </c>
      <c r="AB5" s="162">
        <v>3</v>
      </c>
      <c r="AC5" s="162">
        <v>4</v>
      </c>
      <c r="AD5" s="162"/>
      <c r="AE5" s="162"/>
      <c r="AF5" s="161"/>
      <c r="AG5" s="64">
        <f t="shared" si="2"/>
        <v>181</v>
      </c>
    </row>
    <row r="6" spans="1:33" ht="18.75" x14ac:dyDescent="0.25">
      <c r="A6" s="301" t="s">
        <v>142</v>
      </c>
      <c r="B6" s="249">
        <v>10</v>
      </c>
      <c r="C6" s="162">
        <v>11</v>
      </c>
      <c r="D6" s="162">
        <v>8</v>
      </c>
      <c r="E6" s="162">
        <v>6</v>
      </c>
      <c r="F6" s="162">
        <v>5</v>
      </c>
      <c r="G6" s="162">
        <v>13</v>
      </c>
      <c r="H6" s="162">
        <v>9</v>
      </c>
      <c r="I6" s="162">
        <v>12</v>
      </c>
      <c r="J6" s="162">
        <v>6</v>
      </c>
      <c r="K6" s="162">
        <v>8</v>
      </c>
      <c r="L6" s="162">
        <v>8</v>
      </c>
      <c r="M6" s="162">
        <v>10</v>
      </c>
      <c r="N6" s="162">
        <v>10</v>
      </c>
      <c r="O6" s="162">
        <v>4</v>
      </c>
      <c r="P6" s="162">
        <v>4</v>
      </c>
      <c r="Q6" s="162">
        <v>9</v>
      </c>
      <c r="R6" s="162">
        <v>8</v>
      </c>
      <c r="S6" s="162">
        <v>10</v>
      </c>
      <c r="T6" s="162">
        <v>4</v>
      </c>
      <c r="U6" s="162">
        <v>7</v>
      </c>
      <c r="V6" s="162">
        <v>3</v>
      </c>
      <c r="W6" s="162">
        <v>5</v>
      </c>
      <c r="X6" s="162">
        <v>2</v>
      </c>
      <c r="Y6" s="162">
        <v>2</v>
      </c>
      <c r="Z6" s="162">
        <v>4</v>
      </c>
      <c r="AA6" s="162">
        <v>5</v>
      </c>
      <c r="AB6" s="162">
        <v>6</v>
      </c>
      <c r="AC6" s="162">
        <v>7</v>
      </c>
      <c r="AD6" s="162"/>
      <c r="AE6" s="162"/>
      <c r="AF6" s="161"/>
      <c r="AG6" s="64">
        <f t="shared" si="2"/>
        <v>196</v>
      </c>
    </row>
    <row r="7" spans="1:33" ht="18.75" x14ac:dyDescent="0.25">
      <c r="A7" s="301" t="s">
        <v>141</v>
      </c>
      <c r="B7" s="249">
        <v>8</v>
      </c>
      <c r="C7" s="162">
        <v>1</v>
      </c>
      <c r="D7" s="162">
        <v>5</v>
      </c>
      <c r="E7" s="162">
        <v>7</v>
      </c>
      <c r="F7" s="162">
        <v>4</v>
      </c>
      <c r="G7" s="162">
        <v>9</v>
      </c>
      <c r="H7" s="162">
        <v>10</v>
      </c>
      <c r="I7" s="162">
        <v>12</v>
      </c>
      <c r="J7" s="162">
        <v>8</v>
      </c>
      <c r="K7" s="162">
        <v>12</v>
      </c>
      <c r="L7" s="162">
        <v>6</v>
      </c>
      <c r="M7" s="162">
        <v>19</v>
      </c>
      <c r="N7" s="162">
        <v>8</v>
      </c>
      <c r="O7" s="162">
        <v>7</v>
      </c>
      <c r="P7" s="162">
        <v>11</v>
      </c>
      <c r="Q7" s="162">
        <v>6</v>
      </c>
      <c r="R7" s="162">
        <v>8</v>
      </c>
      <c r="S7" s="162">
        <v>11</v>
      </c>
      <c r="T7" s="162">
        <v>6</v>
      </c>
      <c r="U7" s="162">
        <v>11</v>
      </c>
      <c r="V7" s="162">
        <v>15</v>
      </c>
      <c r="W7" s="162">
        <v>9</v>
      </c>
      <c r="X7" s="162">
        <v>10</v>
      </c>
      <c r="Y7" s="162">
        <v>4</v>
      </c>
      <c r="Z7" s="162">
        <v>4</v>
      </c>
      <c r="AA7" s="162">
        <v>2</v>
      </c>
      <c r="AB7" s="162">
        <v>8</v>
      </c>
      <c r="AC7" s="162">
        <v>5</v>
      </c>
      <c r="AD7" s="162"/>
      <c r="AE7" s="162"/>
      <c r="AF7" s="161"/>
      <c r="AG7" s="64">
        <f t="shared" si="2"/>
        <v>226</v>
      </c>
    </row>
    <row r="8" spans="1:33" ht="18.75" x14ac:dyDescent="0.25">
      <c r="A8" s="301" t="s">
        <v>140</v>
      </c>
      <c r="B8" s="249">
        <v>10</v>
      </c>
      <c r="C8" s="162">
        <v>15</v>
      </c>
      <c r="D8" s="162">
        <v>7</v>
      </c>
      <c r="E8" s="162">
        <v>10</v>
      </c>
      <c r="F8" s="162">
        <v>7</v>
      </c>
      <c r="G8" s="162">
        <v>6</v>
      </c>
      <c r="H8" s="162">
        <v>11</v>
      </c>
      <c r="I8" s="162">
        <v>16</v>
      </c>
      <c r="J8" s="162">
        <v>9</v>
      </c>
      <c r="K8" s="162">
        <v>11</v>
      </c>
      <c r="L8" s="162">
        <v>2</v>
      </c>
      <c r="M8" s="162">
        <v>8</v>
      </c>
      <c r="N8" s="162">
        <v>10</v>
      </c>
      <c r="O8" s="162">
        <v>5</v>
      </c>
      <c r="P8" s="162">
        <v>12</v>
      </c>
      <c r="Q8" s="162">
        <v>8</v>
      </c>
      <c r="R8" s="162">
        <v>8</v>
      </c>
      <c r="S8" s="162">
        <v>8</v>
      </c>
      <c r="T8" s="162">
        <v>4</v>
      </c>
      <c r="U8" s="162">
        <v>9</v>
      </c>
      <c r="V8" s="162">
        <v>7</v>
      </c>
      <c r="W8" s="162">
        <v>6</v>
      </c>
      <c r="X8" s="162">
        <v>4</v>
      </c>
      <c r="Y8" s="162">
        <v>9</v>
      </c>
      <c r="Z8" s="162">
        <v>4</v>
      </c>
      <c r="AA8" s="162">
        <v>8</v>
      </c>
      <c r="AB8" s="162">
        <v>11</v>
      </c>
      <c r="AC8" s="162">
        <v>15</v>
      </c>
      <c r="AD8" s="162"/>
      <c r="AE8" s="162"/>
      <c r="AF8" s="161"/>
      <c r="AG8" s="64">
        <f t="shared" si="2"/>
        <v>240</v>
      </c>
    </row>
    <row r="9" spans="1:33" ht="18.75" x14ac:dyDescent="0.25">
      <c r="A9" s="301" t="s">
        <v>139</v>
      </c>
      <c r="B9" s="249">
        <v>2</v>
      </c>
      <c r="C9" s="162">
        <v>3</v>
      </c>
      <c r="D9" s="162">
        <v>8</v>
      </c>
      <c r="E9" s="162">
        <v>6</v>
      </c>
      <c r="F9" s="162">
        <v>2</v>
      </c>
      <c r="G9" s="162">
        <v>11</v>
      </c>
      <c r="H9" s="162">
        <v>10</v>
      </c>
      <c r="I9" s="162">
        <v>9</v>
      </c>
      <c r="J9" s="162">
        <v>3</v>
      </c>
      <c r="K9" s="162">
        <v>6</v>
      </c>
      <c r="L9" s="162">
        <v>9</v>
      </c>
      <c r="M9" s="162">
        <v>5</v>
      </c>
      <c r="N9" s="162">
        <v>11</v>
      </c>
      <c r="O9" s="162">
        <v>9</v>
      </c>
      <c r="P9" s="162">
        <v>9</v>
      </c>
      <c r="Q9" s="162">
        <v>8</v>
      </c>
      <c r="R9" s="162">
        <v>1</v>
      </c>
      <c r="S9" s="162">
        <v>4</v>
      </c>
      <c r="T9" s="162">
        <v>2</v>
      </c>
      <c r="U9" s="162">
        <v>9</v>
      </c>
      <c r="V9" s="162">
        <v>16</v>
      </c>
      <c r="W9" s="162">
        <v>3</v>
      </c>
      <c r="X9" s="162">
        <v>4</v>
      </c>
      <c r="Y9" s="162">
        <v>3</v>
      </c>
      <c r="Z9" s="162">
        <v>5</v>
      </c>
      <c r="AA9" s="162">
        <v>4</v>
      </c>
      <c r="AB9" s="162">
        <v>7</v>
      </c>
      <c r="AC9" s="162">
        <v>9</v>
      </c>
      <c r="AD9" s="162"/>
      <c r="AE9" s="162"/>
      <c r="AF9" s="161"/>
      <c r="AG9" s="64">
        <f t="shared" si="2"/>
        <v>178</v>
      </c>
    </row>
    <row r="10" spans="1:33" ht="18.75" x14ac:dyDescent="0.25">
      <c r="A10" s="301" t="s">
        <v>138</v>
      </c>
      <c r="B10" s="249">
        <v>4</v>
      </c>
      <c r="C10" s="162">
        <v>9</v>
      </c>
      <c r="D10" s="162">
        <v>10</v>
      </c>
      <c r="E10" s="162">
        <v>8</v>
      </c>
      <c r="F10" s="162">
        <v>6</v>
      </c>
      <c r="G10" s="162">
        <v>9</v>
      </c>
      <c r="H10" s="162">
        <v>8</v>
      </c>
      <c r="I10" s="162">
        <v>7</v>
      </c>
      <c r="J10" s="162">
        <v>8</v>
      </c>
      <c r="K10" s="162">
        <v>8</v>
      </c>
      <c r="L10" s="162">
        <v>7</v>
      </c>
      <c r="M10" s="162">
        <v>5</v>
      </c>
      <c r="N10" s="162">
        <v>12</v>
      </c>
      <c r="O10" s="162">
        <v>14</v>
      </c>
      <c r="P10" s="162">
        <v>7</v>
      </c>
      <c r="Q10" s="162">
        <v>8</v>
      </c>
      <c r="R10" s="162">
        <v>4</v>
      </c>
      <c r="S10" s="162">
        <v>14</v>
      </c>
      <c r="T10" s="162">
        <v>7</v>
      </c>
      <c r="U10" s="162">
        <v>14</v>
      </c>
      <c r="V10" s="162">
        <v>7</v>
      </c>
      <c r="W10" s="162">
        <v>2</v>
      </c>
      <c r="X10" s="162">
        <v>6</v>
      </c>
      <c r="Y10" s="162">
        <v>10</v>
      </c>
      <c r="Z10" s="162">
        <v>2</v>
      </c>
      <c r="AA10" s="162">
        <v>5</v>
      </c>
      <c r="AB10" s="162">
        <v>4</v>
      </c>
      <c r="AC10" s="162">
        <v>7</v>
      </c>
      <c r="AD10" s="162"/>
      <c r="AE10" s="162"/>
      <c r="AF10" s="161"/>
      <c r="AG10" s="64">
        <f t="shared" si="2"/>
        <v>212</v>
      </c>
    </row>
    <row r="11" spans="1:33" ht="18.75" x14ac:dyDescent="0.25">
      <c r="A11" s="301" t="s">
        <v>137</v>
      </c>
      <c r="B11" s="249">
        <v>8</v>
      </c>
      <c r="C11" s="162">
        <v>6</v>
      </c>
      <c r="D11" s="162">
        <v>10</v>
      </c>
      <c r="E11" s="162">
        <v>4</v>
      </c>
      <c r="F11" s="162">
        <v>6</v>
      </c>
      <c r="G11" s="162">
        <v>12</v>
      </c>
      <c r="H11" s="162">
        <v>10</v>
      </c>
      <c r="I11" s="162">
        <v>12</v>
      </c>
      <c r="J11" s="162">
        <v>7</v>
      </c>
      <c r="K11" s="162">
        <v>7</v>
      </c>
      <c r="L11" s="162">
        <v>16</v>
      </c>
      <c r="M11" s="162">
        <v>9</v>
      </c>
      <c r="N11" s="162">
        <v>11</v>
      </c>
      <c r="O11" s="162">
        <v>8</v>
      </c>
      <c r="P11" s="162">
        <v>10</v>
      </c>
      <c r="Q11" s="162">
        <v>5</v>
      </c>
      <c r="R11" s="162">
        <v>3</v>
      </c>
      <c r="S11" s="162">
        <v>10</v>
      </c>
      <c r="T11" s="162">
        <v>8</v>
      </c>
      <c r="U11" s="162">
        <v>8</v>
      </c>
      <c r="V11" s="162">
        <v>1</v>
      </c>
      <c r="W11" s="162">
        <v>3</v>
      </c>
      <c r="X11" s="162">
        <v>11</v>
      </c>
      <c r="Y11" s="162">
        <v>3</v>
      </c>
      <c r="Z11" s="162">
        <v>12</v>
      </c>
      <c r="AA11" s="162">
        <v>2</v>
      </c>
      <c r="AB11" s="162">
        <v>9</v>
      </c>
      <c r="AC11" s="162">
        <v>7</v>
      </c>
      <c r="AD11" s="162"/>
      <c r="AE11" s="162"/>
      <c r="AF11" s="161"/>
      <c r="AG11" s="64">
        <f t="shared" si="2"/>
        <v>218</v>
      </c>
    </row>
    <row r="12" spans="1:33" ht="18.75" x14ac:dyDescent="0.25">
      <c r="A12" s="301" t="s">
        <v>136</v>
      </c>
      <c r="B12" s="249">
        <v>25</v>
      </c>
      <c r="C12" s="162">
        <v>14</v>
      </c>
      <c r="D12" s="162">
        <v>10</v>
      </c>
      <c r="E12" s="162">
        <v>8</v>
      </c>
      <c r="F12" s="162">
        <v>11</v>
      </c>
      <c r="G12" s="162">
        <v>16</v>
      </c>
      <c r="H12" s="162">
        <v>13</v>
      </c>
      <c r="I12" s="162">
        <v>22</v>
      </c>
      <c r="J12" s="162">
        <v>12</v>
      </c>
      <c r="K12" s="162">
        <v>12</v>
      </c>
      <c r="L12" s="162">
        <v>13</v>
      </c>
      <c r="M12" s="162">
        <v>17</v>
      </c>
      <c r="N12" s="162">
        <v>7</v>
      </c>
      <c r="O12" s="162">
        <v>11</v>
      </c>
      <c r="P12" s="162">
        <v>18</v>
      </c>
      <c r="Q12" s="162">
        <v>10</v>
      </c>
      <c r="R12" s="162">
        <v>23</v>
      </c>
      <c r="S12" s="162">
        <v>19</v>
      </c>
      <c r="T12" s="162">
        <v>1</v>
      </c>
      <c r="U12" s="162">
        <v>6</v>
      </c>
      <c r="V12" s="162">
        <v>6</v>
      </c>
      <c r="W12" s="162">
        <v>12</v>
      </c>
      <c r="X12" s="162">
        <v>16</v>
      </c>
      <c r="Y12" s="162">
        <v>6</v>
      </c>
      <c r="Z12" s="162">
        <v>12</v>
      </c>
      <c r="AA12" s="162">
        <v>6</v>
      </c>
      <c r="AB12" s="162">
        <v>9</v>
      </c>
      <c r="AC12" s="162">
        <v>7</v>
      </c>
      <c r="AD12" s="162"/>
      <c r="AE12" s="162"/>
      <c r="AF12" s="161"/>
      <c r="AG12" s="64">
        <f t="shared" si="2"/>
        <v>342</v>
      </c>
    </row>
    <row r="13" spans="1:33" ht="18.75" x14ac:dyDescent="0.25">
      <c r="A13" s="301" t="s">
        <v>135</v>
      </c>
      <c r="B13" s="249">
        <v>20</v>
      </c>
      <c r="C13" s="162">
        <v>27</v>
      </c>
      <c r="D13" s="162">
        <v>22</v>
      </c>
      <c r="E13" s="162">
        <v>13</v>
      </c>
      <c r="F13" s="162">
        <v>21</v>
      </c>
      <c r="G13" s="162">
        <v>6</v>
      </c>
      <c r="H13" s="162">
        <v>12</v>
      </c>
      <c r="I13" s="162">
        <v>23</v>
      </c>
      <c r="J13" s="162">
        <v>18</v>
      </c>
      <c r="K13" s="162">
        <v>23</v>
      </c>
      <c r="L13" s="162">
        <v>25</v>
      </c>
      <c r="M13" s="162">
        <v>29</v>
      </c>
      <c r="N13" s="162">
        <v>12</v>
      </c>
      <c r="O13" s="162">
        <v>8</v>
      </c>
      <c r="P13" s="162">
        <v>25</v>
      </c>
      <c r="Q13" s="162">
        <v>26</v>
      </c>
      <c r="R13" s="162">
        <v>21</v>
      </c>
      <c r="S13" s="162">
        <v>23</v>
      </c>
      <c r="T13" s="162">
        <v>35</v>
      </c>
      <c r="U13" s="162">
        <v>9</v>
      </c>
      <c r="V13" s="162">
        <v>7</v>
      </c>
      <c r="W13" s="162">
        <v>23</v>
      </c>
      <c r="X13" s="162">
        <v>13</v>
      </c>
      <c r="Y13" s="162">
        <v>20</v>
      </c>
      <c r="Z13" s="162">
        <v>15</v>
      </c>
      <c r="AA13" s="162">
        <v>17</v>
      </c>
      <c r="AB13" s="162">
        <v>9</v>
      </c>
      <c r="AC13" s="162">
        <v>9</v>
      </c>
      <c r="AD13" s="162"/>
      <c r="AE13" s="162"/>
      <c r="AF13" s="161"/>
      <c r="AG13" s="64">
        <f t="shared" si="2"/>
        <v>511</v>
      </c>
    </row>
    <row r="14" spans="1:33" ht="18.75" x14ac:dyDescent="0.25">
      <c r="A14" s="301" t="s">
        <v>134</v>
      </c>
      <c r="B14" s="249">
        <v>20</v>
      </c>
      <c r="C14" s="162">
        <v>20</v>
      </c>
      <c r="D14" s="162">
        <v>8</v>
      </c>
      <c r="E14" s="162">
        <v>13</v>
      </c>
      <c r="F14" s="162">
        <v>17</v>
      </c>
      <c r="G14" s="162">
        <v>7</v>
      </c>
      <c r="H14" s="162">
        <v>14</v>
      </c>
      <c r="I14" s="162">
        <v>12</v>
      </c>
      <c r="J14" s="162">
        <v>15</v>
      </c>
      <c r="K14" s="162">
        <v>17</v>
      </c>
      <c r="L14" s="162">
        <v>20</v>
      </c>
      <c r="M14" s="162">
        <v>20</v>
      </c>
      <c r="N14" s="162">
        <v>8</v>
      </c>
      <c r="O14" s="162">
        <v>8</v>
      </c>
      <c r="P14" s="162">
        <v>14</v>
      </c>
      <c r="Q14" s="162">
        <v>16</v>
      </c>
      <c r="R14" s="162">
        <v>7</v>
      </c>
      <c r="S14" s="162">
        <v>11</v>
      </c>
      <c r="T14" s="162">
        <v>18</v>
      </c>
      <c r="U14" s="162">
        <v>12</v>
      </c>
      <c r="V14" s="162">
        <v>5</v>
      </c>
      <c r="W14" s="162">
        <v>14</v>
      </c>
      <c r="X14" s="162">
        <v>15</v>
      </c>
      <c r="Y14" s="162">
        <v>10</v>
      </c>
      <c r="Z14" s="162">
        <v>8</v>
      </c>
      <c r="AA14" s="162">
        <v>12</v>
      </c>
      <c r="AB14" s="162">
        <v>13</v>
      </c>
      <c r="AC14" s="162">
        <v>4</v>
      </c>
      <c r="AD14" s="162"/>
      <c r="AE14" s="162"/>
      <c r="AF14" s="161"/>
      <c r="AG14" s="64">
        <f t="shared" si="2"/>
        <v>358</v>
      </c>
    </row>
    <row r="15" spans="1:33" ht="18.75" x14ac:dyDescent="0.25">
      <c r="A15" s="301" t="s">
        <v>133</v>
      </c>
      <c r="B15" s="249">
        <v>9</v>
      </c>
      <c r="C15" s="162">
        <v>9</v>
      </c>
      <c r="D15" s="162">
        <v>6</v>
      </c>
      <c r="E15" s="162">
        <v>16</v>
      </c>
      <c r="F15" s="162">
        <v>11</v>
      </c>
      <c r="G15" s="162">
        <v>9</v>
      </c>
      <c r="H15" s="162">
        <v>4</v>
      </c>
      <c r="I15" s="162">
        <v>13</v>
      </c>
      <c r="J15" s="162">
        <v>14</v>
      </c>
      <c r="K15" s="162">
        <v>21</v>
      </c>
      <c r="L15" s="162">
        <v>11</v>
      </c>
      <c r="M15" s="162">
        <v>11</v>
      </c>
      <c r="N15" s="162">
        <v>8</v>
      </c>
      <c r="O15" s="162">
        <v>10</v>
      </c>
      <c r="P15" s="162">
        <v>13</v>
      </c>
      <c r="Q15" s="162">
        <v>10</v>
      </c>
      <c r="R15" s="162">
        <v>10</v>
      </c>
      <c r="S15" s="162">
        <v>14</v>
      </c>
      <c r="T15" s="162">
        <v>4</v>
      </c>
      <c r="U15" s="162">
        <v>7</v>
      </c>
      <c r="V15" s="162">
        <v>15</v>
      </c>
      <c r="W15" s="162">
        <v>13</v>
      </c>
      <c r="X15" s="162">
        <v>17</v>
      </c>
      <c r="Y15" s="162">
        <v>8</v>
      </c>
      <c r="Z15" s="162">
        <v>10</v>
      </c>
      <c r="AA15" s="162">
        <v>15</v>
      </c>
      <c r="AB15" s="162">
        <v>11</v>
      </c>
      <c r="AC15" s="162">
        <v>9</v>
      </c>
      <c r="AD15" s="162"/>
      <c r="AE15" s="162"/>
      <c r="AF15" s="161"/>
      <c r="AG15" s="64">
        <f t="shared" si="2"/>
        <v>308</v>
      </c>
    </row>
    <row r="16" spans="1:33" ht="18.75" x14ac:dyDescent="0.25">
      <c r="A16" s="301" t="s">
        <v>132</v>
      </c>
      <c r="B16" s="249">
        <v>12</v>
      </c>
      <c r="C16" s="162">
        <v>8</v>
      </c>
      <c r="D16" s="162">
        <v>4</v>
      </c>
      <c r="E16" s="162">
        <v>7</v>
      </c>
      <c r="F16" s="162">
        <v>8</v>
      </c>
      <c r="G16" s="162">
        <v>4</v>
      </c>
      <c r="H16" s="162">
        <v>6</v>
      </c>
      <c r="I16" s="162">
        <v>11</v>
      </c>
      <c r="J16" s="162">
        <v>15</v>
      </c>
      <c r="K16" s="162">
        <v>15</v>
      </c>
      <c r="L16" s="162">
        <v>8</v>
      </c>
      <c r="M16" s="162">
        <v>7</v>
      </c>
      <c r="N16" s="162">
        <v>12</v>
      </c>
      <c r="O16" s="162">
        <v>8</v>
      </c>
      <c r="P16" s="162">
        <v>9</v>
      </c>
      <c r="Q16" s="162">
        <v>16</v>
      </c>
      <c r="R16" s="162">
        <v>10</v>
      </c>
      <c r="S16" s="162">
        <v>7</v>
      </c>
      <c r="T16" s="162">
        <v>12</v>
      </c>
      <c r="U16" s="162">
        <v>7</v>
      </c>
      <c r="V16" s="162">
        <v>12</v>
      </c>
      <c r="W16" s="162">
        <v>14</v>
      </c>
      <c r="X16" s="162">
        <v>4</v>
      </c>
      <c r="Y16" s="162">
        <v>9</v>
      </c>
      <c r="Z16" s="162">
        <v>10</v>
      </c>
      <c r="AA16" s="162">
        <v>11</v>
      </c>
      <c r="AB16" s="162">
        <v>8</v>
      </c>
      <c r="AC16" s="162">
        <v>5</v>
      </c>
      <c r="AD16" s="162"/>
      <c r="AE16" s="162"/>
      <c r="AF16" s="161"/>
      <c r="AG16" s="64">
        <f t="shared" si="2"/>
        <v>259</v>
      </c>
    </row>
    <row r="17" spans="1:33" ht="18.75" x14ac:dyDescent="0.25">
      <c r="A17" s="301" t="s">
        <v>131</v>
      </c>
      <c r="B17" s="249">
        <v>15</v>
      </c>
      <c r="C17" s="162">
        <v>14</v>
      </c>
      <c r="D17" s="162">
        <v>9</v>
      </c>
      <c r="E17" s="162">
        <v>8</v>
      </c>
      <c r="F17" s="162">
        <v>7</v>
      </c>
      <c r="G17" s="162">
        <v>20</v>
      </c>
      <c r="H17" s="162">
        <v>12</v>
      </c>
      <c r="I17" s="162">
        <v>12</v>
      </c>
      <c r="J17" s="162">
        <v>12</v>
      </c>
      <c r="K17" s="162">
        <v>10</v>
      </c>
      <c r="L17" s="162">
        <v>7</v>
      </c>
      <c r="M17" s="162">
        <v>9</v>
      </c>
      <c r="N17" s="162">
        <v>10</v>
      </c>
      <c r="O17" s="162">
        <v>7</v>
      </c>
      <c r="P17" s="162">
        <v>9</v>
      </c>
      <c r="Q17" s="162">
        <v>7</v>
      </c>
      <c r="R17" s="162">
        <v>8</v>
      </c>
      <c r="S17" s="162">
        <v>8</v>
      </c>
      <c r="T17" s="162">
        <v>15</v>
      </c>
      <c r="U17" s="162">
        <v>17</v>
      </c>
      <c r="V17" s="162">
        <v>11</v>
      </c>
      <c r="W17" s="162">
        <v>10</v>
      </c>
      <c r="X17" s="162">
        <v>15</v>
      </c>
      <c r="Y17" s="162">
        <v>10</v>
      </c>
      <c r="Z17" s="162">
        <v>10</v>
      </c>
      <c r="AA17" s="162">
        <v>8</v>
      </c>
      <c r="AB17" s="162">
        <v>8</v>
      </c>
      <c r="AC17" s="162">
        <v>9</v>
      </c>
      <c r="AD17" s="162"/>
      <c r="AE17" s="162"/>
      <c r="AF17" s="161"/>
      <c r="AG17" s="64">
        <f t="shared" si="2"/>
        <v>297</v>
      </c>
    </row>
    <row r="18" spans="1:33" ht="18.75" x14ac:dyDescent="0.25">
      <c r="A18" s="301" t="s">
        <v>130</v>
      </c>
      <c r="B18" s="249">
        <v>9</v>
      </c>
      <c r="C18" s="162">
        <v>6</v>
      </c>
      <c r="D18" s="162">
        <v>14</v>
      </c>
      <c r="E18" s="162">
        <v>10</v>
      </c>
      <c r="F18" s="162">
        <v>7</v>
      </c>
      <c r="G18" s="162">
        <v>6</v>
      </c>
      <c r="H18" s="162">
        <v>13</v>
      </c>
      <c r="I18" s="162">
        <v>8</v>
      </c>
      <c r="J18" s="162">
        <v>11</v>
      </c>
      <c r="K18" s="162">
        <v>7</v>
      </c>
      <c r="L18" s="162">
        <v>3</v>
      </c>
      <c r="M18" s="162">
        <v>7</v>
      </c>
      <c r="N18" s="162">
        <v>8</v>
      </c>
      <c r="O18" s="162">
        <v>7</v>
      </c>
      <c r="P18" s="162">
        <v>11</v>
      </c>
      <c r="Q18" s="162">
        <v>9</v>
      </c>
      <c r="R18" s="162">
        <v>10</v>
      </c>
      <c r="S18" s="162">
        <v>9</v>
      </c>
      <c r="T18" s="162">
        <v>5</v>
      </c>
      <c r="U18" s="162">
        <v>5</v>
      </c>
      <c r="V18" s="162">
        <v>7</v>
      </c>
      <c r="W18" s="162">
        <v>7</v>
      </c>
      <c r="X18" s="162">
        <v>5</v>
      </c>
      <c r="Y18" s="162">
        <v>12</v>
      </c>
      <c r="Z18" s="162">
        <v>12</v>
      </c>
      <c r="AA18" s="162">
        <v>7</v>
      </c>
      <c r="AB18" s="162">
        <v>12</v>
      </c>
      <c r="AC18" s="162">
        <v>14</v>
      </c>
      <c r="AD18" s="162"/>
      <c r="AE18" s="162"/>
      <c r="AF18" s="161"/>
      <c r="AG18" s="64">
        <f t="shared" si="2"/>
        <v>241</v>
      </c>
    </row>
    <row r="19" spans="1:33" ht="18.75" x14ac:dyDescent="0.25">
      <c r="A19" s="301" t="s">
        <v>129</v>
      </c>
      <c r="B19" s="249">
        <v>8</v>
      </c>
      <c r="C19" s="162">
        <v>6</v>
      </c>
      <c r="D19" s="162">
        <v>5</v>
      </c>
      <c r="E19" s="162">
        <v>6</v>
      </c>
      <c r="F19" s="162">
        <v>5</v>
      </c>
      <c r="G19" s="162">
        <v>4</v>
      </c>
      <c r="H19" s="162">
        <v>10</v>
      </c>
      <c r="I19" s="162">
        <v>6</v>
      </c>
      <c r="J19" s="162">
        <v>8</v>
      </c>
      <c r="K19" s="162">
        <v>6</v>
      </c>
      <c r="L19" s="162">
        <v>3</v>
      </c>
      <c r="M19" s="162"/>
      <c r="N19" s="162">
        <v>5</v>
      </c>
      <c r="O19" s="162">
        <v>6</v>
      </c>
      <c r="P19" s="162">
        <v>5</v>
      </c>
      <c r="Q19" s="162">
        <v>9</v>
      </c>
      <c r="R19" s="162">
        <v>1</v>
      </c>
      <c r="S19" s="162">
        <v>6</v>
      </c>
      <c r="T19" s="162">
        <v>4</v>
      </c>
      <c r="U19" s="162">
        <v>5</v>
      </c>
      <c r="V19" s="162">
        <v>3</v>
      </c>
      <c r="W19" s="162">
        <v>4</v>
      </c>
      <c r="X19" s="162">
        <v>7</v>
      </c>
      <c r="Y19" s="162">
        <v>4</v>
      </c>
      <c r="Z19" s="162">
        <v>4</v>
      </c>
      <c r="AA19" s="162">
        <v>6</v>
      </c>
      <c r="AB19" s="162">
        <v>5</v>
      </c>
      <c r="AC19" s="162">
        <v>5</v>
      </c>
      <c r="AD19" s="162"/>
      <c r="AE19" s="162"/>
      <c r="AF19" s="161"/>
      <c r="AG19" s="64">
        <f t="shared" si="2"/>
        <v>146</v>
      </c>
    </row>
    <row r="20" spans="1:33" ht="18.75" x14ac:dyDescent="0.25">
      <c r="A20" s="301" t="s">
        <v>128</v>
      </c>
      <c r="B20" s="249"/>
      <c r="C20" s="162">
        <v>1</v>
      </c>
      <c r="D20" s="162">
        <v>7</v>
      </c>
      <c r="E20" s="162"/>
      <c r="F20" s="162">
        <v>1</v>
      </c>
      <c r="G20" s="162">
        <v>2</v>
      </c>
      <c r="H20" s="162">
        <v>4</v>
      </c>
      <c r="I20" s="162">
        <v>5</v>
      </c>
      <c r="J20" s="162">
        <v>3</v>
      </c>
      <c r="K20" s="162">
        <v>4</v>
      </c>
      <c r="L20" s="162">
        <v>5</v>
      </c>
      <c r="M20" s="162">
        <v>2</v>
      </c>
      <c r="N20" s="162"/>
      <c r="O20" s="162">
        <v>4</v>
      </c>
      <c r="P20" s="162">
        <v>4</v>
      </c>
      <c r="Q20" s="162">
        <v>1</v>
      </c>
      <c r="R20" s="162">
        <v>5</v>
      </c>
      <c r="S20" s="162">
        <v>6</v>
      </c>
      <c r="T20" s="162">
        <v>2</v>
      </c>
      <c r="U20" s="162">
        <v>4</v>
      </c>
      <c r="V20" s="162">
        <v>2</v>
      </c>
      <c r="W20" s="162">
        <v>4</v>
      </c>
      <c r="X20" s="162">
        <v>5</v>
      </c>
      <c r="Y20" s="162">
        <v>4</v>
      </c>
      <c r="Z20" s="162">
        <v>3</v>
      </c>
      <c r="AA20" s="162">
        <v>4</v>
      </c>
      <c r="AB20" s="162">
        <v>7</v>
      </c>
      <c r="AC20" s="162">
        <v>3</v>
      </c>
      <c r="AD20" s="162"/>
      <c r="AE20" s="162"/>
      <c r="AF20" s="161"/>
      <c r="AG20" s="64">
        <f t="shared" si="2"/>
        <v>92</v>
      </c>
    </row>
    <row r="21" spans="1:33" ht="18.75" x14ac:dyDescent="0.25">
      <c r="A21" s="301" t="s">
        <v>127</v>
      </c>
      <c r="B21" s="249">
        <v>5</v>
      </c>
      <c r="C21" s="162">
        <v>0</v>
      </c>
      <c r="D21" s="162">
        <v>2</v>
      </c>
      <c r="E21" s="162"/>
      <c r="F21" s="162">
        <v>3</v>
      </c>
      <c r="G21" s="162">
        <v>2</v>
      </c>
      <c r="H21" s="162">
        <v>3</v>
      </c>
      <c r="I21" s="162">
        <v>1</v>
      </c>
      <c r="J21" s="162">
        <v>2</v>
      </c>
      <c r="K21" s="162">
        <v>1</v>
      </c>
      <c r="L21" s="162"/>
      <c r="M21" s="162"/>
      <c r="N21" s="162">
        <v>3</v>
      </c>
      <c r="O21" s="162">
        <v>5</v>
      </c>
      <c r="P21" s="162">
        <v>2</v>
      </c>
      <c r="Q21" s="162"/>
      <c r="R21" s="162">
        <v>2</v>
      </c>
      <c r="S21" s="162">
        <v>1</v>
      </c>
      <c r="T21" s="162"/>
      <c r="U21" s="162">
        <v>3</v>
      </c>
      <c r="V21" s="162"/>
      <c r="W21" s="162">
        <v>1</v>
      </c>
      <c r="X21" s="162">
        <v>1</v>
      </c>
      <c r="Y21" s="162">
        <v>1</v>
      </c>
      <c r="Z21" s="162">
        <v>2</v>
      </c>
      <c r="AA21" s="162">
        <v>3</v>
      </c>
      <c r="AB21" s="162">
        <v>6</v>
      </c>
      <c r="AC21" s="162"/>
      <c r="AD21" s="162"/>
      <c r="AE21" s="162"/>
      <c r="AF21" s="161"/>
      <c r="AG21" s="64">
        <f t="shared" si="2"/>
        <v>49</v>
      </c>
    </row>
    <row r="22" spans="1:33" ht="18.75" x14ac:dyDescent="0.25">
      <c r="A22" s="301" t="s">
        <v>126</v>
      </c>
      <c r="B22" s="249">
        <v>3</v>
      </c>
      <c r="C22" s="162">
        <v>2</v>
      </c>
      <c r="D22" s="162"/>
      <c r="E22" s="162"/>
      <c r="F22" s="162">
        <v>3</v>
      </c>
      <c r="G22" s="162">
        <v>1</v>
      </c>
      <c r="H22" s="162">
        <v>2</v>
      </c>
      <c r="I22" s="162">
        <v>6</v>
      </c>
      <c r="J22" s="162">
        <v>1</v>
      </c>
      <c r="K22" s="162"/>
      <c r="L22" s="162">
        <v>2</v>
      </c>
      <c r="M22" s="162"/>
      <c r="N22" s="162">
        <v>1</v>
      </c>
      <c r="O22" s="162">
        <v>3</v>
      </c>
      <c r="P22" s="162">
        <v>1</v>
      </c>
      <c r="Q22" s="162">
        <v>2</v>
      </c>
      <c r="R22" s="162">
        <v>2</v>
      </c>
      <c r="S22" s="162"/>
      <c r="T22" s="162">
        <v>1</v>
      </c>
      <c r="U22" s="162">
        <v>1</v>
      </c>
      <c r="V22" s="162"/>
      <c r="W22" s="162">
        <v>1</v>
      </c>
      <c r="X22" s="162">
        <v>2</v>
      </c>
      <c r="Y22" s="162">
        <v>5</v>
      </c>
      <c r="Z22" s="162">
        <v>1</v>
      </c>
      <c r="AA22" s="162"/>
      <c r="AB22" s="162"/>
      <c r="AC22" s="162">
        <v>4</v>
      </c>
      <c r="AD22" s="162"/>
      <c r="AE22" s="162"/>
      <c r="AF22" s="161"/>
      <c r="AG22" s="64">
        <f t="shared" si="2"/>
        <v>44</v>
      </c>
    </row>
    <row r="23" spans="1:33" ht="18.75" x14ac:dyDescent="0.25">
      <c r="A23" s="301" t="s">
        <v>125</v>
      </c>
      <c r="B23" s="249">
        <v>2</v>
      </c>
      <c r="C23" s="162">
        <v>0</v>
      </c>
      <c r="D23" s="162">
        <v>1</v>
      </c>
      <c r="E23" s="162"/>
      <c r="F23" s="162">
        <v>1</v>
      </c>
      <c r="G23" s="162">
        <v>1</v>
      </c>
      <c r="H23" s="162">
        <v>1</v>
      </c>
      <c r="I23" s="162"/>
      <c r="J23" s="162">
        <v>1</v>
      </c>
      <c r="K23" s="162"/>
      <c r="L23" s="162">
        <v>2</v>
      </c>
      <c r="M23" s="162">
        <v>1</v>
      </c>
      <c r="N23" s="162">
        <v>2</v>
      </c>
      <c r="O23" s="162">
        <v>2</v>
      </c>
      <c r="P23" s="162">
        <v>1</v>
      </c>
      <c r="Q23" s="162">
        <v>1</v>
      </c>
      <c r="R23" s="162">
        <v>2</v>
      </c>
      <c r="S23" s="162"/>
      <c r="T23" s="162">
        <v>1</v>
      </c>
      <c r="U23" s="162">
        <v>1</v>
      </c>
      <c r="V23" s="162">
        <v>1</v>
      </c>
      <c r="W23" s="162">
        <v>1</v>
      </c>
      <c r="X23" s="162">
        <v>4</v>
      </c>
      <c r="Y23" s="162"/>
      <c r="Z23" s="162"/>
      <c r="AA23" s="162">
        <v>1</v>
      </c>
      <c r="AB23" s="162">
        <v>3</v>
      </c>
      <c r="AC23" s="162">
        <v>1</v>
      </c>
      <c r="AD23" s="162"/>
      <c r="AE23" s="162"/>
      <c r="AF23" s="161"/>
      <c r="AG23" s="64">
        <f t="shared" si="2"/>
        <v>31</v>
      </c>
    </row>
    <row r="24" spans="1:33" ht="18.75" x14ac:dyDescent="0.25">
      <c r="A24" s="301" t="s">
        <v>124</v>
      </c>
      <c r="B24" s="249">
        <v>1</v>
      </c>
      <c r="C24" s="162">
        <v>1</v>
      </c>
      <c r="D24" s="162"/>
      <c r="E24" s="162"/>
      <c r="F24" s="162"/>
      <c r="G24" s="162">
        <v>2</v>
      </c>
      <c r="H24" s="162"/>
      <c r="I24" s="162">
        <v>1</v>
      </c>
      <c r="J24" s="162">
        <v>1</v>
      </c>
      <c r="K24" s="162"/>
      <c r="L24" s="162">
        <v>1</v>
      </c>
      <c r="M24" s="162">
        <v>1</v>
      </c>
      <c r="N24" s="162">
        <v>1</v>
      </c>
      <c r="O24" s="162">
        <v>2</v>
      </c>
      <c r="P24" s="162"/>
      <c r="Q24" s="162">
        <v>1</v>
      </c>
      <c r="R24" s="162"/>
      <c r="S24" s="162">
        <v>3</v>
      </c>
      <c r="T24" s="162">
        <v>5</v>
      </c>
      <c r="U24" s="162">
        <v>2</v>
      </c>
      <c r="V24" s="162">
        <v>2</v>
      </c>
      <c r="W24" s="162"/>
      <c r="X24" s="162"/>
      <c r="Y24" s="162"/>
      <c r="Z24" s="162"/>
      <c r="AA24" s="162"/>
      <c r="AB24" s="162">
        <v>2</v>
      </c>
      <c r="AC24" s="162">
        <v>2</v>
      </c>
      <c r="AD24" s="162"/>
      <c r="AE24" s="162"/>
      <c r="AF24" s="161"/>
      <c r="AG24" s="64">
        <f t="shared" si="2"/>
        <v>28</v>
      </c>
    </row>
    <row r="25" spans="1:33" ht="18.75" x14ac:dyDescent="0.25">
      <c r="A25" s="301" t="s">
        <v>123</v>
      </c>
      <c r="B25" s="249"/>
      <c r="C25" s="162">
        <v>0</v>
      </c>
      <c r="D25" s="162">
        <v>1</v>
      </c>
      <c r="E25" s="162"/>
      <c r="F25" s="162">
        <v>1</v>
      </c>
      <c r="G25" s="162"/>
      <c r="H25" s="162">
        <v>2</v>
      </c>
      <c r="I25" s="162"/>
      <c r="J25" s="162"/>
      <c r="K25" s="162"/>
      <c r="L25" s="162">
        <v>2</v>
      </c>
      <c r="M25" s="162">
        <v>1</v>
      </c>
      <c r="N25" s="162"/>
      <c r="O25" s="162">
        <v>1</v>
      </c>
      <c r="P25" s="162"/>
      <c r="Q25" s="162">
        <v>1</v>
      </c>
      <c r="R25" s="162"/>
      <c r="S25" s="162"/>
      <c r="T25" s="162"/>
      <c r="U25" s="162"/>
      <c r="V25" s="162">
        <v>1</v>
      </c>
      <c r="W25" s="162"/>
      <c r="X25" s="162"/>
      <c r="Y25" s="162"/>
      <c r="Z25" s="162">
        <v>2</v>
      </c>
      <c r="AA25" s="162">
        <v>3</v>
      </c>
      <c r="AB25" s="162"/>
      <c r="AC25" s="162"/>
      <c r="AD25" s="162"/>
      <c r="AE25" s="162"/>
      <c r="AF25" s="161"/>
      <c r="AG25" s="64">
        <f t="shared" si="2"/>
        <v>15</v>
      </c>
    </row>
    <row r="26" spans="1:33" ht="18.75" x14ac:dyDescent="0.25">
      <c r="A26" s="301" t="s">
        <v>122</v>
      </c>
      <c r="B26" s="249">
        <v>1</v>
      </c>
      <c r="C26" s="162">
        <v>2</v>
      </c>
      <c r="D26" s="162">
        <v>4</v>
      </c>
      <c r="E26" s="162"/>
      <c r="F26" s="162">
        <v>3</v>
      </c>
      <c r="G26" s="162">
        <v>1</v>
      </c>
      <c r="H26" s="162">
        <v>1</v>
      </c>
      <c r="I26" s="162">
        <v>1</v>
      </c>
      <c r="J26" s="162">
        <v>2</v>
      </c>
      <c r="K26" s="162"/>
      <c r="L26" s="162"/>
      <c r="M26" s="162">
        <v>1</v>
      </c>
      <c r="N26" s="162">
        <v>1</v>
      </c>
      <c r="O26" s="162"/>
      <c r="P26" s="162"/>
      <c r="Q26" s="162">
        <v>4</v>
      </c>
      <c r="R26" s="162"/>
      <c r="S26" s="162">
        <v>2</v>
      </c>
      <c r="T26" s="162">
        <v>1</v>
      </c>
      <c r="U26" s="162">
        <v>1</v>
      </c>
      <c r="V26" s="162"/>
      <c r="W26" s="162">
        <v>2</v>
      </c>
      <c r="X26" s="162"/>
      <c r="Y26" s="162">
        <v>2</v>
      </c>
      <c r="Z26" s="162">
        <v>1</v>
      </c>
      <c r="AA26" s="162"/>
      <c r="AB26" s="162"/>
      <c r="AC26" s="162"/>
      <c r="AD26" s="162"/>
      <c r="AE26" s="162"/>
      <c r="AF26" s="161"/>
      <c r="AG26" s="64">
        <f t="shared" si="2"/>
        <v>30</v>
      </c>
    </row>
    <row r="27" spans="1:33" ht="19.5" thickBot="1" x14ac:dyDescent="0.3">
      <c r="A27" s="302" t="s">
        <v>121</v>
      </c>
      <c r="B27" s="250"/>
      <c r="C27" s="212">
        <v>1</v>
      </c>
      <c r="D27" s="212">
        <v>1</v>
      </c>
      <c r="E27" s="212"/>
      <c r="F27" s="212"/>
      <c r="G27" s="212"/>
      <c r="H27" s="212"/>
      <c r="I27" s="212">
        <v>2</v>
      </c>
      <c r="J27" s="212">
        <v>1</v>
      </c>
      <c r="K27" s="212">
        <v>1</v>
      </c>
      <c r="L27" s="212">
        <v>2</v>
      </c>
      <c r="M27" s="212">
        <v>1</v>
      </c>
      <c r="N27" s="212">
        <v>1</v>
      </c>
      <c r="O27" s="212"/>
      <c r="P27" s="212"/>
      <c r="Q27" s="212">
        <v>2</v>
      </c>
      <c r="R27" s="212"/>
      <c r="S27" s="212"/>
      <c r="T27" s="212">
        <v>1</v>
      </c>
      <c r="U27" s="212"/>
      <c r="V27" s="212"/>
      <c r="W27" s="212">
        <v>1</v>
      </c>
      <c r="X27" s="212">
        <v>1</v>
      </c>
      <c r="Y27" s="212"/>
      <c r="Z27" s="212"/>
      <c r="AA27" s="212">
        <v>1</v>
      </c>
      <c r="AB27" s="212">
        <v>1</v>
      </c>
      <c r="AC27" s="212">
        <v>1</v>
      </c>
      <c r="AD27" s="212"/>
      <c r="AE27" s="212"/>
      <c r="AF27" s="211"/>
      <c r="AG27" s="64">
        <f t="shared" si="2"/>
        <v>18</v>
      </c>
    </row>
    <row r="28" spans="1:33" ht="18.75" x14ac:dyDescent="0.25">
      <c r="A28" s="303" t="s">
        <v>146</v>
      </c>
      <c r="B28" s="251">
        <f t="shared" ref="B28:AF28" si="3">SUM(B29:B52)</f>
        <v>179</v>
      </c>
      <c r="C28" s="209">
        <f t="shared" si="3"/>
        <v>162</v>
      </c>
      <c r="D28" s="209">
        <f t="shared" si="3"/>
        <v>147</v>
      </c>
      <c r="E28" s="209">
        <f t="shared" si="3"/>
        <v>135</v>
      </c>
      <c r="F28" s="209">
        <f t="shared" si="3"/>
        <v>139</v>
      </c>
      <c r="G28" s="209">
        <f t="shared" si="3"/>
        <v>144</v>
      </c>
      <c r="H28" s="209">
        <f t="shared" si="3"/>
        <v>148</v>
      </c>
      <c r="I28" s="209">
        <f t="shared" si="3"/>
        <v>204</v>
      </c>
      <c r="J28" s="209">
        <f t="shared" si="3"/>
        <v>164</v>
      </c>
      <c r="K28" s="209">
        <f t="shared" si="3"/>
        <v>160</v>
      </c>
      <c r="L28" s="209">
        <f t="shared" si="3"/>
        <v>160</v>
      </c>
      <c r="M28" s="209">
        <f t="shared" si="3"/>
        <v>171</v>
      </c>
      <c r="N28" s="209">
        <f t="shared" si="3"/>
        <v>147</v>
      </c>
      <c r="O28" s="209">
        <f t="shared" si="3"/>
        <v>133</v>
      </c>
      <c r="P28" s="209">
        <f t="shared" si="3"/>
        <v>164</v>
      </c>
      <c r="Q28" s="209">
        <f t="shared" si="3"/>
        <v>165</v>
      </c>
      <c r="R28" s="209">
        <f t="shared" si="3"/>
        <v>139</v>
      </c>
      <c r="S28" s="209">
        <f t="shared" si="3"/>
        <v>164</v>
      </c>
      <c r="T28" s="209">
        <f t="shared" si="3"/>
        <v>133</v>
      </c>
      <c r="U28" s="209">
        <f t="shared" si="3"/>
        <v>146</v>
      </c>
      <c r="V28" s="209">
        <f t="shared" si="3"/>
        <v>128</v>
      </c>
      <c r="W28" s="209">
        <f t="shared" si="3"/>
        <v>143</v>
      </c>
      <c r="X28" s="209">
        <f t="shared" si="3"/>
        <v>140</v>
      </c>
      <c r="Y28" s="209">
        <f t="shared" si="3"/>
        <v>128</v>
      </c>
      <c r="Z28" s="209">
        <f t="shared" si="3"/>
        <v>124</v>
      </c>
      <c r="AA28" s="209">
        <f t="shared" si="3"/>
        <v>127</v>
      </c>
      <c r="AB28" s="209">
        <f t="shared" si="3"/>
        <v>139</v>
      </c>
      <c r="AC28" s="209">
        <f t="shared" si="3"/>
        <v>126</v>
      </c>
      <c r="AD28" s="209">
        <f t="shared" si="3"/>
        <v>0</v>
      </c>
      <c r="AE28" s="209">
        <f t="shared" si="3"/>
        <v>0</v>
      </c>
      <c r="AF28" s="209">
        <f t="shared" si="3"/>
        <v>0</v>
      </c>
      <c r="AG28" s="164">
        <f t="shared" si="2"/>
        <v>4159</v>
      </c>
    </row>
    <row r="29" spans="1:33" ht="18.75" x14ac:dyDescent="0.25">
      <c r="A29" s="301" t="s">
        <v>144</v>
      </c>
      <c r="B29" s="249">
        <v>3</v>
      </c>
      <c r="C29" s="162">
        <v>3</v>
      </c>
      <c r="D29" s="162">
        <v>8</v>
      </c>
      <c r="E29" s="162">
        <v>3</v>
      </c>
      <c r="F29" s="162">
        <v>5</v>
      </c>
      <c r="G29" s="162">
        <v>1</v>
      </c>
      <c r="H29" s="162">
        <v>1</v>
      </c>
      <c r="I29" s="162">
        <v>5</v>
      </c>
      <c r="J29" s="162">
        <v>1</v>
      </c>
      <c r="K29" s="162">
        <v>3</v>
      </c>
      <c r="L29" s="162">
        <v>4</v>
      </c>
      <c r="M29" s="162">
        <v>4</v>
      </c>
      <c r="N29" s="162"/>
      <c r="O29" s="162">
        <v>2</v>
      </c>
      <c r="P29" s="162">
        <v>1</v>
      </c>
      <c r="Q29" s="162">
        <v>3</v>
      </c>
      <c r="R29" s="162">
        <v>4</v>
      </c>
      <c r="S29" s="162">
        <v>1</v>
      </c>
      <c r="T29" s="162">
        <v>1</v>
      </c>
      <c r="U29" s="162">
        <v>1</v>
      </c>
      <c r="V29" s="162">
        <v>2</v>
      </c>
      <c r="W29" s="162">
        <v>2</v>
      </c>
      <c r="X29" s="162">
        <v>1</v>
      </c>
      <c r="Y29" s="162">
        <v>5</v>
      </c>
      <c r="Z29" s="162"/>
      <c r="AA29" s="162">
        <v>1</v>
      </c>
      <c r="AB29" s="162">
        <v>1</v>
      </c>
      <c r="AC29" s="162"/>
      <c r="AD29" s="162"/>
      <c r="AE29" s="162"/>
      <c r="AF29" s="161"/>
      <c r="AG29" s="64">
        <f t="shared" si="2"/>
        <v>66</v>
      </c>
    </row>
    <row r="30" spans="1:33" ht="18.75" x14ac:dyDescent="0.25">
      <c r="A30" s="301" t="s">
        <v>143</v>
      </c>
      <c r="B30" s="249">
        <v>7</v>
      </c>
      <c r="C30" s="162">
        <v>7</v>
      </c>
      <c r="D30" s="162">
        <v>3</v>
      </c>
      <c r="E30" s="162">
        <v>8</v>
      </c>
      <c r="F30" s="162">
        <v>9</v>
      </c>
      <c r="G30" s="162">
        <v>2</v>
      </c>
      <c r="H30" s="162">
        <v>2</v>
      </c>
      <c r="I30" s="162">
        <v>9</v>
      </c>
      <c r="J30" s="162">
        <v>8</v>
      </c>
      <c r="K30" s="162">
        <v>3</v>
      </c>
      <c r="L30" s="162">
        <v>9</v>
      </c>
      <c r="M30" s="162">
        <v>7</v>
      </c>
      <c r="N30" s="162">
        <v>5</v>
      </c>
      <c r="O30" s="162">
        <v>2</v>
      </c>
      <c r="P30" s="162">
        <v>5</v>
      </c>
      <c r="Q30" s="162">
        <v>7</v>
      </c>
      <c r="R30" s="162">
        <v>7</v>
      </c>
      <c r="S30" s="162">
        <v>2</v>
      </c>
      <c r="T30" s="162">
        <v>5</v>
      </c>
      <c r="U30" s="162">
        <v>2</v>
      </c>
      <c r="V30" s="162">
        <v>4</v>
      </c>
      <c r="W30" s="162">
        <v>5</v>
      </c>
      <c r="X30" s="162">
        <v>5</v>
      </c>
      <c r="Y30" s="162">
        <v>4</v>
      </c>
      <c r="Z30" s="162">
        <v>6</v>
      </c>
      <c r="AA30" s="162">
        <v>3</v>
      </c>
      <c r="AB30" s="162">
        <v>2</v>
      </c>
      <c r="AC30" s="162">
        <v>4</v>
      </c>
      <c r="AD30" s="162"/>
      <c r="AE30" s="162"/>
      <c r="AF30" s="161"/>
      <c r="AG30" s="64">
        <f t="shared" si="2"/>
        <v>142</v>
      </c>
    </row>
    <row r="31" spans="1:33" ht="18.75" x14ac:dyDescent="0.25">
      <c r="A31" s="301" t="s">
        <v>142</v>
      </c>
      <c r="B31" s="249">
        <v>8</v>
      </c>
      <c r="C31" s="162">
        <v>5</v>
      </c>
      <c r="D31" s="162">
        <v>2</v>
      </c>
      <c r="E31" s="162">
        <v>9</v>
      </c>
      <c r="F31" s="162">
        <v>5</v>
      </c>
      <c r="G31" s="162">
        <v>10</v>
      </c>
      <c r="H31" s="162">
        <v>4</v>
      </c>
      <c r="I31" s="162">
        <v>9</v>
      </c>
      <c r="J31" s="162">
        <v>9</v>
      </c>
      <c r="K31" s="162">
        <v>9</v>
      </c>
      <c r="L31" s="162">
        <v>8</v>
      </c>
      <c r="M31" s="162">
        <v>8</v>
      </c>
      <c r="N31" s="162">
        <v>9</v>
      </c>
      <c r="O31" s="162">
        <v>5</v>
      </c>
      <c r="P31" s="162">
        <v>3</v>
      </c>
      <c r="Q31" s="162">
        <v>8</v>
      </c>
      <c r="R31" s="162">
        <v>7</v>
      </c>
      <c r="S31" s="162">
        <v>10</v>
      </c>
      <c r="T31" s="162">
        <v>4</v>
      </c>
      <c r="U31" s="162">
        <v>11</v>
      </c>
      <c r="V31" s="162">
        <v>5</v>
      </c>
      <c r="W31" s="162">
        <v>6</v>
      </c>
      <c r="X31" s="162"/>
      <c r="Y31" s="162">
        <v>3</v>
      </c>
      <c r="Z31" s="162">
        <v>3</v>
      </c>
      <c r="AA31" s="162">
        <v>9</v>
      </c>
      <c r="AB31" s="162">
        <v>5</v>
      </c>
      <c r="AC31" s="162">
        <v>5</v>
      </c>
      <c r="AD31" s="162"/>
      <c r="AE31" s="162"/>
      <c r="AF31" s="161"/>
      <c r="AG31" s="64">
        <f t="shared" si="2"/>
        <v>179</v>
      </c>
    </row>
    <row r="32" spans="1:33" ht="18.75" x14ac:dyDescent="0.25">
      <c r="A32" s="301" t="s">
        <v>141</v>
      </c>
      <c r="B32" s="249">
        <v>6</v>
      </c>
      <c r="C32" s="162">
        <v>7</v>
      </c>
      <c r="D32" s="162">
        <v>7</v>
      </c>
      <c r="E32" s="162">
        <v>5</v>
      </c>
      <c r="F32" s="162">
        <v>3</v>
      </c>
      <c r="G32" s="162">
        <v>6</v>
      </c>
      <c r="H32" s="162">
        <v>8</v>
      </c>
      <c r="I32" s="162">
        <v>18</v>
      </c>
      <c r="J32" s="162">
        <v>6</v>
      </c>
      <c r="K32" s="162">
        <v>9</v>
      </c>
      <c r="L32" s="162">
        <v>5</v>
      </c>
      <c r="M32" s="162">
        <v>12</v>
      </c>
      <c r="N32" s="162">
        <v>10</v>
      </c>
      <c r="O32" s="162">
        <v>4</v>
      </c>
      <c r="P32" s="162">
        <v>9</v>
      </c>
      <c r="Q32" s="162">
        <v>6</v>
      </c>
      <c r="R32" s="162">
        <v>10</v>
      </c>
      <c r="S32" s="162">
        <v>5</v>
      </c>
      <c r="T32" s="162">
        <v>4</v>
      </c>
      <c r="U32" s="162">
        <v>8</v>
      </c>
      <c r="V32" s="162">
        <v>4</v>
      </c>
      <c r="W32" s="162">
        <v>7</v>
      </c>
      <c r="X32" s="162">
        <v>4</v>
      </c>
      <c r="Y32" s="162">
        <v>2</v>
      </c>
      <c r="Z32" s="162">
        <v>5</v>
      </c>
      <c r="AA32" s="162">
        <v>3</v>
      </c>
      <c r="AB32" s="162">
        <v>4</v>
      </c>
      <c r="AC32" s="162">
        <v>5</v>
      </c>
      <c r="AD32" s="162"/>
      <c r="AE32" s="162"/>
      <c r="AF32" s="161"/>
      <c r="AG32" s="64">
        <f t="shared" si="2"/>
        <v>182</v>
      </c>
    </row>
    <row r="33" spans="1:33" ht="18.75" x14ac:dyDescent="0.25">
      <c r="A33" s="301" t="s">
        <v>140</v>
      </c>
      <c r="B33" s="249">
        <v>8</v>
      </c>
      <c r="C33" s="162">
        <v>5</v>
      </c>
      <c r="D33" s="162">
        <v>6</v>
      </c>
      <c r="E33" s="162">
        <v>11</v>
      </c>
      <c r="F33" s="162">
        <v>6</v>
      </c>
      <c r="G33" s="162">
        <v>8</v>
      </c>
      <c r="H33" s="162">
        <v>8</v>
      </c>
      <c r="I33" s="162">
        <v>14</v>
      </c>
      <c r="J33" s="162">
        <v>10</v>
      </c>
      <c r="K33" s="162">
        <v>11</v>
      </c>
      <c r="L33" s="162">
        <v>4</v>
      </c>
      <c r="M33" s="162">
        <v>13</v>
      </c>
      <c r="N33" s="162">
        <v>7</v>
      </c>
      <c r="O33" s="162">
        <v>7</v>
      </c>
      <c r="P33" s="162">
        <v>10</v>
      </c>
      <c r="Q33" s="162">
        <v>9</v>
      </c>
      <c r="R33" s="162">
        <v>6</v>
      </c>
      <c r="S33" s="162">
        <v>14</v>
      </c>
      <c r="T33" s="162">
        <v>6</v>
      </c>
      <c r="U33" s="162">
        <v>6</v>
      </c>
      <c r="V33" s="162">
        <v>9</v>
      </c>
      <c r="W33" s="162">
        <v>5</v>
      </c>
      <c r="X33" s="162">
        <v>8</v>
      </c>
      <c r="Y33" s="162">
        <v>10</v>
      </c>
      <c r="Z33" s="162">
        <v>3</v>
      </c>
      <c r="AA33" s="162">
        <v>5</v>
      </c>
      <c r="AB33" s="162">
        <v>7</v>
      </c>
      <c r="AC33" s="162">
        <v>5</v>
      </c>
      <c r="AD33" s="162"/>
      <c r="AE33" s="162"/>
      <c r="AF33" s="161"/>
      <c r="AG33" s="64">
        <f t="shared" si="2"/>
        <v>221</v>
      </c>
    </row>
    <row r="34" spans="1:33" ht="18.75" x14ac:dyDescent="0.25">
      <c r="A34" s="301" t="s">
        <v>139</v>
      </c>
      <c r="B34" s="249">
        <v>3</v>
      </c>
      <c r="C34" s="162">
        <v>5</v>
      </c>
      <c r="D34" s="162">
        <v>10</v>
      </c>
      <c r="E34" s="162">
        <v>7</v>
      </c>
      <c r="F34" s="162">
        <v>1</v>
      </c>
      <c r="G34" s="162">
        <v>11</v>
      </c>
      <c r="H34" s="162">
        <v>9</v>
      </c>
      <c r="I34" s="162">
        <v>12</v>
      </c>
      <c r="J34" s="162">
        <v>4</v>
      </c>
      <c r="K34" s="162">
        <v>7</v>
      </c>
      <c r="L34" s="162">
        <v>7</v>
      </c>
      <c r="M34" s="162">
        <v>5</v>
      </c>
      <c r="N34" s="162">
        <v>8</v>
      </c>
      <c r="O34" s="162">
        <v>6</v>
      </c>
      <c r="P34" s="162">
        <v>8</v>
      </c>
      <c r="Q34" s="162">
        <v>7</v>
      </c>
      <c r="R34" s="162">
        <v>2</v>
      </c>
      <c r="S34" s="162">
        <v>7</v>
      </c>
      <c r="T34" s="162">
        <v>1</v>
      </c>
      <c r="U34" s="162">
        <v>6</v>
      </c>
      <c r="V34" s="162">
        <v>13</v>
      </c>
      <c r="W34" s="162">
        <v>8</v>
      </c>
      <c r="X34" s="162">
        <v>4</v>
      </c>
      <c r="Y34" s="162">
        <v>4</v>
      </c>
      <c r="Z34" s="162">
        <v>5</v>
      </c>
      <c r="AA34" s="162">
        <v>5</v>
      </c>
      <c r="AB34" s="162">
        <v>8</v>
      </c>
      <c r="AC34" s="162">
        <v>8</v>
      </c>
      <c r="AD34" s="162"/>
      <c r="AE34" s="162"/>
      <c r="AF34" s="161"/>
      <c r="AG34" s="64">
        <f t="shared" si="2"/>
        <v>181</v>
      </c>
    </row>
    <row r="35" spans="1:33" ht="18.75" x14ac:dyDescent="0.25">
      <c r="A35" s="301" t="s">
        <v>138</v>
      </c>
      <c r="B35" s="249">
        <v>7</v>
      </c>
      <c r="C35" s="162">
        <v>8</v>
      </c>
      <c r="D35" s="162">
        <v>3</v>
      </c>
      <c r="E35" s="162">
        <v>4</v>
      </c>
      <c r="F35" s="162">
        <v>6</v>
      </c>
      <c r="G35" s="162">
        <v>9</v>
      </c>
      <c r="H35" s="162">
        <v>9</v>
      </c>
      <c r="I35" s="162">
        <v>4</v>
      </c>
      <c r="J35" s="162">
        <v>5</v>
      </c>
      <c r="K35" s="162">
        <v>3</v>
      </c>
      <c r="L35" s="162">
        <v>5</v>
      </c>
      <c r="M35" s="162">
        <v>6</v>
      </c>
      <c r="N35" s="162">
        <v>10</v>
      </c>
      <c r="O35" s="162">
        <v>12</v>
      </c>
      <c r="P35" s="162">
        <v>12</v>
      </c>
      <c r="Q35" s="162">
        <v>3</v>
      </c>
      <c r="R35" s="162">
        <v>2</v>
      </c>
      <c r="S35" s="162">
        <v>8</v>
      </c>
      <c r="T35" s="162">
        <v>4</v>
      </c>
      <c r="U35" s="162">
        <v>10</v>
      </c>
      <c r="V35" s="162">
        <v>8</v>
      </c>
      <c r="W35" s="162">
        <v>1</v>
      </c>
      <c r="X35" s="162">
        <v>7</v>
      </c>
      <c r="Y35" s="162">
        <v>7</v>
      </c>
      <c r="Z35" s="162">
        <v>3</v>
      </c>
      <c r="AA35" s="162">
        <v>2</v>
      </c>
      <c r="AB35" s="162">
        <v>9</v>
      </c>
      <c r="AC35" s="162">
        <v>12</v>
      </c>
      <c r="AD35" s="162"/>
      <c r="AE35" s="162"/>
      <c r="AF35" s="161"/>
      <c r="AG35" s="64">
        <f t="shared" si="2"/>
        <v>179</v>
      </c>
    </row>
    <row r="36" spans="1:33" ht="18.75" x14ac:dyDescent="0.25">
      <c r="A36" s="301" t="s">
        <v>137</v>
      </c>
      <c r="B36" s="249">
        <v>7</v>
      </c>
      <c r="C36" s="162">
        <v>10</v>
      </c>
      <c r="D36" s="162">
        <v>14</v>
      </c>
      <c r="E36" s="162">
        <v>7</v>
      </c>
      <c r="F36" s="162">
        <v>6</v>
      </c>
      <c r="G36" s="162">
        <v>8</v>
      </c>
      <c r="H36" s="162">
        <v>7</v>
      </c>
      <c r="I36" s="162">
        <v>9</v>
      </c>
      <c r="J36" s="162">
        <v>8</v>
      </c>
      <c r="K36" s="162">
        <v>10</v>
      </c>
      <c r="L36" s="162">
        <v>12</v>
      </c>
      <c r="M36" s="162">
        <v>11</v>
      </c>
      <c r="N36" s="162">
        <v>13</v>
      </c>
      <c r="O36" s="162">
        <v>7</v>
      </c>
      <c r="P36" s="162">
        <v>7</v>
      </c>
      <c r="Q36" s="162">
        <v>9</v>
      </c>
      <c r="R36" s="162">
        <v>5</v>
      </c>
      <c r="S36" s="162">
        <v>9</v>
      </c>
      <c r="T36" s="162">
        <v>6</v>
      </c>
      <c r="U36" s="162">
        <v>11</v>
      </c>
      <c r="V36" s="162">
        <v>9</v>
      </c>
      <c r="W36" s="162">
        <v>3</v>
      </c>
      <c r="X36" s="162">
        <v>4</v>
      </c>
      <c r="Y36" s="162">
        <v>4</v>
      </c>
      <c r="Z36" s="162">
        <v>8</v>
      </c>
      <c r="AA36" s="162">
        <v>6</v>
      </c>
      <c r="AB36" s="162">
        <v>6</v>
      </c>
      <c r="AC36" s="162">
        <v>11</v>
      </c>
      <c r="AD36" s="162"/>
      <c r="AE36" s="162"/>
      <c r="AF36" s="161"/>
      <c r="AG36" s="64">
        <f t="shared" si="2"/>
        <v>227</v>
      </c>
    </row>
    <row r="37" spans="1:33" ht="18.75" x14ac:dyDescent="0.25">
      <c r="A37" s="301" t="s">
        <v>136</v>
      </c>
      <c r="B37" s="249">
        <v>10</v>
      </c>
      <c r="C37" s="162">
        <v>8</v>
      </c>
      <c r="D37" s="162">
        <v>8</v>
      </c>
      <c r="E37" s="162">
        <v>8</v>
      </c>
      <c r="F37" s="162">
        <v>11</v>
      </c>
      <c r="G37" s="162">
        <v>16</v>
      </c>
      <c r="H37" s="162">
        <v>4</v>
      </c>
      <c r="I37" s="162">
        <v>15</v>
      </c>
      <c r="J37" s="162">
        <v>7</v>
      </c>
      <c r="K37" s="162">
        <v>8</v>
      </c>
      <c r="L37" s="162">
        <v>10</v>
      </c>
      <c r="M37" s="162">
        <v>10</v>
      </c>
      <c r="N37" s="162">
        <v>12</v>
      </c>
      <c r="O37" s="162">
        <v>11</v>
      </c>
      <c r="P37" s="162">
        <v>13</v>
      </c>
      <c r="Q37" s="162">
        <v>6</v>
      </c>
      <c r="R37" s="162">
        <v>14</v>
      </c>
      <c r="S37" s="162">
        <v>6</v>
      </c>
      <c r="T37" s="162">
        <v>6</v>
      </c>
      <c r="U37" s="162">
        <v>10</v>
      </c>
      <c r="V37" s="162">
        <v>6</v>
      </c>
      <c r="W37" s="162">
        <v>6</v>
      </c>
      <c r="X37" s="162">
        <v>12</v>
      </c>
      <c r="Y37" s="162">
        <v>6</v>
      </c>
      <c r="Z37" s="162">
        <v>7</v>
      </c>
      <c r="AA37" s="162">
        <v>3</v>
      </c>
      <c r="AB37" s="162">
        <v>10</v>
      </c>
      <c r="AC37" s="162">
        <v>11</v>
      </c>
      <c r="AD37" s="162"/>
      <c r="AE37" s="162"/>
      <c r="AF37" s="161"/>
      <c r="AG37" s="64">
        <f t="shared" si="2"/>
        <v>254</v>
      </c>
    </row>
    <row r="38" spans="1:33" ht="18.75" x14ac:dyDescent="0.25">
      <c r="A38" s="301" t="s">
        <v>135</v>
      </c>
      <c r="B38" s="249">
        <v>10</v>
      </c>
      <c r="C38" s="162">
        <v>10</v>
      </c>
      <c r="D38" s="162">
        <v>8</v>
      </c>
      <c r="E38" s="162">
        <v>5</v>
      </c>
      <c r="F38" s="162">
        <v>21</v>
      </c>
      <c r="G38" s="162">
        <v>13</v>
      </c>
      <c r="H38" s="162">
        <v>13</v>
      </c>
      <c r="I38" s="162">
        <v>5</v>
      </c>
      <c r="J38" s="162">
        <v>7</v>
      </c>
      <c r="K38" s="162">
        <v>7</v>
      </c>
      <c r="L38" s="162">
        <v>11</v>
      </c>
      <c r="M38" s="162">
        <v>12</v>
      </c>
      <c r="N38" s="162">
        <v>11</v>
      </c>
      <c r="O38" s="162">
        <v>13</v>
      </c>
      <c r="P38" s="162">
        <v>4</v>
      </c>
      <c r="Q38" s="162">
        <v>9</v>
      </c>
      <c r="R38" s="162">
        <v>8</v>
      </c>
      <c r="S38" s="162">
        <v>6</v>
      </c>
      <c r="T38" s="162">
        <v>7</v>
      </c>
      <c r="U38" s="162">
        <v>12</v>
      </c>
      <c r="V38" s="162">
        <v>5</v>
      </c>
      <c r="W38" s="162">
        <v>7</v>
      </c>
      <c r="X38" s="162">
        <v>7</v>
      </c>
      <c r="Y38" s="162">
        <v>5</v>
      </c>
      <c r="Z38" s="162">
        <v>8</v>
      </c>
      <c r="AA38" s="162">
        <v>5</v>
      </c>
      <c r="AB38" s="162">
        <v>8</v>
      </c>
      <c r="AC38" s="162">
        <v>1</v>
      </c>
      <c r="AD38" s="162"/>
      <c r="AE38" s="162"/>
      <c r="AF38" s="161"/>
      <c r="AG38" s="64">
        <f t="shared" si="2"/>
        <v>238</v>
      </c>
    </row>
    <row r="39" spans="1:33" ht="18.75" x14ac:dyDescent="0.25">
      <c r="A39" s="301" t="s">
        <v>134</v>
      </c>
      <c r="B39" s="249">
        <v>17</v>
      </c>
      <c r="C39" s="162">
        <v>17</v>
      </c>
      <c r="D39" s="162">
        <v>16</v>
      </c>
      <c r="E39" s="162">
        <v>11</v>
      </c>
      <c r="F39" s="162">
        <v>17</v>
      </c>
      <c r="G39" s="162">
        <v>6</v>
      </c>
      <c r="H39" s="162">
        <v>7</v>
      </c>
      <c r="I39" s="162">
        <v>16</v>
      </c>
      <c r="J39" s="162">
        <v>13</v>
      </c>
      <c r="K39" s="162">
        <v>14</v>
      </c>
      <c r="L39" s="162">
        <v>17</v>
      </c>
      <c r="M39" s="162">
        <v>16</v>
      </c>
      <c r="N39" s="162">
        <v>8</v>
      </c>
      <c r="O39" s="162">
        <v>8</v>
      </c>
      <c r="P39" s="162">
        <v>11</v>
      </c>
      <c r="Q39" s="162">
        <v>21</v>
      </c>
      <c r="R39" s="162">
        <v>10</v>
      </c>
      <c r="S39" s="162">
        <v>18</v>
      </c>
      <c r="T39" s="162">
        <v>18</v>
      </c>
      <c r="U39" s="162">
        <v>13</v>
      </c>
      <c r="V39" s="162">
        <v>8</v>
      </c>
      <c r="W39" s="162">
        <v>16</v>
      </c>
      <c r="X39" s="162">
        <v>13</v>
      </c>
      <c r="Y39" s="162">
        <v>12</v>
      </c>
      <c r="Z39" s="162">
        <v>8</v>
      </c>
      <c r="AA39" s="162">
        <v>15</v>
      </c>
      <c r="AB39" s="162">
        <v>12</v>
      </c>
      <c r="AC39" s="162">
        <v>9</v>
      </c>
      <c r="AD39" s="162"/>
      <c r="AE39" s="162"/>
      <c r="AF39" s="161"/>
      <c r="AG39" s="64">
        <f t="shared" si="2"/>
        <v>367</v>
      </c>
    </row>
    <row r="40" spans="1:33" ht="18.75" x14ac:dyDescent="0.25">
      <c r="A40" s="301" t="s">
        <v>133</v>
      </c>
      <c r="B40" s="249">
        <v>26</v>
      </c>
      <c r="C40" s="162">
        <v>20</v>
      </c>
      <c r="D40" s="162">
        <v>10</v>
      </c>
      <c r="E40" s="162">
        <v>13</v>
      </c>
      <c r="F40" s="162">
        <v>11</v>
      </c>
      <c r="G40" s="162">
        <v>6</v>
      </c>
      <c r="H40" s="162">
        <v>14</v>
      </c>
      <c r="I40" s="162">
        <v>21</v>
      </c>
      <c r="J40" s="162">
        <v>17</v>
      </c>
      <c r="K40" s="162">
        <v>13</v>
      </c>
      <c r="L40" s="162">
        <v>14</v>
      </c>
      <c r="M40" s="162">
        <v>19</v>
      </c>
      <c r="N40" s="162">
        <v>9</v>
      </c>
      <c r="O40" s="162">
        <v>7</v>
      </c>
      <c r="P40" s="162">
        <v>13</v>
      </c>
      <c r="Q40" s="162">
        <v>15</v>
      </c>
      <c r="R40" s="162">
        <v>20</v>
      </c>
      <c r="S40" s="162">
        <v>20</v>
      </c>
      <c r="T40" s="162">
        <v>21</v>
      </c>
      <c r="U40" s="162">
        <v>9</v>
      </c>
      <c r="V40" s="162">
        <v>13</v>
      </c>
      <c r="W40" s="162">
        <v>17</v>
      </c>
      <c r="X40" s="162">
        <v>15</v>
      </c>
      <c r="Y40" s="162">
        <v>15</v>
      </c>
      <c r="Z40" s="162">
        <v>20</v>
      </c>
      <c r="AA40" s="162">
        <v>16</v>
      </c>
      <c r="AB40" s="162">
        <v>10</v>
      </c>
      <c r="AC40" s="162">
        <v>10</v>
      </c>
      <c r="AD40" s="162"/>
      <c r="AE40" s="162"/>
      <c r="AF40" s="161"/>
      <c r="AG40" s="64">
        <f t="shared" si="2"/>
        <v>414</v>
      </c>
    </row>
    <row r="41" spans="1:33" ht="18.75" x14ac:dyDescent="0.25">
      <c r="A41" s="301" t="s">
        <v>132</v>
      </c>
      <c r="B41" s="249">
        <v>17</v>
      </c>
      <c r="C41" s="162">
        <v>19</v>
      </c>
      <c r="D41" s="162">
        <v>8</v>
      </c>
      <c r="E41" s="162">
        <v>17</v>
      </c>
      <c r="F41" s="162">
        <v>7</v>
      </c>
      <c r="G41" s="162">
        <v>8</v>
      </c>
      <c r="H41" s="162">
        <v>12</v>
      </c>
      <c r="I41" s="162">
        <v>20</v>
      </c>
      <c r="J41" s="162">
        <v>23</v>
      </c>
      <c r="K41" s="162">
        <v>9</v>
      </c>
      <c r="L41" s="162">
        <v>13</v>
      </c>
      <c r="M41" s="162">
        <v>20</v>
      </c>
      <c r="N41" s="162">
        <v>7</v>
      </c>
      <c r="O41" s="162">
        <v>10</v>
      </c>
      <c r="P41" s="162">
        <v>19</v>
      </c>
      <c r="Q41" s="162">
        <v>20</v>
      </c>
      <c r="R41" s="162">
        <v>7</v>
      </c>
      <c r="S41" s="162">
        <v>25</v>
      </c>
      <c r="T41" s="162">
        <v>15</v>
      </c>
      <c r="U41" s="162">
        <v>8</v>
      </c>
      <c r="V41" s="162">
        <v>10</v>
      </c>
      <c r="W41" s="162">
        <v>12</v>
      </c>
      <c r="X41" s="162">
        <v>11</v>
      </c>
      <c r="Y41" s="162">
        <v>7</v>
      </c>
      <c r="Z41" s="162">
        <v>11</v>
      </c>
      <c r="AA41" s="162">
        <v>13</v>
      </c>
      <c r="AB41" s="162">
        <v>9</v>
      </c>
      <c r="AC41" s="162">
        <v>4</v>
      </c>
      <c r="AD41" s="162"/>
      <c r="AE41" s="162"/>
      <c r="AF41" s="161"/>
      <c r="AG41" s="64">
        <f t="shared" si="2"/>
        <v>361</v>
      </c>
    </row>
    <row r="42" spans="1:33" ht="18.75" x14ac:dyDescent="0.25">
      <c r="A42" s="301" t="s">
        <v>131</v>
      </c>
      <c r="B42" s="249">
        <v>10</v>
      </c>
      <c r="C42" s="162">
        <v>17</v>
      </c>
      <c r="D42" s="162">
        <v>7</v>
      </c>
      <c r="E42" s="162">
        <v>6</v>
      </c>
      <c r="F42" s="162">
        <v>7</v>
      </c>
      <c r="G42" s="162">
        <v>16</v>
      </c>
      <c r="H42" s="162">
        <v>10</v>
      </c>
      <c r="I42" s="162">
        <v>17</v>
      </c>
      <c r="J42" s="162">
        <v>11</v>
      </c>
      <c r="K42" s="162">
        <v>12</v>
      </c>
      <c r="L42" s="162">
        <v>14</v>
      </c>
      <c r="M42" s="162">
        <v>13</v>
      </c>
      <c r="N42" s="162">
        <v>13</v>
      </c>
      <c r="O42" s="162">
        <v>7</v>
      </c>
      <c r="P42" s="162">
        <v>19</v>
      </c>
      <c r="Q42" s="162">
        <v>14</v>
      </c>
      <c r="R42" s="162">
        <v>12</v>
      </c>
      <c r="S42" s="162">
        <v>4</v>
      </c>
      <c r="T42" s="162">
        <v>10</v>
      </c>
      <c r="U42" s="162">
        <v>10</v>
      </c>
      <c r="V42" s="162">
        <v>14</v>
      </c>
      <c r="W42" s="162">
        <v>12</v>
      </c>
      <c r="X42" s="162">
        <v>14</v>
      </c>
      <c r="Y42" s="162">
        <v>12</v>
      </c>
      <c r="Z42" s="162">
        <v>9</v>
      </c>
      <c r="AA42" s="162">
        <v>10</v>
      </c>
      <c r="AB42" s="162">
        <v>10</v>
      </c>
      <c r="AC42" s="162">
        <v>11</v>
      </c>
      <c r="AD42" s="162"/>
      <c r="AE42" s="162"/>
      <c r="AF42" s="161"/>
      <c r="AG42" s="64">
        <f t="shared" si="2"/>
        <v>321</v>
      </c>
    </row>
    <row r="43" spans="1:33" ht="18.75" x14ac:dyDescent="0.25">
      <c r="A43" s="301" t="s">
        <v>130</v>
      </c>
      <c r="B43" s="249">
        <v>15</v>
      </c>
      <c r="C43" s="162">
        <v>4</v>
      </c>
      <c r="D43" s="162">
        <v>8</v>
      </c>
      <c r="E43" s="162">
        <v>12</v>
      </c>
      <c r="F43" s="162">
        <v>7</v>
      </c>
      <c r="G43" s="162">
        <v>10</v>
      </c>
      <c r="H43" s="162">
        <v>10</v>
      </c>
      <c r="I43" s="162">
        <v>5</v>
      </c>
      <c r="J43" s="162">
        <v>13</v>
      </c>
      <c r="K43" s="162">
        <v>20</v>
      </c>
      <c r="L43" s="162">
        <v>8</v>
      </c>
      <c r="M43" s="162">
        <v>8</v>
      </c>
      <c r="N43" s="162">
        <v>8</v>
      </c>
      <c r="O43" s="162">
        <v>8</v>
      </c>
      <c r="P43" s="162">
        <v>13</v>
      </c>
      <c r="Q43" s="162">
        <v>6</v>
      </c>
      <c r="R43" s="162">
        <v>10</v>
      </c>
      <c r="S43" s="162">
        <v>11</v>
      </c>
      <c r="T43" s="162">
        <v>9</v>
      </c>
      <c r="U43" s="162">
        <v>11</v>
      </c>
      <c r="V43" s="162">
        <v>6</v>
      </c>
      <c r="W43" s="162">
        <v>19</v>
      </c>
      <c r="X43" s="162">
        <v>14</v>
      </c>
      <c r="Y43" s="162">
        <v>10</v>
      </c>
      <c r="Z43" s="162">
        <v>9</v>
      </c>
      <c r="AA43" s="162">
        <v>11</v>
      </c>
      <c r="AB43" s="162">
        <v>7</v>
      </c>
      <c r="AC43" s="162">
        <v>7</v>
      </c>
      <c r="AD43" s="162"/>
      <c r="AE43" s="162"/>
      <c r="AF43" s="161"/>
      <c r="AG43" s="64">
        <f t="shared" si="2"/>
        <v>279</v>
      </c>
    </row>
    <row r="44" spans="1:33" ht="18.75" x14ac:dyDescent="0.25">
      <c r="A44" s="301" t="s">
        <v>129</v>
      </c>
      <c r="B44" s="249">
        <v>9</v>
      </c>
      <c r="C44" s="162">
        <v>8</v>
      </c>
      <c r="D44" s="162">
        <v>10</v>
      </c>
      <c r="E44" s="162">
        <v>7</v>
      </c>
      <c r="F44" s="162">
        <v>5</v>
      </c>
      <c r="G44" s="162">
        <v>3</v>
      </c>
      <c r="H44" s="162">
        <v>7</v>
      </c>
      <c r="I44" s="162">
        <v>5</v>
      </c>
      <c r="J44" s="162">
        <v>9</v>
      </c>
      <c r="K44" s="162">
        <v>12</v>
      </c>
      <c r="L44" s="162">
        <v>6</v>
      </c>
      <c r="M44" s="162">
        <v>2</v>
      </c>
      <c r="N44" s="162">
        <v>6</v>
      </c>
      <c r="O44" s="162">
        <v>4</v>
      </c>
      <c r="P44" s="162">
        <v>8</v>
      </c>
      <c r="Q44" s="162">
        <v>9</v>
      </c>
      <c r="R44" s="162">
        <v>5</v>
      </c>
      <c r="S44" s="162">
        <v>5</v>
      </c>
      <c r="T44" s="162">
        <v>5</v>
      </c>
      <c r="U44" s="162">
        <v>3</v>
      </c>
      <c r="V44" s="162">
        <v>6</v>
      </c>
      <c r="W44" s="162">
        <v>5</v>
      </c>
      <c r="X44" s="162">
        <v>7</v>
      </c>
      <c r="Y44" s="162">
        <v>6</v>
      </c>
      <c r="Z44" s="162">
        <v>7</v>
      </c>
      <c r="AA44" s="162">
        <v>6</v>
      </c>
      <c r="AB44" s="162">
        <v>10</v>
      </c>
      <c r="AC44" s="162">
        <v>9</v>
      </c>
      <c r="AD44" s="162"/>
      <c r="AE44" s="162"/>
      <c r="AF44" s="161"/>
      <c r="AG44" s="64">
        <f t="shared" si="2"/>
        <v>184</v>
      </c>
    </row>
    <row r="45" spans="1:33" ht="18.75" x14ac:dyDescent="0.25">
      <c r="A45" s="301" t="s">
        <v>128</v>
      </c>
      <c r="B45" s="249">
        <v>4</v>
      </c>
      <c r="C45" s="162">
        <v>3</v>
      </c>
      <c r="D45" s="162">
        <v>7</v>
      </c>
      <c r="E45" s="162">
        <v>2</v>
      </c>
      <c r="F45" s="162">
        <v>1</v>
      </c>
      <c r="G45" s="162">
        <v>4</v>
      </c>
      <c r="H45" s="162">
        <v>5</v>
      </c>
      <c r="I45" s="162">
        <v>9</v>
      </c>
      <c r="J45" s="162">
        <v>5</v>
      </c>
      <c r="K45" s="162">
        <v>5</v>
      </c>
      <c r="L45" s="162">
        <v>4</v>
      </c>
      <c r="M45" s="162">
        <v>1</v>
      </c>
      <c r="N45" s="162">
        <v>2</v>
      </c>
      <c r="O45" s="162">
        <v>6</v>
      </c>
      <c r="P45" s="162">
        <v>2</v>
      </c>
      <c r="Q45" s="162">
        <v>4</v>
      </c>
      <c r="R45" s="162">
        <v>3</v>
      </c>
      <c r="S45" s="162">
        <v>7</v>
      </c>
      <c r="T45" s="162"/>
      <c r="U45" s="162">
        <v>5</v>
      </c>
      <c r="V45" s="162">
        <v>1</v>
      </c>
      <c r="W45" s="162">
        <v>6</v>
      </c>
      <c r="X45" s="162">
        <v>7</v>
      </c>
      <c r="Y45" s="162">
        <v>5</v>
      </c>
      <c r="Z45" s="162">
        <v>5</v>
      </c>
      <c r="AA45" s="162">
        <v>3</v>
      </c>
      <c r="AB45" s="162">
        <v>9</v>
      </c>
      <c r="AC45" s="162">
        <v>6</v>
      </c>
      <c r="AD45" s="162"/>
      <c r="AE45" s="162"/>
      <c r="AF45" s="161"/>
      <c r="AG45" s="64">
        <f t="shared" si="2"/>
        <v>121</v>
      </c>
    </row>
    <row r="46" spans="1:33" ht="18.75" x14ac:dyDescent="0.25">
      <c r="A46" s="301" t="s">
        <v>127</v>
      </c>
      <c r="B46" s="249">
        <v>3</v>
      </c>
      <c r="C46" s="162">
        <v>0</v>
      </c>
      <c r="D46" s="162">
        <v>6</v>
      </c>
      <c r="E46" s="162"/>
      <c r="F46" s="162">
        <v>3</v>
      </c>
      <c r="G46" s="162">
        <v>2</v>
      </c>
      <c r="H46" s="162">
        <v>8</v>
      </c>
      <c r="I46" s="162">
        <v>2</v>
      </c>
      <c r="J46" s="162">
        <v>2</v>
      </c>
      <c r="K46" s="162">
        <v>3</v>
      </c>
      <c r="L46" s="162">
        <v>2</v>
      </c>
      <c r="M46" s="162"/>
      <c r="N46" s="162">
        <v>2</v>
      </c>
      <c r="O46" s="162">
        <v>4</v>
      </c>
      <c r="P46" s="162">
        <v>5</v>
      </c>
      <c r="Q46" s="162"/>
      <c r="R46" s="162">
        <v>3</v>
      </c>
      <c r="S46" s="162"/>
      <c r="T46" s="162">
        <v>2</v>
      </c>
      <c r="U46" s="162">
        <v>5</v>
      </c>
      <c r="V46" s="162">
        <v>1</v>
      </c>
      <c r="W46" s="162">
        <v>1</v>
      </c>
      <c r="X46" s="162">
        <v>1</v>
      </c>
      <c r="Y46" s="162">
        <v>3</v>
      </c>
      <c r="Z46" s="162">
        <v>2</v>
      </c>
      <c r="AA46" s="162">
        <v>6</v>
      </c>
      <c r="AB46" s="162">
        <v>5</v>
      </c>
      <c r="AC46" s="162"/>
      <c r="AD46" s="162"/>
      <c r="AE46" s="162"/>
      <c r="AF46" s="161"/>
      <c r="AG46" s="64">
        <f t="shared" si="2"/>
        <v>71</v>
      </c>
    </row>
    <row r="47" spans="1:33" ht="18.75" x14ac:dyDescent="0.25">
      <c r="A47" s="301" t="s">
        <v>126</v>
      </c>
      <c r="B47" s="249">
        <v>4</v>
      </c>
      <c r="C47" s="162">
        <v>2</v>
      </c>
      <c r="D47" s="162"/>
      <c r="E47" s="162"/>
      <c r="F47" s="162">
        <v>3</v>
      </c>
      <c r="G47" s="162">
        <v>2</v>
      </c>
      <c r="H47" s="162">
        <v>4</v>
      </c>
      <c r="I47" s="162">
        <v>3</v>
      </c>
      <c r="J47" s="162">
        <v>1</v>
      </c>
      <c r="K47" s="162">
        <v>1</v>
      </c>
      <c r="L47" s="162">
        <v>2</v>
      </c>
      <c r="M47" s="162"/>
      <c r="N47" s="162">
        <v>2</v>
      </c>
      <c r="O47" s="162">
        <v>2</v>
      </c>
      <c r="P47" s="162">
        <v>1</v>
      </c>
      <c r="Q47" s="162">
        <v>2</v>
      </c>
      <c r="R47" s="162">
        <v>1</v>
      </c>
      <c r="S47" s="162">
        <v>1</v>
      </c>
      <c r="T47" s="162">
        <v>1</v>
      </c>
      <c r="U47" s="162">
        <v>1</v>
      </c>
      <c r="V47" s="162"/>
      <c r="W47" s="162">
        <v>1</v>
      </c>
      <c r="X47" s="162">
        <v>2</v>
      </c>
      <c r="Y47" s="162">
        <v>6</v>
      </c>
      <c r="Z47" s="162">
        <v>2</v>
      </c>
      <c r="AA47" s="162"/>
      <c r="AB47" s="162">
        <v>1</v>
      </c>
      <c r="AC47" s="162">
        <v>4</v>
      </c>
      <c r="AD47" s="162"/>
      <c r="AE47" s="162"/>
      <c r="AF47" s="161"/>
      <c r="AG47" s="64">
        <f t="shared" si="2"/>
        <v>49</v>
      </c>
    </row>
    <row r="48" spans="1:33" ht="18.75" x14ac:dyDescent="0.25">
      <c r="A48" s="301" t="s">
        <v>125</v>
      </c>
      <c r="B48" s="249">
        <v>3</v>
      </c>
      <c r="C48" s="162">
        <v>0</v>
      </c>
      <c r="D48" s="162"/>
      <c r="E48" s="162"/>
      <c r="F48" s="162">
        <v>1</v>
      </c>
      <c r="G48" s="162">
        <v>1</v>
      </c>
      <c r="H48" s="162">
        <v>2</v>
      </c>
      <c r="I48" s="162">
        <v>2</v>
      </c>
      <c r="J48" s="162"/>
      <c r="K48" s="162"/>
      <c r="L48" s="162">
        <v>1</v>
      </c>
      <c r="M48" s="162">
        <v>1</v>
      </c>
      <c r="N48" s="162">
        <v>1</v>
      </c>
      <c r="O48" s="162">
        <v>3</v>
      </c>
      <c r="P48" s="162"/>
      <c r="Q48" s="162">
        <v>1</v>
      </c>
      <c r="R48" s="162">
        <v>2</v>
      </c>
      <c r="S48" s="162"/>
      <c r="T48" s="162">
        <v>1</v>
      </c>
      <c r="U48" s="162">
        <v>1</v>
      </c>
      <c r="V48" s="162">
        <v>1</v>
      </c>
      <c r="W48" s="162"/>
      <c r="X48" s="162">
        <v>4</v>
      </c>
      <c r="Y48" s="162"/>
      <c r="Z48" s="162"/>
      <c r="AA48" s="162">
        <v>1</v>
      </c>
      <c r="AB48" s="162">
        <v>3</v>
      </c>
      <c r="AC48" s="162">
        <v>1</v>
      </c>
      <c r="AD48" s="162"/>
      <c r="AE48" s="162"/>
      <c r="AF48" s="161"/>
      <c r="AG48" s="64">
        <f t="shared" si="2"/>
        <v>30</v>
      </c>
    </row>
    <row r="49" spans="1:33" ht="18.75" x14ac:dyDescent="0.25">
      <c r="A49" s="301" t="s">
        <v>124</v>
      </c>
      <c r="B49" s="249"/>
      <c r="C49" s="162">
        <v>0</v>
      </c>
      <c r="D49" s="162">
        <v>1</v>
      </c>
      <c r="E49" s="162"/>
      <c r="F49" s="162"/>
      <c r="G49" s="162">
        <v>1</v>
      </c>
      <c r="H49" s="162">
        <v>1</v>
      </c>
      <c r="I49" s="162">
        <v>1</v>
      </c>
      <c r="J49" s="162">
        <v>2</v>
      </c>
      <c r="K49" s="162"/>
      <c r="L49" s="162">
        <v>2</v>
      </c>
      <c r="M49" s="162"/>
      <c r="N49" s="162">
        <v>1</v>
      </c>
      <c r="O49" s="162">
        <v>3</v>
      </c>
      <c r="P49" s="162">
        <v>1</v>
      </c>
      <c r="Q49" s="162">
        <v>1</v>
      </c>
      <c r="R49" s="162">
        <v>1</v>
      </c>
      <c r="S49" s="162">
        <v>3</v>
      </c>
      <c r="T49" s="162">
        <v>3</v>
      </c>
      <c r="U49" s="162">
        <v>1</v>
      </c>
      <c r="V49" s="162">
        <v>1</v>
      </c>
      <c r="W49" s="162">
        <v>1</v>
      </c>
      <c r="X49" s="162"/>
      <c r="Y49" s="162"/>
      <c r="Z49" s="162"/>
      <c r="AA49" s="162"/>
      <c r="AB49" s="162">
        <v>2</v>
      </c>
      <c r="AC49" s="162">
        <v>1</v>
      </c>
      <c r="AD49" s="162"/>
      <c r="AE49" s="162"/>
      <c r="AF49" s="161"/>
      <c r="AG49" s="64">
        <f t="shared" si="2"/>
        <v>27</v>
      </c>
    </row>
    <row r="50" spans="1:33" ht="18.75" x14ac:dyDescent="0.25">
      <c r="A50" s="301" t="s">
        <v>123</v>
      </c>
      <c r="B50" s="249">
        <v>1</v>
      </c>
      <c r="C50" s="162">
        <v>1</v>
      </c>
      <c r="D50" s="162"/>
      <c r="E50" s="162"/>
      <c r="F50" s="162">
        <v>1</v>
      </c>
      <c r="G50" s="162">
        <v>1</v>
      </c>
      <c r="H50" s="162">
        <v>1</v>
      </c>
      <c r="I50" s="162"/>
      <c r="J50" s="162"/>
      <c r="K50" s="162"/>
      <c r="L50" s="162">
        <v>2</v>
      </c>
      <c r="M50" s="162">
        <v>2</v>
      </c>
      <c r="N50" s="162">
        <v>1</v>
      </c>
      <c r="O50" s="162">
        <v>1</v>
      </c>
      <c r="P50" s="162"/>
      <c r="Q50" s="162">
        <v>1</v>
      </c>
      <c r="R50" s="162"/>
      <c r="S50" s="162"/>
      <c r="T50" s="162">
        <v>2</v>
      </c>
      <c r="U50" s="162">
        <v>1</v>
      </c>
      <c r="V50" s="162">
        <v>2</v>
      </c>
      <c r="W50" s="162"/>
      <c r="X50" s="162"/>
      <c r="Y50" s="162"/>
      <c r="Z50" s="162">
        <v>1</v>
      </c>
      <c r="AA50" s="162">
        <v>3</v>
      </c>
      <c r="AB50" s="162"/>
      <c r="AC50" s="162">
        <v>1</v>
      </c>
      <c r="AD50" s="162"/>
      <c r="AE50" s="162"/>
      <c r="AF50" s="161"/>
      <c r="AG50" s="64">
        <f t="shared" si="2"/>
        <v>22</v>
      </c>
    </row>
    <row r="51" spans="1:33" ht="18.75" x14ac:dyDescent="0.25">
      <c r="A51" s="301" t="s">
        <v>122</v>
      </c>
      <c r="B51" s="249">
        <v>1</v>
      </c>
      <c r="C51" s="162">
        <v>2</v>
      </c>
      <c r="D51" s="162">
        <v>2</v>
      </c>
      <c r="E51" s="162"/>
      <c r="F51" s="162">
        <v>3</v>
      </c>
      <c r="G51" s="162"/>
      <c r="H51" s="162">
        <v>1</v>
      </c>
      <c r="I51" s="162"/>
      <c r="J51" s="162">
        <v>1</v>
      </c>
      <c r="K51" s="162"/>
      <c r="L51" s="162"/>
      <c r="M51" s="162"/>
      <c r="N51" s="162"/>
      <c r="O51" s="162">
        <v>1</v>
      </c>
      <c r="P51" s="162"/>
      <c r="Q51" s="162">
        <v>2</v>
      </c>
      <c r="R51" s="162"/>
      <c r="S51" s="162">
        <v>1</v>
      </c>
      <c r="T51" s="162"/>
      <c r="U51" s="162">
        <v>1</v>
      </c>
      <c r="V51" s="162"/>
      <c r="W51" s="162"/>
      <c r="X51" s="162"/>
      <c r="Y51" s="162">
        <v>1</v>
      </c>
      <c r="Z51" s="162">
        <v>2</v>
      </c>
      <c r="AA51" s="162"/>
      <c r="AB51" s="162"/>
      <c r="AC51" s="162"/>
      <c r="AD51" s="162"/>
      <c r="AE51" s="162"/>
      <c r="AF51" s="161"/>
      <c r="AG51" s="64">
        <f t="shared" si="2"/>
        <v>18</v>
      </c>
    </row>
    <row r="52" spans="1:33" ht="19.5" thickBot="1" x14ac:dyDescent="0.3">
      <c r="A52" s="304" t="s">
        <v>121</v>
      </c>
      <c r="B52" s="252"/>
      <c r="C52" s="181">
        <v>1</v>
      </c>
      <c r="D52" s="181">
        <v>3</v>
      </c>
      <c r="E52" s="181"/>
      <c r="F52" s="181"/>
      <c r="G52" s="181"/>
      <c r="H52" s="181">
        <v>1</v>
      </c>
      <c r="I52" s="181">
        <v>3</v>
      </c>
      <c r="J52" s="181">
        <v>2</v>
      </c>
      <c r="K52" s="181">
        <v>1</v>
      </c>
      <c r="L52" s="181"/>
      <c r="M52" s="181">
        <v>1</v>
      </c>
      <c r="N52" s="181">
        <v>2</v>
      </c>
      <c r="O52" s="181"/>
      <c r="P52" s="181"/>
      <c r="Q52" s="181">
        <v>2</v>
      </c>
      <c r="R52" s="181"/>
      <c r="S52" s="181">
        <v>1</v>
      </c>
      <c r="T52" s="181">
        <v>2</v>
      </c>
      <c r="U52" s="181"/>
      <c r="V52" s="181"/>
      <c r="W52" s="181">
        <v>3</v>
      </c>
      <c r="X52" s="181"/>
      <c r="Y52" s="181">
        <v>1</v>
      </c>
      <c r="Z52" s="181"/>
      <c r="AA52" s="181">
        <v>1</v>
      </c>
      <c r="AB52" s="181">
        <v>1</v>
      </c>
      <c r="AC52" s="181">
        <v>1</v>
      </c>
      <c r="AD52" s="181"/>
      <c r="AE52" s="181"/>
      <c r="AF52" s="180"/>
      <c r="AG52" s="160">
        <f t="shared" si="2"/>
        <v>26</v>
      </c>
    </row>
    <row r="53" spans="1:33" ht="19.5" thickBot="1" x14ac:dyDescent="0.3">
      <c r="A53" s="299" t="s">
        <v>145</v>
      </c>
      <c r="B53" s="247">
        <f t="shared" ref="B53:AF53" si="4">SUM(B54:B77)</f>
        <v>12</v>
      </c>
      <c r="C53" s="120">
        <f t="shared" si="4"/>
        <v>11</v>
      </c>
      <c r="D53" s="120">
        <f t="shared" si="4"/>
        <v>5</v>
      </c>
      <c r="E53" s="120">
        <f t="shared" si="4"/>
        <v>7</v>
      </c>
      <c r="F53" s="120">
        <f t="shared" si="4"/>
        <v>4</v>
      </c>
      <c r="G53" s="120">
        <f t="shared" si="4"/>
        <v>4</v>
      </c>
      <c r="H53" s="120">
        <f t="shared" si="4"/>
        <v>13</v>
      </c>
      <c r="I53" s="120">
        <f t="shared" si="4"/>
        <v>11</v>
      </c>
      <c r="J53" s="120">
        <f t="shared" si="4"/>
        <v>9</v>
      </c>
      <c r="K53" s="120">
        <f t="shared" si="4"/>
        <v>18</v>
      </c>
      <c r="L53" s="120">
        <f t="shared" si="4"/>
        <v>6</v>
      </c>
      <c r="M53" s="120">
        <f t="shared" si="4"/>
        <v>5</v>
      </c>
      <c r="N53" s="120">
        <f t="shared" si="4"/>
        <v>5</v>
      </c>
      <c r="O53" s="120">
        <f t="shared" si="4"/>
        <v>2</v>
      </c>
      <c r="P53" s="120">
        <f t="shared" si="4"/>
        <v>9</v>
      </c>
      <c r="Q53" s="120">
        <f t="shared" si="4"/>
        <v>5</v>
      </c>
      <c r="R53" s="120">
        <f t="shared" si="4"/>
        <v>9</v>
      </c>
      <c r="S53" s="120">
        <f t="shared" si="4"/>
        <v>10</v>
      </c>
      <c r="T53" s="120">
        <f t="shared" si="4"/>
        <v>10</v>
      </c>
      <c r="U53" s="120">
        <f t="shared" si="4"/>
        <v>3</v>
      </c>
      <c r="V53" s="120">
        <f t="shared" si="4"/>
        <v>2</v>
      </c>
      <c r="W53" s="120">
        <f t="shared" si="4"/>
        <v>2</v>
      </c>
      <c r="X53" s="120">
        <f t="shared" si="4"/>
        <v>7</v>
      </c>
      <c r="Y53" s="120">
        <f t="shared" si="4"/>
        <v>4</v>
      </c>
      <c r="Z53" s="120">
        <f t="shared" si="4"/>
        <v>8</v>
      </c>
      <c r="AA53" s="120">
        <f t="shared" si="4"/>
        <v>3</v>
      </c>
      <c r="AB53" s="120">
        <f t="shared" si="4"/>
        <v>5</v>
      </c>
      <c r="AC53" s="120">
        <f t="shared" si="4"/>
        <v>1</v>
      </c>
      <c r="AD53" s="120">
        <f t="shared" si="4"/>
        <v>0</v>
      </c>
      <c r="AE53" s="120">
        <f t="shared" si="4"/>
        <v>0</v>
      </c>
      <c r="AF53" s="120">
        <f t="shared" si="4"/>
        <v>0</v>
      </c>
      <c r="AG53" s="157">
        <f t="shared" si="2"/>
        <v>190</v>
      </c>
    </row>
    <row r="54" spans="1:33" ht="18.75" x14ac:dyDescent="0.25">
      <c r="A54" s="300" t="s">
        <v>144</v>
      </c>
      <c r="B54" s="248">
        <v>1</v>
      </c>
      <c r="C54" s="199"/>
      <c r="D54" s="162"/>
      <c r="E54" s="199"/>
      <c r="F54" s="199"/>
      <c r="G54" s="162"/>
      <c r="H54" s="199"/>
      <c r="I54" s="199"/>
      <c r="J54" s="199">
        <v>1</v>
      </c>
      <c r="K54" s="199"/>
      <c r="L54" s="199"/>
      <c r="M54" s="199"/>
      <c r="N54" s="199">
        <v>1</v>
      </c>
      <c r="O54" s="199"/>
      <c r="P54" s="199"/>
      <c r="Q54" s="199"/>
      <c r="R54" s="199"/>
      <c r="S54" s="199"/>
      <c r="T54" s="199"/>
      <c r="U54" s="199"/>
      <c r="V54" s="199"/>
      <c r="W54" s="199"/>
      <c r="X54" s="199"/>
      <c r="Y54" s="199"/>
      <c r="Z54" s="199"/>
      <c r="AA54" s="199"/>
      <c r="AB54" s="199"/>
      <c r="AC54" s="199"/>
      <c r="AD54" s="199"/>
      <c r="AE54" s="199"/>
      <c r="AF54" s="206"/>
      <c r="AG54" s="134">
        <f t="shared" si="2"/>
        <v>3</v>
      </c>
    </row>
    <row r="55" spans="1:33" ht="18.75" x14ac:dyDescent="0.25">
      <c r="A55" s="301" t="s">
        <v>143</v>
      </c>
      <c r="B55" s="249">
        <v>3</v>
      </c>
      <c r="C55" s="162">
        <v>2</v>
      </c>
      <c r="D55" s="162"/>
      <c r="E55" s="162">
        <v>1</v>
      </c>
      <c r="F55" s="162"/>
      <c r="G55" s="162"/>
      <c r="H55" s="162">
        <v>1</v>
      </c>
      <c r="I55" s="162"/>
      <c r="J55" s="162"/>
      <c r="K55" s="162"/>
      <c r="L55" s="162"/>
      <c r="M55" s="162"/>
      <c r="N55" s="162"/>
      <c r="O55" s="162"/>
      <c r="P55" s="162">
        <v>1</v>
      </c>
      <c r="Q55" s="162"/>
      <c r="R55" s="162">
        <v>1</v>
      </c>
      <c r="S55" s="162">
        <v>1</v>
      </c>
      <c r="T55" s="162"/>
      <c r="U55" s="162"/>
      <c r="V55" s="162"/>
      <c r="W55" s="162"/>
      <c r="X55" s="162"/>
      <c r="Y55" s="162"/>
      <c r="Z55" s="162"/>
      <c r="AA55" s="162">
        <v>1</v>
      </c>
      <c r="AB55" s="162"/>
      <c r="AC55" s="162"/>
      <c r="AD55" s="162"/>
      <c r="AE55" s="162"/>
      <c r="AF55" s="161"/>
      <c r="AG55" s="64">
        <f t="shared" si="2"/>
        <v>11</v>
      </c>
    </row>
    <row r="56" spans="1:33" ht="18.75" x14ac:dyDescent="0.25">
      <c r="A56" s="301" t="s">
        <v>142</v>
      </c>
      <c r="B56" s="249"/>
      <c r="C56" s="162"/>
      <c r="D56" s="162">
        <v>1</v>
      </c>
      <c r="E56" s="162">
        <v>1</v>
      </c>
      <c r="F56" s="162"/>
      <c r="G56" s="162"/>
      <c r="H56" s="162"/>
      <c r="I56" s="162">
        <v>1</v>
      </c>
      <c r="J56" s="162">
        <v>1</v>
      </c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>
        <v>1</v>
      </c>
      <c r="V56" s="162"/>
      <c r="W56" s="162"/>
      <c r="X56" s="162"/>
      <c r="Y56" s="162"/>
      <c r="Z56" s="162">
        <v>1</v>
      </c>
      <c r="AA56" s="162"/>
      <c r="AB56" s="162"/>
      <c r="AC56" s="162"/>
      <c r="AD56" s="162"/>
      <c r="AE56" s="162"/>
      <c r="AF56" s="161"/>
      <c r="AG56" s="64">
        <f t="shared" si="2"/>
        <v>6</v>
      </c>
    </row>
    <row r="57" spans="1:33" ht="18.75" x14ac:dyDescent="0.25">
      <c r="A57" s="301" t="s">
        <v>141</v>
      </c>
      <c r="B57" s="249"/>
      <c r="C57" s="162">
        <v>1</v>
      </c>
      <c r="D57" s="162"/>
      <c r="E57" s="162">
        <v>1</v>
      </c>
      <c r="F57" s="162">
        <v>1</v>
      </c>
      <c r="G57" s="162">
        <v>1</v>
      </c>
      <c r="H57" s="162"/>
      <c r="I57" s="162">
        <v>1</v>
      </c>
      <c r="J57" s="162"/>
      <c r="K57" s="162">
        <v>1</v>
      </c>
      <c r="L57" s="162"/>
      <c r="M57" s="162">
        <v>2</v>
      </c>
      <c r="N57" s="162">
        <v>1</v>
      </c>
      <c r="O57" s="162"/>
      <c r="P57" s="162"/>
      <c r="Q57" s="162">
        <v>1</v>
      </c>
      <c r="R57" s="162">
        <v>1</v>
      </c>
      <c r="S57" s="162"/>
      <c r="T57" s="162"/>
      <c r="U57" s="162"/>
      <c r="V57" s="162"/>
      <c r="W57" s="162"/>
      <c r="X57" s="162"/>
      <c r="Y57" s="162"/>
      <c r="Z57" s="162"/>
      <c r="AA57" s="162"/>
      <c r="AB57" s="162"/>
      <c r="AC57" s="162"/>
      <c r="AD57" s="162"/>
      <c r="AE57" s="162"/>
      <c r="AF57" s="161"/>
      <c r="AG57" s="64">
        <f t="shared" si="2"/>
        <v>11</v>
      </c>
    </row>
    <row r="58" spans="1:33" ht="18.75" x14ac:dyDescent="0.25">
      <c r="A58" s="301" t="s">
        <v>140</v>
      </c>
      <c r="B58" s="249">
        <v>2</v>
      </c>
      <c r="C58" s="162">
        <v>3</v>
      </c>
      <c r="D58" s="162"/>
      <c r="E58" s="162"/>
      <c r="F58" s="162"/>
      <c r="G58" s="162"/>
      <c r="H58" s="162"/>
      <c r="I58" s="162"/>
      <c r="J58" s="162"/>
      <c r="K58" s="162"/>
      <c r="L58" s="162">
        <v>1</v>
      </c>
      <c r="M58" s="162"/>
      <c r="N58" s="162">
        <v>1</v>
      </c>
      <c r="O58" s="162"/>
      <c r="P58" s="162"/>
      <c r="Q58" s="162"/>
      <c r="R58" s="162">
        <v>1</v>
      </c>
      <c r="S58" s="162"/>
      <c r="T58" s="162"/>
      <c r="U58" s="162"/>
      <c r="V58" s="162"/>
      <c r="W58" s="162"/>
      <c r="X58" s="162"/>
      <c r="Y58" s="162"/>
      <c r="Z58" s="162">
        <v>1</v>
      </c>
      <c r="AA58" s="162"/>
      <c r="AB58" s="162">
        <v>1</v>
      </c>
      <c r="AC58" s="162"/>
      <c r="AD58" s="162"/>
      <c r="AE58" s="162"/>
      <c r="AF58" s="161"/>
      <c r="AG58" s="64">
        <f t="shared" si="2"/>
        <v>10</v>
      </c>
    </row>
    <row r="59" spans="1:33" ht="18.75" x14ac:dyDescent="0.25">
      <c r="A59" s="301" t="s">
        <v>139</v>
      </c>
      <c r="B59" s="249"/>
      <c r="C59" s="162"/>
      <c r="D59" s="162">
        <v>1</v>
      </c>
      <c r="E59" s="162">
        <v>2</v>
      </c>
      <c r="F59" s="162">
        <v>2</v>
      </c>
      <c r="G59" s="162"/>
      <c r="H59" s="162"/>
      <c r="I59" s="162">
        <v>2</v>
      </c>
      <c r="J59" s="162">
        <v>1</v>
      </c>
      <c r="K59" s="162"/>
      <c r="L59" s="162">
        <v>1</v>
      </c>
      <c r="M59" s="162">
        <v>1</v>
      </c>
      <c r="N59" s="162"/>
      <c r="O59" s="162"/>
      <c r="P59" s="162"/>
      <c r="Q59" s="162"/>
      <c r="R59" s="162"/>
      <c r="S59" s="162"/>
      <c r="T59" s="162"/>
      <c r="U59" s="162">
        <v>1</v>
      </c>
      <c r="V59" s="162">
        <v>2</v>
      </c>
      <c r="W59" s="162"/>
      <c r="X59" s="162">
        <v>1</v>
      </c>
      <c r="Y59" s="162"/>
      <c r="Z59" s="162">
        <v>1</v>
      </c>
      <c r="AA59" s="162"/>
      <c r="AB59" s="162">
        <v>1</v>
      </c>
      <c r="AC59" s="162"/>
      <c r="AD59" s="162"/>
      <c r="AE59" s="162"/>
      <c r="AF59" s="161"/>
      <c r="AG59" s="64">
        <f t="shared" si="2"/>
        <v>16</v>
      </c>
    </row>
    <row r="60" spans="1:33" ht="18.75" x14ac:dyDescent="0.25">
      <c r="A60" s="301" t="s">
        <v>138</v>
      </c>
      <c r="B60" s="249">
        <v>1</v>
      </c>
      <c r="C60" s="162">
        <v>2</v>
      </c>
      <c r="D60" s="162"/>
      <c r="E60" s="162"/>
      <c r="F60" s="162"/>
      <c r="G60" s="162"/>
      <c r="H60" s="162">
        <v>1</v>
      </c>
      <c r="I60" s="162">
        <v>2</v>
      </c>
      <c r="J60" s="162"/>
      <c r="K60" s="162">
        <v>1</v>
      </c>
      <c r="L60" s="162"/>
      <c r="M60" s="162"/>
      <c r="N60" s="162">
        <v>1</v>
      </c>
      <c r="O60" s="162"/>
      <c r="P60" s="162"/>
      <c r="Q60" s="162"/>
      <c r="R60" s="162"/>
      <c r="S60" s="162"/>
      <c r="T60" s="162">
        <v>2</v>
      </c>
      <c r="U60" s="162"/>
      <c r="V60" s="162"/>
      <c r="W60" s="162"/>
      <c r="X60" s="162"/>
      <c r="Y60" s="162">
        <v>1</v>
      </c>
      <c r="Z60" s="162"/>
      <c r="AA60" s="162"/>
      <c r="AB60" s="162">
        <v>1</v>
      </c>
      <c r="AC60" s="162"/>
      <c r="AD60" s="162"/>
      <c r="AE60" s="162"/>
      <c r="AF60" s="161"/>
      <c r="AG60" s="64">
        <f t="shared" si="2"/>
        <v>12</v>
      </c>
    </row>
    <row r="61" spans="1:33" ht="18.75" x14ac:dyDescent="0.25">
      <c r="A61" s="301" t="s">
        <v>137</v>
      </c>
      <c r="B61" s="249"/>
      <c r="C61" s="162"/>
      <c r="D61" s="162"/>
      <c r="E61" s="162"/>
      <c r="F61" s="162"/>
      <c r="G61" s="162">
        <v>1</v>
      </c>
      <c r="H61" s="162">
        <v>1</v>
      </c>
      <c r="I61" s="162"/>
      <c r="J61" s="162">
        <v>1</v>
      </c>
      <c r="K61" s="162"/>
      <c r="L61" s="162">
        <v>2</v>
      </c>
      <c r="M61" s="162"/>
      <c r="N61" s="162"/>
      <c r="O61" s="162"/>
      <c r="P61" s="162"/>
      <c r="Q61" s="162">
        <v>2</v>
      </c>
      <c r="R61" s="162"/>
      <c r="S61" s="162">
        <v>2</v>
      </c>
      <c r="T61" s="162"/>
      <c r="U61" s="162"/>
      <c r="V61" s="162"/>
      <c r="W61" s="162"/>
      <c r="X61" s="162">
        <v>2</v>
      </c>
      <c r="Y61" s="162"/>
      <c r="Z61" s="162"/>
      <c r="AA61" s="162"/>
      <c r="AB61" s="162"/>
      <c r="AC61" s="162"/>
      <c r="AD61" s="162"/>
      <c r="AE61" s="162"/>
      <c r="AF61" s="161"/>
      <c r="AG61" s="64">
        <f t="shared" si="2"/>
        <v>11</v>
      </c>
    </row>
    <row r="62" spans="1:33" ht="18.75" x14ac:dyDescent="0.25">
      <c r="A62" s="301" t="s">
        <v>136</v>
      </c>
      <c r="B62" s="249">
        <v>2</v>
      </c>
      <c r="C62" s="162"/>
      <c r="D62" s="162">
        <v>1</v>
      </c>
      <c r="E62" s="162">
        <v>1</v>
      </c>
      <c r="F62" s="162"/>
      <c r="G62" s="162"/>
      <c r="H62" s="162">
        <v>1</v>
      </c>
      <c r="I62" s="162"/>
      <c r="J62" s="162"/>
      <c r="K62" s="162">
        <v>2</v>
      </c>
      <c r="L62" s="162"/>
      <c r="M62" s="162"/>
      <c r="N62" s="162"/>
      <c r="O62" s="162">
        <v>1</v>
      </c>
      <c r="P62" s="162"/>
      <c r="Q62" s="162"/>
      <c r="R62" s="162">
        <v>1</v>
      </c>
      <c r="S62" s="162">
        <v>1</v>
      </c>
      <c r="T62" s="162"/>
      <c r="U62" s="162"/>
      <c r="V62" s="162"/>
      <c r="W62" s="162"/>
      <c r="X62" s="162"/>
      <c r="Y62" s="162"/>
      <c r="Z62" s="162">
        <v>1</v>
      </c>
      <c r="AA62" s="162">
        <v>1</v>
      </c>
      <c r="AB62" s="162"/>
      <c r="AC62" s="162"/>
      <c r="AD62" s="162"/>
      <c r="AE62" s="162"/>
      <c r="AF62" s="161"/>
      <c r="AG62" s="64">
        <f t="shared" si="2"/>
        <v>12</v>
      </c>
    </row>
    <row r="63" spans="1:33" ht="18.75" x14ac:dyDescent="0.25">
      <c r="A63" s="301" t="s">
        <v>135</v>
      </c>
      <c r="B63" s="249"/>
      <c r="C63" s="162">
        <v>1</v>
      </c>
      <c r="D63" s="162"/>
      <c r="E63" s="162"/>
      <c r="F63" s="162"/>
      <c r="G63" s="162"/>
      <c r="H63" s="162">
        <v>2</v>
      </c>
      <c r="I63" s="162"/>
      <c r="J63" s="162">
        <v>1</v>
      </c>
      <c r="K63" s="162"/>
      <c r="L63" s="162"/>
      <c r="M63" s="162"/>
      <c r="N63" s="162"/>
      <c r="O63" s="162"/>
      <c r="P63" s="162"/>
      <c r="Q63" s="162"/>
      <c r="R63" s="162"/>
      <c r="S63" s="162"/>
      <c r="T63" s="162">
        <v>1</v>
      </c>
      <c r="U63" s="162"/>
      <c r="V63" s="162"/>
      <c r="W63" s="162"/>
      <c r="X63" s="162"/>
      <c r="Y63" s="162"/>
      <c r="Z63" s="162">
        <v>1</v>
      </c>
      <c r="AA63" s="162">
        <v>1</v>
      </c>
      <c r="AB63" s="162"/>
      <c r="AC63" s="162"/>
      <c r="AD63" s="162"/>
      <c r="AE63" s="162"/>
      <c r="AF63" s="161"/>
      <c r="AG63" s="64">
        <f t="shared" si="2"/>
        <v>7</v>
      </c>
    </row>
    <row r="64" spans="1:33" ht="18.75" x14ac:dyDescent="0.25">
      <c r="A64" s="301" t="s">
        <v>134</v>
      </c>
      <c r="B64" s="249"/>
      <c r="C64" s="162">
        <v>2</v>
      </c>
      <c r="D64" s="162">
        <v>2</v>
      </c>
      <c r="E64" s="162"/>
      <c r="F64" s="162"/>
      <c r="G64" s="162"/>
      <c r="H64" s="162">
        <v>1</v>
      </c>
      <c r="I64" s="162"/>
      <c r="J64" s="162">
        <v>2</v>
      </c>
      <c r="K64" s="162">
        <v>1</v>
      </c>
      <c r="L64" s="162">
        <v>1</v>
      </c>
      <c r="M64" s="162">
        <v>1</v>
      </c>
      <c r="N64" s="162"/>
      <c r="O64" s="162"/>
      <c r="P64" s="162"/>
      <c r="Q64" s="162"/>
      <c r="R64" s="162"/>
      <c r="S64" s="162">
        <v>2</v>
      </c>
      <c r="T64" s="162">
        <v>3</v>
      </c>
      <c r="U64" s="162"/>
      <c r="V64" s="162"/>
      <c r="W64" s="162"/>
      <c r="X64" s="162">
        <v>1</v>
      </c>
      <c r="Y64" s="162"/>
      <c r="Z64" s="162"/>
      <c r="AA64" s="162"/>
      <c r="AB64" s="162"/>
      <c r="AC64" s="162"/>
      <c r="AD64" s="162"/>
      <c r="AE64" s="162"/>
      <c r="AF64" s="161"/>
      <c r="AG64" s="64">
        <f t="shared" si="2"/>
        <v>16</v>
      </c>
    </row>
    <row r="65" spans="1:33" ht="18.75" x14ac:dyDescent="0.25">
      <c r="A65" s="301" t="s">
        <v>133</v>
      </c>
      <c r="B65" s="249">
        <v>1</v>
      </c>
      <c r="C65" s="162"/>
      <c r="D65" s="162"/>
      <c r="E65" s="162"/>
      <c r="F65" s="162"/>
      <c r="G65" s="162">
        <v>1</v>
      </c>
      <c r="H65" s="162"/>
      <c r="I65" s="162">
        <v>1</v>
      </c>
      <c r="J65" s="162">
        <v>1</v>
      </c>
      <c r="K65" s="162">
        <v>1</v>
      </c>
      <c r="L65" s="162">
        <v>1</v>
      </c>
      <c r="M65" s="162"/>
      <c r="N65" s="162"/>
      <c r="O65" s="162"/>
      <c r="P65" s="162">
        <v>1</v>
      </c>
      <c r="Q65" s="162"/>
      <c r="R65" s="162">
        <v>2</v>
      </c>
      <c r="S65" s="162"/>
      <c r="T65" s="162">
        <v>1</v>
      </c>
      <c r="U65" s="162"/>
      <c r="V65" s="162"/>
      <c r="W65" s="162">
        <v>1</v>
      </c>
      <c r="X65" s="162">
        <v>1</v>
      </c>
      <c r="Y65" s="162"/>
      <c r="Z65" s="162"/>
      <c r="AA65" s="162"/>
      <c r="AB65" s="162">
        <v>1</v>
      </c>
      <c r="AC65" s="162"/>
      <c r="AD65" s="162"/>
      <c r="AE65" s="162"/>
      <c r="AF65" s="161"/>
      <c r="AG65" s="64">
        <f t="shared" si="2"/>
        <v>13</v>
      </c>
    </row>
    <row r="66" spans="1:33" ht="18.75" x14ac:dyDescent="0.25">
      <c r="A66" s="301" t="s">
        <v>132</v>
      </c>
      <c r="B66" s="249"/>
      <c r="C66" s="162"/>
      <c r="D66" s="162"/>
      <c r="E66" s="162">
        <v>1</v>
      </c>
      <c r="F66" s="162"/>
      <c r="G66" s="162">
        <v>1</v>
      </c>
      <c r="H66" s="162"/>
      <c r="I66" s="162"/>
      <c r="J66" s="162"/>
      <c r="K66" s="162">
        <v>3</v>
      </c>
      <c r="L66" s="162"/>
      <c r="M66" s="162"/>
      <c r="N66" s="162"/>
      <c r="O66" s="162"/>
      <c r="P66" s="162">
        <v>1</v>
      </c>
      <c r="Q66" s="162">
        <v>2</v>
      </c>
      <c r="R66" s="162"/>
      <c r="S66" s="162">
        <v>1</v>
      </c>
      <c r="T66" s="162">
        <v>1</v>
      </c>
      <c r="U66" s="162"/>
      <c r="V66" s="162"/>
      <c r="W66" s="162"/>
      <c r="X66" s="162"/>
      <c r="Y66" s="162"/>
      <c r="Z66" s="162">
        <v>1</v>
      </c>
      <c r="AA66" s="162"/>
      <c r="AB66" s="162"/>
      <c r="AC66" s="162"/>
      <c r="AD66" s="162"/>
      <c r="AE66" s="162"/>
      <c r="AF66" s="161"/>
      <c r="AG66" s="64">
        <f t="shared" si="2"/>
        <v>11</v>
      </c>
    </row>
    <row r="67" spans="1:33" ht="18.75" x14ac:dyDescent="0.25">
      <c r="A67" s="301" t="s">
        <v>131</v>
      </c>
      <c r="B67" s="249"/>
      <c r="C67" s="162"/>
      <c r="D67" s="162"/>
      <c r="E67" s="162"/>
      <c r="F67" s="162"/>
      <c r="G67" s="162"/>
      <c r="H67" s="162">
        <v>2</v>
      </c>
      <c r="I67" s="162">
        <v>2</v>
      </c>
      <c r="J67" s="162"/>
      <c r="K67" s="162">
        <v>3</v>
      </c>
      <c r="L67" s="162"/>
      <c r="M67" s="162"/>
      <c r="N67" s="162"/>
      <c r="O67" s="162"/>
      <c r="P67" s="162">
        <v>3</v>
      </c>
      <c r="Q67" s="162"/>
      <c r="R67" s="162">
        <v>2</v>
      </c>
      <c r="S67" s="162"/>
      <c r="T67" s="162">
        <v>2</v>
      </c>
      <c r="U67" s="162"/>
      <c r="V67" s="162"/>
      <c r="W67" s="162">
        <v>1</v>
      </c>
      <c r="X67" s="162"/>
      <c r="Y67" s="162">
        <v>2</v>
      </c>
      <c r="Z67" s="162">
        <v>1</v>
      </c>
      <c r="AA67" s="162"/>
      <c r="AB67" s="162"/>
      <c r="AC67" s="162"/>
      <c r="AD67" s="162"/>
      <c r="AE67" s="162"/>
      <c r="AF67" s="161"/>
      <c r="AG67" s="64">
        <f t="shared" ref="AG67:AG98" si="5">SUM(B67:AF67)</f>
        <v>18</v>
      </c>
    </row>
    <row r="68" spans="1:33" ht="18.75" x14ac:dyDescent="0.25">
      <c r="A68" s="301" t="s">
        <v>130</v>
      </c>
      <c r="B68" s="249"/>
      <c r="C68" s="162"/>
      <c r="D68" s="162"/>
      <c r="E68" s="162"/>
      <c r="F68" s="162">
        <v>1</v>
      </c>
      <c r="G68" s="162"/>
      <c r="H68" s="162">
        <v>3</v>
      </c>
      <c r="I68" s="162"/>
      <c r="J68" s="162"/>
      <c r="K68" s="162">
        <v>3</v>
      </c>
      <c r="L68" s="162"/>
      <c r="M68" s="162"/>
      <c r="N68" s="162"/>
      <c r="O68" s="162"/>
      <c r="P68" s="162">
        <v>3</v>
      </c>
      <c r="Q68" s="162"/>
      <c r="R68" s="162"/>
      <c r="S68" s="162"/>
      <c r="T68" s="162"/>
      <c r="U68" s="162"/>
      <c r="V68" s="162"/>
      <c r="W68" s="162"/>
      <c r="X68" s="162"/>
      <c r="Y68" s="162">
        <v>1</v>
      </c>
      <c r="Z68" s="162"/>
      <c r="AA68" s="162"/>
      <c r="AB68" s="162"/>
      <c r="AC68" s="162"/>
      <c r="AD68" s="162"/>
      <c r="AE68" s="162"/>
      <c r="AF68" s="161"/>
      <c r="AG68" s="64">
        <f t="shared" si="5"/>
        <v>11</v>
      </c>
    </row>
    <row r="69" spans="1:33" ht="18.75" x14ac:dyDescent="0.25">
      <c r="A69" s="301" t="s">
        <v>129</v>
      </c>
      <c r="B69" s="249">
        <v>2</v>
      </c>
      <c r="C69" s="162"/>
      <c r="D69" s="162"/>
      <c r="E69" s="162"/>
      <c r="F69" s="162"/>
      <c r="G69" s="162"/>
      <c r="H69" s="162">
        <v>1</v>
      </c>
      <c r="I69" s="162"/>
      <c r="J69" s="162"/>
      <c r="K69" s="162">
        <v>1</v>
      </c>
      <c r="L69" s="162"/>
      <c r="M69" s="162"/>
      <c r="N69" s="162">
        <v>1</v>
      </c>
      <c r="O69" s="162"/>
      <c r="P69" s="162"/>
      <c r="Q69" s="162"/>
      <c r="R69" s="162"/>
      <c r="S69" s="162">
        <v>1</v>
      </c>
      <c r="T69" s="162"/>
      <c r="U69" s="162">
        <v>1</v>
      </c>
      <c r="V69" s="162"/>
      <c r="W69" s="162"/>
      <c r="X69" s="162">
        <v>1</v>
      </c>
      <c r="Y69" s="162"/>
      <c r="Z69" s="162">
        <v>1</v>
      </c>
      <c r="AA69" s="162"/>
      <c r="AB69" s="162"/>
      <c r="AC69" s="162"/>
      <c r="AD69" s="162"/>
      <c r="AE69" s="162"/>
      <c r="AF69" s="161"/>
      <c r="AG69" s="64">
        <f t="shared" si="5"/>
        <v>9</v>
      </c>
    </row>
    <row r="70" spans="1:33" ht="18.75" x14ac:dyDescent="0.25">
      <c r="A70" s="301" t="s">
        <v>128</v>
      </c>
      <c r="B70" s="248"/>
      <c r="C70" s="199"/>
      <c r="D70" s="162"/>
      <c r="E70" s="199"/>
      <c r="F70" s="199"/>
      <c r="G70" s="162"/>
      <c r="H70" s="199"/>
      <c r="I70" s="162">
        <v>1</v>
      </c>
      <c r="J70" s="199"/>
      <c r="K70" s="199">
        <v>2</v>
      </c>
      <c r="L70" s="199"/>
      <c r="M70" s="199"/>
      <c r="N70" s="199"/>
      <c r="O70" s="199"/>
      <c r="P70" s="199"/>
      <c r="Q70" s="199"/>
      <c r="R70" s="199"/>
      <c r="S70" s="199">
        <v>2</v>
      </c>
      <c r="T70" s="199"/>
      <c r="U70" s="199"/>
      <c r="V70" s="199"/>
      <c r="W70" s="199"/>
      <c r="X70" s="199"/>
      <c r="Y70" s="199"/>
      <c r="Z70" s="199"/>
      <c r="AA70" s="199"/>
      <c r="AB70" s="199">
        <v>1</v>
      </c>
      <c r="AC70" s="199">
        <v>1</v>
      </c>
      <c r="AD70" s="199"/>
      <c r="AE70" s="199"/>
      <c r="AF70" s="206"/>
      <c r="AG70" s="64">
        <f t="shared" si="5"/>
        <v>7</v>
      </c>
    </row>
    <row r="71" spans="1:33" ht="18.75" x14ac:dyDescent="0.25">
      <c r="A71" s="301" t="s">
        <v>127</v>
      </c>
      <c r="B71" s="248"/>
      <c r="C71" s="199"/>
      <c r="D71" s="162"/>
      <c r="E71" s="199"/>
      <c r="F71" s="199"/>
      <c r="G71" s="162"/>
      <c r="H71" s="199"/>
      <c r="I71" s="162"/>
      <c r="J71" s="199"/>
      <c r="K71" s="199"/>
      <c r="L71" s="199"/>
      <c r="M71" s="199">
        <v>1</v>
      </c>
      <c r="N71" s="199"/>
      <c r="O71" s="199"/>
      <c r="P71" s="199"/>
      <c r="Q71" s="199"/>
      <c r="R71" s="199"/>
      <c r="S71" s="199"/>
      <c r="T71" s="199"/>
      <c r="U71" s="199"/>
      <c r="V71" s="199"/>
      <c r="W71" s="199"/>
      <c r="X71" s="199"/>
      <c r="Y71" s="199"/>
      <c r="Z71" s="199"/>
      <c r="AA71" s="199"/>
      <c r="AB71" s="199"/>
      <c r="AC71" s="199"/>
      <c r="AD71" s="199"/>
      <c r="AE71" s="199"/>
      <c r="AF71" s="206"/>
      <c r="AG71" s="64">
        <f t="shared" si="5"/>
        <v>1</v>
      </c>
    </row>
    <row r="72" spans="1:33" ht="18.75" x14ac:dyDescent="0.25">
      <c r="A72" s="301" t="s">
        <v>126</v>
      </c>
      <c r="B72" s="248"/>
      <c r="C72" s="199"/>
      <c r="D72" s="162"/>
      <c r="E72" s="199"/>
      <c r="F72" s="199"/>
      <c r="G72" s="162"/>
      <c r="H72" s="199"/>
      <c r="I72" s="162">
        <v>1</v>
      </c>
      <c r="J72" s="199">
        <v>1</v>
      </c>
      <c r="K72" s="199"/>
      <c r="L72" s="199"/>
      <c r="M72" s="199"/>
      <c r="N72" s="199"/>
      <c r="O72" s="199"/>
      <c r="P72" s="199"/>
      <c r="Q72" s="199"/>
      <c r="R72" s="199">
        <v>1</v>
      </c>
      <c r="S72" s="199"/>
      <c r="T72" s="199"/>
      <c r="U72" s="199"/>
      <c r="V72" s="199"/>
      <c r="W72" s="199"/>
      <c r="X72" s="199"/>
      <c r="Y72" s="199"/>
      <c r="Z72" s="199"/>
      <c r="AA72" s="199"/>
      <c r="AB72" s="199"/>
      <c r="AC72" s="199"/>
      <c r="AD72" s="199"/>
      <c r="AE72" s="199"/>
      <c r="AF72" s="206"/>
      <c r="AG72" s="64">
        <f t="shared" si="5"/>
        <v>3</v>
      </c>
    </row>
    <row r="73" spans="1:33" ht="18.75" x14ac:dyDescent="0.25">
      <c r="A73" s="301" t="s">
        <v>125</v>
      </c>
      <c r="B73" s="248"/>
      <c r="C73" s="199"/>
      <c r="D73" s="162"/>
      <c r="E73" s="199"/>
      <c r="F73" s="199"/>
      <c r="G73" s="162"/>
      <c r="H73" s="199"/>
      <c r="I73" s="162"/>
      <c r="J73" s="199"/>
      <c r="K73" s="199"/>
      <c r="L73" s="199"/>
      <c r="M73" s="199"/>
      <c r="N73" s="199"/>
      <c r="O73" s="199"/>
      <c r="P73" s="199"/>
      <c r="Q73" s="199"/>
      <c r="R73" s="199"/>
      <c r="S73" s="199"/>
      <c r="T73" s="199"/>
      <c r="U73" s="199"/>
      <c r="V73" s="199"/>
      <c r="W73" s="199"/>
      <c r="X73" s="199"/>
      <c r="Y73" s="199"/>
      <c r="Z73" s="199"/>
      <c r="AA73" s="199"/>
      <c r="AB73" s="199"/>
      <c r="AC73" s="199"/>
      <c r="AD73" s="199"/>
      <c r="AE73" s="199"/>
      <c r="AF73" s="206"/>
      <c r="AG73" s="64">
        <f t="shared" si="5"/>
        <v>0</v>
      </c>
    </row>
    <row r="74" spans="1:33" ht="18.75" x14ac:dyDescent="0.25">
      <c r="A74" s="301" t="s">
        <v>124</v>
      </c>
      <c r="B74" s="248"/>
      <c r="C74" s="199"/>
      <c r="D74" s="162"/>
      <c r="E74" s="199"/>
      <c r="F74" s="199"/>
      <c r="G74" s="162"/>
      <c r="H74" s="199"/>
      <c r="I74" s="162"/>
      <c r="J74" s="199"/>
      <c r="K74" s="199"/>
      <c r="L74" s="199"/>
      <c r="M74" s="199"/>
      <c r="N74" s="199"/>
      <c r="O74" s="199">
        <v>1</v>
      </c>
      <c r="P74" s="199"/>
      <c r="Q74" s="199"/>
      <c r="R74" s="199"/>
      <c r="S74" s="199"/>
      <c r="T74" s="199"/>
      <c r="U74" s="199"/>
      <c r="V74" s="199"/>
      <c r="W74" s="199"/>
      <c r="X74" s="199"/>
      <c r="Y74" s="199"/>
      <c r="Z74" s="199"/>
      <c r="AA74" s="199"/>
      <c r="AB74" s="199"/>
      <c r="AC74" s="199"/>
      <c r="AD74" s="199"/>
      <c r="AE74" s="199"/>
      <c r="AF74" s="206"/>
      <c r="AG74" s="64">
        <f t="shared" si="5"/>
        <v>1</v>
      </c>
    </row>
    <row r="75" spans="1:33" ht="18.75" x14ac:dyDescent="0.25">
      <c r="A75" s="301" t="s">
        <v>123</v>
      </c>
      <c r="B75" s="248"/>
      <c r="C75" s="199"/>
      <c r="D75" s="162"/>
      <c r="E75" s="199"/>
      <c r="F75" s="199"/>
      <c r="G75" s="162"/>
      <c r="H75" s="199"/>
      <c r="I75" s="162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9"/>
      <c r="Y75" s="199"/>
      <c r="Z75" s="199"/>
      <c r="AA75" s="199"/>
      <c r="AB75" s="199"/>
      <c r="AC75" s="199"/>
      <c r="AD75" s="199"/>
      <c r="AE75" s="199"/>
      <c r="AF75" s="206"/>
      <c r="AG75" s="64">
        <f t="shared" si="5"/>
        <v>0</v>
      </c>
    </row>
    <row r="76" spans="1:33" ht="18.75" x14ac:dyDescent="0.25">
      <c r="A76" s="301" t="s">
        <v>122</v>
      </c>
      <c r="B76" s="248"/>
      <c r="C76" s="199"/>
      <c r="D76" s="162"/>
      <c r="E76" s="199"/>
      <c r="F76" s="199"/>
      <c r="G76" s="162"/>
      <c r="H76" s="199"/>
      <c r="I76" s="162"/>
      <c r="J76" s="199"/>
      <c r="K76" s="199"/>
      <c r="L76" s="199"/>
      <c r="M76" s="199"/>
      <c r="N76" s="199"/>
      <c r="O76" s="199"/>
      <c r="P76" s="199"/>
      <c r="Q76" s="199"/>
      <c r="R76" s="199"/>
      <c r="S76" s="199"/>
      <c r="T76" s="199"/>
      <c r="U76" s="199"/>
      <c r="V76" s="199"/>
      <c r="W76" s="199"/>
      <c r="X76" s="199"/>
      <c r="Y76" s="199"/>
      <c r="Z76" s="199"/>
      <c r="AA76" s="199"/>
      <c r="AB76" s="199"/>
      <c r="AC76" s="199"/>
      <c r="AD76" s="199"/>
      <c r="AE76" s="199"/>
      <c r="AF76" s="206"/>
      <c r="AG76" s="64">
        <f t="shared" si="5"/>
        <v>0</v>
      </c>
    </row>
    <row r="77" spans="1:33" ht="19.5" thickBot="1" x14ac:dyDescent="0.3">
      <c r="A77" s="305" t="s">
        <v>121</v>
      </c>
      <c r="B77" s="253"/>
      <c r="C77" s="184"/>
      <c r="D77" s="181"/>
      <c r="E77" s="184"/>
      <c r="F77" s="184"/>
      <c r="G77" s="181"/>
      <c r="H77" s="184"/>
      <c r="I77" s="181"/>
      <c r="J77" s="184"/>
      <c r="K77" s="184"/>
      <c r="L77" s="184"/>
      <c r="M77" s="184"/>
      <c r="N77" s="184"/>
      <c r="O77" s="184"/>
      <c r="P77" s="184"/>
      <c r="Q77" s="184"/>
      <c r="R77" s="184"/>
      <c r="S77" s="184"/>
      <c r="T77" s="184"/>
      <c r="U77" s="184"/>
      <c r="V77" s="184"/>
      <c r="W77" s="184"/>
      <c r="X77" s="184">
        <v>1</v>
      </c>
      <c r="Y77" s="184"/>
      <c r="Z77" s="184"/>
      <c r="AA77" s="184"/>
      <c r="AB77" s="184"/>
      <c r="AC77" s="184"/>
      <c r="AD77" s="184"/>
      <c r="AE77" s="184"/>
      <c r="AF77" s="183"/>
      <c r="AG77" s="160">
        <f t="shared" si="5"/>
        <v>1</v>
      </c>
    </row>
    <row r="78" spans="1:33" ht="19.5" hidden="1" customHeight="1" thickBot="1" x14ac:dyDescent="0.3">
      <c r="A78" s="306" t="s">
        <v>120</v>
      </c>
      <c r="B78" s="254">
        <f t="shared" ref="B78:AF78" si="6">SUM(B79:B80)</f>
        <v>191</v>
      </c>
      <c r="C78" s="204">
        <f t="shared" si="6"/>
        <v>173</v>
      </c>
      <c r="D78" s="204">
        <f t="shared" si="6"/>
        <v>152</v>
      </c>
      <c r="E78" s="201">
        <f t="shared" si="6"/>
        <v>142</v>
      </c>
      <c r="F78" s="201">
        <f t="shared" si="6"/>
        <v>143</v>
      </c>
      <c r="G78" s="201">
        <f t="shared" si="6"/>
        <v>148</v>
      </c>
      <c r="H78" s="201">
        <f t="shared" si="6"/>
        <v>161</v>
      </c>
      <c r="I78" s="201">
        <f t="shared" si="6"/>
        <v>215</v>
      </c>
      <c r="J78" s="201">
        <f t="shared" si="6"/>
        <v>173</v>
      </c>
      <c r="K78" s="201">
        <f t="shared" si="6"/>
        <v>178</v>
      </c>
      <c r="L78" s="201">
        <f t="shared" si="6"/>
        <v>166</v>
      </c>
      <c r="M78" s="201">
        <f t="shared" si="6"/>
        <v>176</v>
      </c>
      <c r="N78" s="201">
        <f t="shared" si="6"/>
        <v>152</v>
      </c>
      <c r="O78" s="201">
        <f t="shared" si="6"/>
        <v>135</v>
      </c>
      <c r="P78" s="201">
        <f t="shared" si="6"/>
        <v>173</v>
      </c>
      <c r="Q78" s="201">
        <f t="shared" si="6"/>
        <v>170</v>
      </c>
      <c r="R78" s="201">
        <f t="shared" si="6"/>
        <v>148</v>
      </c>
      <c r="S78" s="201">
        <f t="shared" si="6"/>
        <v>174</v>
      </c>
      <c r="T78" s="201">
        <f t="shared" si="6"/>
        <v>143</v>
      </c>
      <c r="U78" s="201">
        <f t="shared" si="6"/>
        <v>149</v>
      </c>
      <c r="V78" s="201">
        <f t="shared" si="6"/>
        <v>130</v>
      </c>
      <c r="W78" s="201">
        <f t="shared" si="6"/>
        <v>145</v>
      </c>
      <c r="X78" s="201">
        <f t="shared" si="6"/>
        <v>147</v>
      </c>
      <c r="Y78" s="201">
        <f t="shared" si="6"/>
        <v>132</v>
      </c>
      <c r="Z78" s="201">
        <f t="shared" si="6"/>
        <v>132</v>
      </c>
      <c r="AA78" s="201">
        <f t="shared" si="6"/>
        <v>130</v>
      </c>
      <c r="AB78" s="201">
        <f t="shared" si="6"/>
        <v>144</v>
      </c>
      <c r="AC78" s="201">
        <f t="shared" si="6"/>
        <v>127</v>
      </c>
      <c r="AD78" s="201">
        <f t="shared" si="6"/>
        <v>0</v>
      </c>
      <c r="AE78" s="201">
        <f t="shared" si="6"/>
        <v>0</v>
      </c>
      <c r="AF78" s="203">
        <f t="shared" si="6"/>
        <v>0</v>
      </c>
      <c r="AG78" s="157">
        <f t="shared" si="5"/>
        <v>4349</v>
      </c>
    </row>
    <row r="79" spans="1:33" ht="19.5" hidden="1" customHeight="1" thickBot="1" x14ac:dyDescent="0.3">
      <c r="A79" s="307" t="s">
        <v>118</v>
      </c>
      <c r="B79" s="248">
        <f t="shared" ref="B79:AF79" si="7">SUM(B4:B27)-B80</f>
        <v>191</v>
      </c>
      <c r="C79" s="199">
        <f t="shared" si="7"/>
        <v>173</v>
      </c>
      <c r="D79" s="199">
        <f t="shared" si="7"/>
        <v>152</v>
      </c>
      <c r="E79" s="199">
        <f t="shared" si="7"/>
        <v>142</v>
      </c>
      <c r="F79" s="199">
        <f t="shared" si="7"/>
        <v>88</v>
      </c>
      <c r="G79" s="199">
        <f t="shared" si="7"/>
        <v>65</v>
      </c>
      <c r="H79" s="199">
        <f t="shared" si="7"/>
        <v>84</v>
      </c>
      <c r="I79" s="199">
        <f t="shared" si="7"/>
        <v>215</v>
      </c>
      <c r="J79" s="199">
        <f t="shared" si="7"/>
        <v>173</v>
      </c>
      <c r="K79" s="199">
        <f t="shared" si="7"/>
        <v>178</v>
      </c>
      <c r="L79" s="199">
        <f t="shared" si="7"/>
        <v>166</v>
      </c>
      <c r="M79" s="199">
        <f t="shared" si="7"/>
        <v>90</v>
      </c>
      <c r="N79" s="199">
        <f t="shared" si="7"/>
        <v>72</v>
      </c>
      <c r="O79" s="199">
        <f t="shared" si="7"/>
        <v>71</v>
      </c>
      <c r="P79" s="199">
        <f t="shared" si="7"/>
        <v>173</v>
      </c>
      <c r="Q79" s="199">
        <f t="shared" si="7"/>
        <v>170</v>
      </c>
      <c r="R79" s="199">
        <f t="shared" si="7"/>
        <v>78</v>
      </c>
      <c r="S79" s="199">
        <f t="shared" si="7"/>
        <v>90</v>
      </c>
      <c r="T79" s="199">
        <f t="shared" si="7"/>
        <v>104</v>
      </c>
      <c r="U79" s="199">
        <f t="shared" si="7"/>
        <v>74</v>
      </c>
      <c r="V79" s="199">
        <f t="shared" si="7"/>
        <v>66</v>
      </c>
      <c r="W79" s="199">
        <f t="shared" si="7"/>
        <v>145</v>
      </c>
      <c r="X79" s="199">
        <f t="shared" si="7"/>
        <v>147</v>
      </c>
      <c r="Y79" s="199">
        <f t="shared" si="7"/>
        <v>85</v>
      </c>
      <c r="Z79" s="199">
        <f t="shared" si="7"/>
        <v>132</v>
      </c>
      <c r="AA79" s="199">
        <f t="shared" si="7"/>
        <v>88</v>
      </c>
      <c r="AB79" s="199">
        <f t="shared" si="7"/>
        <v>85</v>
      </c>
      <c r="AC79" s="199">
        <f t="shared" si="7"/>
        <v>66</v>
      </c>
      <c r="AD79" s="199">
        <f t="shared" si="7"/>
        <v>0</v>
      </c>
      <c r="AE79" s="199">
        <f t="shared" si="7"/>
        <v>0</v>
      </c>
      <c r="AF79" s="199">
        <f t="shared" si="7"/>
        <v>0</v>
      </c>
      <c r="AG79" s="134">
        <f t="shared" si="5"/>
        <v>3363</v>
      </c>
    </row>
    <row r="80" spans="1:33" ht="19.5" hidden="1" customHeight="1" thickBot="1" x14ac:dyDescent="0.3">
      <c r="A80" s="308" t="s">
        <v>119</v>
      </c>
      <c r="B80" s="255"/>
      <c r="C80" s="169"/>
      <c r="D80" s="181">
        <v>0</v>
      </c>
      <c r="E80" s="181">
        <v>0</v>
      </c>
      <c r="F80" s="181">
        <f>SUM(F4:F12)</f>
        <v>55</v>
      </c>
      <c r="G80" s="181">
        <f>SUM(G4:G12)</f>
        <v>83</v>
      </c>
      <c r="H80" s="181">
        <f>SUM(H4:H12)</f>
        <v>77</v>
      </c>
      <c r="I80" s="169"/>
      <c r="J80" s="169"/>
      <c r="K80" s="181">
        <v>0</v>
      </c>
      <c r="L80" s="181">
        <v>0</v>
      </c>
      <c r="M80" s="181">
        <f>SUM(M4:M12)</f>
        <v>86</v>
      </c>
      <c r="N80" s="181">
        <f>SUM(N4:N12)</f>
        <v>80</v>
      </c>
      <c r="O80" s="181">
        <f>SUM(O4:O12)</f>
        <v>64</v>
      </c>
      <c r="P80" s="169"/>
      <c r="Q80" s="169"/>
      <c r="R80" s="181">
        <f>SUM(R4:R12)</f>
        <v>70</v>
      </c>
      <c r="S80" s="181">
        <f>SUM(S4:S12)</f>
        <v>84</v>
      </c>
      <c r="T80" s="181">
        <f>SUM(T4:T12)</f>
        <v>39</v>
      </c>
      <c r="U80" s="181">
        <f>SUM(U4:U12)</f>
        <v>75</v>
      </c>
      <c r="V80" s="181">
        <f>SUM(V4:V12)</f>
        <v>64</v>
      </c>
      <c r="W80" s="169"/>
      <c r="X80" s="169"/>
      <c r="Y80" s="181">
        <f>SUM(Y4:Y12)</f>
        <v>47</v>
      </c>
      <c r="Z80" s="169"/>
      <c r="AA80" s="181">
        <f>SUM(AA4:AA12)</f>
        <v>42</v>
      </c>
      <c r="AB80" s="181">
        <f>SUM(AB4:AB12)</f>
        <v>59</v>
      </c>
      <c r="AC80" s="181">
        <f>SUM(AC4:AC12)</f>
        <v>61</v>
      </c>
      <c r="AD80" s="169"/>
      <c r="AE80" s="169"/>
      <c r="AF80" s="181">
        <f>SUM(AF4:AF12)</f>
        <v>0</v>
      </c>
      <c r="AG80" s="160">
        <f t="shared" si="5"/>
        <v>986</v>
      </c>
    </row>
    <row r="81" spans="1:35" ht="19.5" thickBot="1" x14ac:dyDescent="0.3">
      <c r="A81" s="306" t="s">
        <v>84</v>
      </c>
      <c r="B81" s="256">
        <f t="shared" ref="B81:AF81" si="8">SUM(B82:B83)</f>
        <v>12</v>
      </c>
      <c r="C81" s="201">
        <f t="shared" si="8"/>
        <v>11</v>
      </c>
      <c r="D81" s="201">
        <f t="shared" si="8"/>
        <v>5</v>
      </c>
      <c r="E81" s="201">
        <f t="shared" si="8"/>
        <v>7</v>
      </c>
      <c r="F81" s="201">
        <f t="shared" si="8"/>
        <v>4</v>
      </c>
      <c r="G81" s="201">
        <f t="shared" si="8"/>
        <v>4</v>
      </c>
      <c r="H81" s="201">
        <f t="shared" si="8"/>
        <v>13</v>
      </c>
      <c r="I81" s="201">
        <f t="shared" si="8"/>
        <v>11</v>
      </c>
      <c r="J81" s="201">
        <f t="shared" si="8"/>
        <v>9</v>
      </c>
      <c r="K81" s="201">
        <f t="shared" si="8"/>
        <v>18</v>
      </c>
      <c r="L81" s="201">
        <f t="shared" si="8"/>
        <v>6</v>
      </c>
      <c r="M81" s="201">
        <f t="shared" si="8"/>
        <v>5</v>
      </c>
      <c r="N81" s="201">
        <f t="shared" si="8"/>
        <v>5</v>
      </c>
      <c r="O81" s="201">
        <f t="shared" si="8"/>
        <v>2</v>
      </c>
      <c r="P81" s="201">
        <f t="shared" si="8"/>
        <v>9</v>
      </c>
      <c r="Q81" s="201">
        <f t="shared" si="8"/>
        <v>5</v>
      </c>
      <c r="R81" s="201">
        <f t="shared" si="8"/>
        <v>9</v>
      </c>
      <c r="S81" s="201">
        <f t="shared" si="8"/>
        <v>10</v>
      </c>
      <c r="T81" s="201">
        <f t="shared" si="8"/>
        <v>10</v>
      </c>
      <c r="U81" s="201">
        <f t="shared" si="8"/>
        <v>3</v>
      </c>
      <c r="V81" s="201">
        <f t="shared" si="8"/>
        <v>2</v>
      </c>
      <c r="W81" s="201">
        <f t="shared" si="8"/>
        <v>2</v>
      </c>
      <c r="X81" s="201">
        <f t="shared" si="8"/>
        <v>7</v>
      </c>
      <c r="Y81" s="201">
        <f t="shared" si="8"/>
        <v>4</v>
      </c>
      <c r="Z81" s="201">
        <f t="shared" si="8"/>
        <v>8</v>
      </c>
      <c r="AA81" s="201">
        <f t="shared" si="8"/>
        <v>3</v>
      </c>
      <c r="AB81" s="201">
        <f t="shared" si="8"/>
        <v>5</v>
      </c>
      <c r="AC81" s="201">
        <f t="shared" si="8"/>
        <v>1</v>
      </c>
      <c r="AD81" s="201">
        <f t="shared" si="8"/>
        <v>0</v>
      </c>
      <c r="AE81" s="201">
        <f t="shared" si="8"/>
        <v>0</v>
      </c>
      <c r="AF81" s="201">
        <f t="shared" si="8"/>
        <v>0</v>
      </c>
      <c r="AG81" s="157">
        <f t="shared" si="5"/>
        <v>190</v>
      </c>
      <c r="AH81" s="53" t="str">
        <f>IF(AG81&lt;&gt;AG53,"*","")</f>
        <v/>
      </c>
    </row>
    <row r="82" spans="1:35" ht="18.75" x14ac:dyDescent="0.25">
      <c r="A82" s="307" t="s">
        <v>119</v>
      </c>
      <c r="B82" s="248">
        <f t="shared" ref="B82:AF82" si="9">SUM(B54:B62)</f>
        <v>9</v>
      </c>
      <c r="C82" s="199">
        <f t="shared" si="9"/>
        <v>8</v>
      </c>
      <c r="D82" s="199">
        <f t="shared" si="9"/>
        <v>3</v>
      </c>
      <c r="E82" s="199">
        <f t="shared" si="9"/>
        <v>6</v>
      </c>
      <c r="F82" s="199">
        <f t="shared" si="9"/>
        <v>3</v>
      </c>
      <c r="G82" s="199">
        <f t="shared" si="9"/>
        <v>2</v>
      </c>
      <c r="H82" s="199">
        <f t="shared" si="9"/>
        <v>4</v>
      </c>
      <c r="I82" s="199">
        <f t="shared" si="9"/>
        <v>6</v>
      </c>
      <c r="J82" s="199">
        <f t="shared" si="9"/>
        <v>4</v>
      </c>
      <c r="K82" s="199">
        <f t="shared" si="9"/>
        <v>4</v>
      </c>
      <c r="L82" s="199">
        <f t="shared" si="9"/>
        <v>4</v>
      </c>
      <c r="M82" s="199">
        <f t="shared" si="9"/>
        <v>3</v>
      </c>
      <c r="N82" s="199">
        <f t="shared" si="9"/>
        <v>4</v>
      </c>
      <c r="O82" s="199">
        <f t="shared" si="9"/>
        <v>1</v>
      </c>
      <c r="P82" s="199">
        <f t="shared" si="9"/>
        <v>1</v>
      </c>
      <c r="Q82" s="199">
        <f t="shared" si="9"/>
        <v>3</v>
      </c>
      <c r="R82" s="199">
        <f t="shared" si="9"/>
        <v>4</v>
      </c>
      <c r="S82" s="199">
        <f t="shared" si="9"/>
        <v>4</v>
      </c>
      <c r="T82" s="199">
        <f t="shared" si="9"/>
        <v>2</v>
      </c>
      <c r="U82" s="199">
        <f t="shared" si="9"/>
        <v>2</v>
      </c>
      <c r="V82" s="199">
        <f t="shared" si="9"/>
        <v>2</v>
      </c>
      <c r="W82" s="199">
        <f t="shared" si="9"/>
        <v>0</v>
      </c>
      <c r="X82" s="199">
        <f t="shared" si="9"/>
        <v>3</v>
      </c>
      <c r="Y82" s="199">
        <f t="shared" si="9"/>
        <v>1</v>
      </c>
      <c r="Z82" s="199">
        <f t="shared" si="9"/>
        <v>4</v>
      </c>
      <c r="AA82" s="199">
        <f t="shared" si="9"/>
        <v>2</v>
      </c>
      <c r="AB82" s="199">
        <f t="shared" si="9"/>
        <v>3</v>
      </c>
      <c r="AC82" s="199">
        <f t="shared" si="9"/>
        <v>0</v>
      </c>
      <c r="AD82" s="199">
        <f t="shared" si="9"/>
        <v>0</v>
      </c>
      <c r="AE82" s="199">
        <f t="shared" si="9"/>
        <v>0</v>
      </c>
      <c r="AF82" s="199">
        <f t="shared" si="9"/>
        <v>0</v>
      </c>
      <c r="AG82" s="134">
        <f t="shared" si="5"/>
        <v>92</v>
      </c>
    </row>
    <row r="83" spans="1:35" ht="19.5" thickBot="1" x14ac:dyDescent="0.3">
      <c r="A83" s="308" t="s">
        <v>118</v>
      </c>
      <c r="B83" s="252">
        <f t="shared" ref="B83:AF83" si="10">SUM(B54:B77)-B82</f>
        <v>3</v>
      </c>
      <c r="C83" s="181">
        <f t="shared" si="10"/>
        <v>3</v>
      </c>
      <c r="D83" s="181">
        <f t="shared" si="10"/>
        <v>2</v>
      </c>
      <c r="E83" s="181">
        <f t="shared" si="10"/>
        <v>1</v>
      </c>
      <c r="F83" s="181">
        <f t="shared" si="10"/>
        <v>1</v>
      </c>
      <c r="G83" s="181">
        <f t="shared" si="10"/>
        <v>2</v>
      </c>
      <c r="H83" s="181">
        <f t="shared" si="10"/>
        <v>9</v>
      </c>
      <c r="I83" s="181">
        <f t="shared" si="10"/>
        <v>5</v>
      </c>
      <c r="J83" s="181">
        <f t="shared" si="10"/>
        <v>5</v>
      </c>
      <c r="K83" s="181">
        <f t="shared" si="10"/>
        <v>14</v>
      </c>
      <c r="L83" s="181">
        <f t="shared" si="10"/>
        <v>2</v>
      </c>
      <c r="M83" s="181">
        <f t="shared" si="10"/>
        <v>2</v>
      </c>
      <c r="N83" s="181">
        <f t="shared" si="10"/>
        <v>1</v>
      </c>
      <c r="O83" s="181">
        <f t="shared" si="10"/>
        <v>1</v>
      </c>
      <c r="P83" s="181">
        <f t="shared" si="10"/>
        <v>8</v>
      </c>
      <c r="Q83" s="181">
        <f t="shared" si="10"/>
        <v>2</v>
      </c>
      <c r="R83" s="181">
        <f t="shared" si="10"/>
        <v>5</v>
      </c>
      <c r="S83" s="181">
        <f t="shared" si="10"/>
        <v>6</v>
      </c>
      <c r="T83" s="181">
        <f t="shared" si="10"/>
        <v>8</v>
      </c>
      <c r="U83" s="181">
        <f t="shared" si="10"/>
        <v>1</v>
      </c>
      <c r="V83" s="181">
        <f t="shared" si="10"/>
        <v>0</v>
      </c>
      <c r="W83" s="181">
        <f t="shared" si="10"/>
        <v>2</v>
      </c>
      <c r="X83" s="181">
        <f t="shared" si="10"/>
        <v>4</v>
      </c>
      <c r="Y83" s="181">
        <f t="shared" si="10"/>
        <v>3</v>
      </c>
      <c r="Z83" s="181">
        <f t="shared" si="10"/>
        <v>4</v>
      </c>
      <c r="AA83" s="181">
        <f t="shared" si="10"/>
        <v>1</v>
      </c>
      <c r="AB83" s="181">
        <f t="shared" si="10"/>
        <v>2</v>
      </c>
      <c r="AC83" s="181">
        <f t="shared" si="10"/>
        <v>1</v>
      </c>
      <c r="AD83" s="181">
        <f t="shared" si="10"/>
        <v>0</v>
      </c>
      <c r="AE83" s="181">
        <f t="shared" si="10"/>
        <v>0</v>
      </c>
      <c r="AF83" s="181">
        <f t="shared" si="10"/>
        <v>0</v>
      </c>
      <c r="AG83" s="64">
        <f t="shared" si="5"/>
        <v>98</v>
      </c>
    </row>
    <row r="84" spans="1:35" ht="19.5" thickBot="1" x14ac:dyDescent="0.3">
      <c r="A84" s="309" t="s">
        <v>117</v>
      </c>
      <c r="B84" s="257">
        <f t="shared" ref="B84:AF84" si="11">SUM(B85:B86)</f>
        <v>12</v>
      </c>
      <c r="C84" s="158">
        <f t="shared" si="11"/>
        <v>11</v>
      </c>
      <c r="D84" s="158">
        <f t="shared" si="11"/>
        <v>5</v>
      </c>
      <c r="E84" s="158">
        <f t="shared" si="11"/>
        <v>7</v>
      </c>
      <c r="F84" s="158">
        <f t="shared" si="11"/>
        <v>4</v>
      </c>
      <c r="G84" s="158">
        <f t="shared" si="11"/>
        <v>4</v>
      </c>
      <c r="H84" s="158">
        <f t="shared" si="11"/>
        <v>13</v>
      </c>
      <c r="I84" s="158">
        <f t="shared" si="11"/>
        <v>11</v>
      </c>
      <c r="J84" s="158">
        <f t="shared" si="11"/>
        <v>9</v>
      </c>
      <c r="K84" s="158">
        <f t="shared" si="11"/>
        <v>18</v>
      </c>
      <c r="L84" s="158">
        <f t="shared" si="11"/>
        <v>6</v>
      </c>
      <c r="M84" s="158">
        <f t="shared" si="11"/>
        <v>5</v>
      </c>
      <c r="N84" s="158">
        <f t="shared" si="11"/>
        <v>5</v>
      </c>
      <c r="O84" s="158">
        <f t="shared" si="11"/>
        <v>2</v>
      </c>
      <c r="P84" s="158">
        <f t="shared" si="11"/>
        <v>9</v>
      </c>
      <c r="Q84" s="158">
        <f t="shared" si="11"/>
        <v>5</v>
      </c>
      <c r="R84" s="158">
        <f t="shared" si="11"/>
        <v>9</v>
      </c>
      <c r="S84" s="158">
        <f t="shared" si="11"/>
        <v>10</v>
      </c>
      <c r="T84" s="158">
        <f t="shared" si="11"/>
        <v>10</v>
      </c>
      <c r="U84" s="158">
        <f t="shared" si="11"/>
        <v>3</v>
      </c>
      <c r="V84" s="158">
        <f t="shared" si="11"/>
        <v>2</v>
      </c>
      <c r="W84" s="158">
        <f t="shared" si="11"/>
        <v>2</v>
      </c>
      <c r="X84" s="158">
        <f t="shared" si="11"/>
        <v>7</v>
      </c>
      <c r="Y84" s="158">
        <f t="shared" si="11"/>
        <v>4</v>
      </c>
      <c r="Z84" s="158">
        <f t="shared" si="11"/>
        <v>8</v>
      </c>
      <c r="AA84" s="158">
        <f t="shared" si="11"/>
        <v>3</v>
      </c>
      <c r="AB84" s="158">
        <f t="shared" si="11"/>
        <v>5</v>
      </c>
      <c r="AC84" s="158">
        <f t="shared" si="11"/>
        <v>1</v>
      </c>
      <c r="AD84" s="158">
        <f t="shared" si="11"/>
        <v>0</v>
      </c>
      <c r="AE84" s="158">
        <f t="shared" si="11"/>
        <v>0</v>
      </c>
      <c r="AF84" s="158">
        <f t="shared" si="11"/>
        <v>0</v>
      </c>
      <c r="AG84" s="197">
        <f t="shared" si="5"/>
        <v>190</v>
      </c>
      <c r="AH84" s="53" t="str">
        <f>IF(AG84&lt;&gt;AG82+AG83,"*","")</f>
        <v/>
      </c>
      <c r="AI84" s="403" t="s">
        <v>71</v>
      </c>
    </row>
    <row r="85" spans="1:35" ht="18.75" x14ac:dyDescent="0.25">
      <c r="A85" s="310" t="s">
        <v>116</v>
      </c>
      <c r="B85" s="258">
        <v>0</v>
      </c>
      <c r="C85" s="195">
        <v>0</v>
      </c>
      <c r="D85" s="195">
        <v>1</v>
      </c>
      <c r="E85" s="195">
        <v>1</v>
      </c>
      <c r="F85" s="195">
        <v>0</v>
      </c>
      <c r="G85" s="195">
        <v>0</v>
      </c>
      <c r="H85" s="195">
        <v>3</v>
      </c>
      <c r="I85" s="195">
        <v>2</v>
      </c>
      <c r="J85" s="195">
        <v>0</v>
      </c>
      <c r="K85" s="195">
        <v>1</v>
      </c>
      <c r="L85" s="195">
        <v>2</v>
      </c>
      <c r="M85" s="195">
        <v>1</v>
      </c>
      <c r="N85" s="195">
        <v>0</v>
      </c>
      <c r="O85" s="195">
        <v>0</v>
      </c>
      <c r="P85" s="195">
        <v>3</v>
      </c>
      <c r="Q85" s="195">
        <v>0</v>
      </c>
      <c r="R85" s="195">
        <v>0</v>
      </c>
      <c r="S85" s="195">
        <v>3</v>
      </c>
      <c r="T85" s="195">
        <v>0</v>
      </c>
      <c r="U85" s="195">
        <v>0</v>
      </c>
      <c r="V85" s="195">
        <v>0</v>
      </c>
      <c r="W85" s="195">
        <v>0</v>
      </c>
      <c r="X85" s="195">
        <v>1</v>
      </c>
      <c r="Y85" s="195">
        <v>0</v>
      </c>
      <c r="Z85" s="195">
        <v>0</v>
      </c>
      <c r="AA85" s="195">
        <v>0</v>
      </c>
      <c r="AB85" s="195">
        <v>0</v>
      </c>
      <c r="AC85" s="195">
        <v>0</v>
      </c>
      <c r="AD85" s="195"/>
      <c r="AE85" s="195"/>
      <c r="AF85" s="194"/>
      <c r="AG85" s="193">
        <f t="shared" si="5"/>
        <v>18</v>
      </c>
      <c r="AI85" s="404"/>
    </row>
    <row r="86" spans="1:35" ht="19.5" thickBot="1" x14ac:dyDescent="0.3">
      <c r="A86" s="311" t="s">
        <v>115</v>
      </c>
      <c r="B86" s="259">
        <v>12</v>
      </c>
      <c r="C86" s="191">
        <v>11</v>
      </c>
      <c r="D86" s="191">
        <v>4</v>
      </c>
      <c r="E86" s="191">
        <v>6</v>
      </c>
      <c r="F86" s="191">
        <v>4</v>
      </c>
      <c r="G86" s="191">
        <v>4</v>
      </c>
      <c r="H86" s="191">
        <v>10</v>
      </c>
      <c r="I86" s="191">
        <v>9</v>
      </c>
      <c r="J86" s="191">
        <v>9</v>
      </c>
      <c r="K86" s="191">
        <v>17</v>
      </c>
      <c r="L86" s="191">
        <v>4</v>
      </c>
      <c r="M86" s="191">
        <v>4</v>
      </c>
      <c r="N86" s="191">
        <v>5</v>
      </c>
      <c r="O86" s="191">
        <v>2</v>
      </c>
      <c r="P86" s="191">
        <v>6</v>
      </c>
      <c r="Q86" s="191">
        <v>5</v>
      </c>
      <c r="R86" s="191">
        <v>9</v>
      </c>
      <c r="S86" s="191">
        <v>7</v>
      </c>
      <c r="T86" s="191">
        <v>10</v>
      </c>
      <c r="U86" s="191">
        <v>3</v>
      </c>
      <c r="V86" s="191">
        <v>2</v>
      </c>
      <c r="W86" s="191">
        <v>2</v>
      </c>
      <c r="X86" s="191">
        <v>6</v>
      </c>
      <c r="Y86" s="191">
        <v>4</v>
      </c>
      <c r="Z86" s="191">
        <v>8</v>
      </c>
      <c r="AA86" s="191">
        <v>3</v>
      </c>
      <c r="AB86" s="191">
        <v>5</v>
      </c>
      <c r="AC86" s="191">
        <v>1</v>
      </c>
      <c r="AD86" s="191"/>
      <c r="AE86" s="191"/>
      <c r="AF86" s="190"/>
      <c r="AG86" s="189">
        <f t="shared" si="5"/>
        <v>172</v>
      </c>
      <c r="AI86" s="405"/>
    </row>
    <row r="87" spans="1:35" ht="19.5" thickBot="1" x14ac:dyDescent="0.3">
      <c r="A87" s="312" t="s">
        <v>114</v>
      </c>
      <c r="B87" s="260">
        <f t="shared" ref="B87:AF87" si="12">SUM(B88:B92)</f>
        <v>12</v>
      </c>
      <c r="C87" s="187">
        <f t="shared" si="12"/>
        <v>11</v>
      </c>
      <c r="D87" s="187">
        <f t="shared" si="12"/>
        <v>5</v>
      </c>
      <c r="E87" s="187">
        <f t="shared" si="12"/>
        <v>7</v>
      </c>
      <c r="F87" s="187">
        <f t="shared" si="12"/>
        <v>4</v>
      </c>
      <c r="G87" s="187">
        <f t="shared" si="12"/>
        <v>4</v>
      </c>
      <c r="H87" s="187">
        <f t="shared" si="12"/>
        <v>13</v>
      </c>
      <c r="I87" s="187">
        <f t="shared" si="12"/>
        <v>11</v>
      </c>
      <c r="J87" s="187">
        <f t="shared" si="12"/>
        <v>9</v>
      </c>
      <c r="K87" s="187">
        <f t="shared" si="12"/>
        <v>18</v>
      </c>
      <c r="L87" s="187">
        <f t="shared" si="12"/>
        <v>6</v>
      </c>
      <c r="M87" s="187">
        <f t="shared" si="12"/>
        <v>5</v>
      </c>
      <c r="N87" s="187">
        <f t="shared" si="12"/>
        <v>5</v>
      </c>
      <c r="O87" s="187">
        <f t="shared" si="12"/>
        <v>2</v>
      </c>
      <c r="P87" s="187">
        <f t="shared" si="12"/>
        <v>9</v>
      </c>
      <c r="Q87" s="187">
        <f t="shared" si="12"/>
        <v>5</v>
      </c>
      <c r="R87" s="187">
        <f t="shared" si="12"/>
        <v>9</v>
      </c>
      <c r="S87" s="187">
        <f t="shared" si="12"/>
        <v>10</v>
      </c>
      <c r="T87" s="187">
        <f t="shared" si="12"/>
        <v>10</v>
      </c>
      <c r="U87" s="187">
        <f t="shared" si="12"/>
        <v>3</v>
      </c>
      <c r="V87" s="187">
        <f t="shared" si="12"/>
        <v>2</v>
      </c>
      <c r="W87" s="187">
        <f t="shared" si="12"/>
        <v>2</v>
      </c>
      <c r="X87" s="187">
        <f t="shared" si="12"/>
        <v>7</v>
      </c>
      <c r="Y87" s="187">
        <f t="shared" si="12"/>
        <v>4</v>
      </c>
      <c r="Z87" s="187">
        <f t="shared" si="12"/>
        <v>8</v>
      </c>
      <c r="AA87" s="187">
        <f t="shared" si="12"/>
        <v>3</v>
      </c>
      <c r="AB87" s="187">
        <f t="shared" si="12"/>
        <v>5</v>
      </c>
      <c r="AC87" s="187">
        <f t="shared" si="12"/>
        <v>1</v>
      </c>
      <c r="AD87" s="187">
        <f t="shared" si="12"/>
        <v>0</v>
      </c>
      <c r="AE87" s="187">
        <f t="shared" si="12"/>
        <v>0</v>
      </c>
      <c r="AF87" s="187">
        <f t="shared" si="12"/>
        <v>0</v>
      </c>
      <c r="AG87" s="186">
        <f t="shared" si="5"/>
        <v>190</v>
      </c>
      <c r="AH87" s="185" t="str">
        <f>IF(AG87&lt;&gt;AG84,"*","")</f>
        <v/>
      </c>
    </row>
    <row r="88" spans="1:35" ht="18.75" x14ac:dyDescent="0.25">
      <c r="A88" s="313" t="s">
        <v>113</v>
      </c>
      <c r="B88" s="253">
        <v>5</v>
      </c>
      <c r="C88" s="184">
        <v>7</v>
      </c>
      <c r="D88" s="184">
        <v>5</v>
      </c>
      <c r="E88" s="184">
        <v>4</v>
      </c>
      <c r="F88" s="184">
        <v>2</v>
      </c>
      <c r="G88" s="184">
        <v>2</v>
      </c>
      <c r="H88" s="184">
        <v>2</v>
      </c>
      <c r="I88" s="184">
        <v>6</v>
      </c>
      <c r="J88" s="184">
        <v>9</v>
      </c>
      <c r="K88" s="184">
        <v>6</v>
      </c>
      <c r="L88" s="184">
        <v>6</v>
      </c>
      <c r="M88" s="184">
        <v>4</v>
      </c>
      <c r="N88" s="184">
        <v>2</v>
      </c>
      <c r="O88" s="184">
        <v>1</v>
      </c>
      <c r="P88" s="184">
        <v>5</v>
      </c>
      <c r="Q88" s="184">
        <v>3</v>
      </c>
      <c r="R88" s="184">
        <v>6</v>
      </c>
      <c r="S88" s="184">
        <v>7</v>
      </c>
      <c r="T88" s="184">
        <v>8</v>
      </c>
      <c r="U88" s="184">
        <v>2</v>
      </c>
      <c r="V88" s="184">
        <v>2</v>
      </c>
      <c r="W88" s="184">
        <v>1</v>
      </c>
      <c r="X88" s="184">
        <v>6</v>
      </c>
      <c r="Y88" s="184">
        <v>1</v>
      </c>
      <c r="Z88" s="184">
        <v>5</v>
      </c>
      <c r="AA88" s="184">
        <v>2</v>
      </c>
      <c r="AB88" s="184">
        <v>2</v>
      </c>
      <c r="AC88" s="184"/>
      <c r="AD88" s="184"/>
      <c r="AE88" s="184"/>
      <c r="AF88" s="183"/>
      <c r="AG88" s="134">
        <f t="shared" si="5"/>
        <v>111</v>
      </c>
    </row>
    <row r="89" spans="1:35" ht="18.75" x14ac:dyDescent="0.25">
      <c r="A89" s="314" t="s">
        <v>16</v>
      </c>
      <c r="B89" s="252"/>
      <c r="C89" s="181"/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  <c r="AA89" s="181"/>
      <c r="AB89" s="181"/>
      <c r="AC89" s="181"/>
      <c r="AD89" s="181"/>
      <c r="AE89" s="181"/>
      <c r="AF89" s="180"/>
      <c r="AG89" s="64">
        <f t="shared" si="5"/>
        <v>0</v>
      </c>
    </row>
    <row r="90" spans="1:35" ht="18.75" x14ac:dyDescent="0.25">
      <c r="A90" s="314" t="s">
        <v>15</v>
      </c>
      <c r="B90" s="252"/>
      <c r="C90" s="181">
        <v>1</v>
      </c>
      <c r="D90" s="181"/>
      <c r="E90" s="181"/>
      <c r="F90" s="181"/>
      <c r="G90" s="181"/>
      <c r="H90" s="181"/>
      <c r="I90" s="181"/>
      <c r="J90" s="181"/>
      <c r="K90" s="181"/>
      <c r="L90" s="181"/>
      <c r="M90" s="181"/>
      <c r="N90" s="181">
        <v>1</v>
      </c>
      <c r="O90" s="181"/>
      <c r="P90" s="181"/>
      <c r="Q90" s="181"/>
      <c r="R90" s="181"/>
      <c r="S90" s="181"/>
      <c r="T90" s="181"/>
      <c r="U90" s="181"/>
      <c r="V90" s="181"/>
      <c r="W90" s="181"/>
      <c r="X90" s="181"/>
      <c r="Y90" s="181"/>
      <c r="Z90" s="181"/>
      <c r="AA90" s="181"/>
      <c r="AB90" s="181"/>
      <c r="AC90" s="181"/>
      <c r="AD90" s="181"/>
      <c r="AE90" s="181"/>
      <c r="AF90" s="180"/>
      <c r="AG90" s="64">
        <f t="shared" si="5"/>
        <v>2</v>
      </c>
    </row>
    <row r="91" spans="1:35" ht="18.75" x14ac:dyDescent="0.25">
      <c r="A91" s="314" t="s">
        <v>14</v>
      </c>
      <c r="B91" s="252">
        <v>3</v>
      </c>
      <c r="C91" s="181">
        <v>2</v>
      </c>
      <c r="D91" s="181"/>
      <c r="E91" s="181">
        <v>1</v>
      </c>
      <c r="F91" s="181">
        <v>1</v>
      </c>
      <c r="G91" s="181">
        <v>1</v>
      </c>
      <c r="H91" s="181">
        <v>9</v>
      </c>
      <c r="I91" s="181">
        <v>3</v>
      </c>
      <c r="J91" s="181"/>
      <c r="K91" s="181">
        <v>10</v>
      </c>
      <c r="L91" s="181"/>
      <c r="M91" s="181">
        <v>1</v>
      </c>
      <c r="N91" s="181">
        <v>1</v>
      </c>
      <c r="O91" s="181">
        <v>1</v>
      </c>
      <c r="P91" s="181">
        <v>2</v>
      </c>
      <c r="Q91" s="181">
        <v>2</v>
      </c>
      <c r="R91" s="181">
        <v>3</v>
      </c>
      <c r="S91" s="181">
        <v>2</v>
      </c>
      <c r="T91" s="181">
        <v>1</v>
      </c>
      <c r="U91" s="181"/>
      <c r="V91" s="181"/>
      <c r="W91" s="181">
        <v>1</v>
      </c>
      <c r="X91" s="181">
        <v>1</v>
      </c>
      <c r="Y91" s="181">
        <v>1</v>
      </c>
      <c r="Z91" s="181">
        <v>1</v>
      </c>
      <c r="AA91" s="181">
        <v>1</v>
      </c>
      <c r="AB91" s="181">
        <v>2</v>
      </c>
      <c r="AC91" s="181"/>
      <c r="AD91" s="181"/>
      <c r="AE91" s="181"/>
      <c r="AF91" s="180"/>
      <c r="AG91" s="64">
        <f t="shared" si="5"/>
        <v>50</v>
      </c>
    </row>
    <row r="92" spans="1:35" ht="19.5" thickBot="1" x14ac:dyDescent="0.3">
      <c r="A92" s="314" t="s">
        <v>13</v>
      </c>
      <c r="B92" s="252">
        <v>4</v>
      </c>
      <c r="C92" s="181">
        <v>1</v>
      </c>
      <c r="D92" s="181"/>
      <c r="E92" s="181">
        <v>2</v>
      </c>
      <c r="F92" s="181">
        <v>1</v>
      </c>
      <c r="G92" s="181">
        <v>1</v>
      </c>
      <c r="H92" s="181">
        <v>2</v>
      </c>
      <c r="I92" s="181">
        <v>2</v>
      </c>
      <c r="J92" s="181"/>
      <c r="K92" s="181">
        <v>2</v>
      </c>
      <c r="L92" s="181"/>
      <c r="M92" s="181"/>
      <c r="N92" s="181">
        <v>1</v>
      </c>
      <c r="O92" s="181"/>
      <c r="P92" s="181">
        <v>2</v>
      </c>
      <c r="Q92" s="181"/>
      <c r="R92" s="181"/>
      <c r="S92" s="181">
        <v>1</v>
      </c>
      <c r="T92" s="181">
        <v>1</v>
      </c>
      <c r="U92" s="181">
        <v>1</v>
      </c>
      <c r="V92" s="181"/>
      <c r="W92" s="181"/>
      <c r="X92" s="181"/>
      <c r="Y92" s="181">
        <v>2</v>
      </c>
      <c r="Z92" s="181">
        <v>2</v>
      </c>
      <c r="AA92" s="181"/>
      <c r="AB92" s="181">
        <v>1</v>
      </c>
      <c r="AC92" s="181">
        <v>1</v>
      </c>
      <c r="AD92" s="181"/>
      <c r="AE92" s="181"/>
      <c r="AF92" s="180"/>
      <c r="AG92" s="64">
        <f t="shared" si="5"/>
        <v>27</v>
      </c>
    </row>
    <row r="93" spans="1:35" ht="18.75" x14ac:dyDescent="0.25">
      <c r="A93" s="315" t="s">
        <v>112</v>
      </c>
      <c r="B93" s="261">
        <f t="shared" ref="B93:AF93" si="13">+B94+B100</f>
        <v>179</v>
      </c>
      <c r="C93" s="166">
        <f t="shared" si="13"/>
        <v>162</v>
      </c>
      <c r="D93" s="166">
        <f t="shared" si="13"/>
        <v>147</v>
      </c>
      <c r="E93" s="166">
        <f t="shared" si="13"/>
        <v>135</v>
      </c>
      <c r="F93" s="166">
        <f t="shared" si="13"/>
        <v>139</v>
      </c>
      <c r="G93" s="166">
        <f t="shared" si="13"/>
        <v>144</v>
      </c>
      <c r="H93" s="166">
        <f t="shared" si="13"/>
        <v>148</v>
      </c>
      <c r="I93" s="166">
        <f t="shared" si="13"/>
        <v>204</v>
      </c>
      <c r="J93" s="166">
        <f t="shared" si="13"/>
        <v>164</v>
      </c>
      <c r="K93" s="166">
        <f t="shared" si="13"/>
        <v>160</v>
      </c>
      <c r="L93" s="166">
        <f t="shared" si="13"/>
        <v>160</v>
      </c>
      <c r="M93" s="166">
        <f t="shared" si="13"/>
        <v>171</v>
      </c>
      <c r="N93" s="166">
        <f t="shared" si="13"/>
        <v>147</v>
      </c>
      <c r="O93" s="166">
        <f t="shared" si="13"/>
        <v>133</v>
      </c>
      <c r="P93" s="166">
        <f t="shared" si="13"/>
        <v>164</v>
      </c>
      <c r="Q93" s="166">
        <f t="shared" si="13"/>
        <v>165</v>
      </c>
      <c r="R93" s="166">
        <f t="shared" si="13"/>
        <v>139</v>
      </c>
      <c r="S93" s="166">
        <f t="shared" si="13"/>
        <v>164</v>
      </c>
      <c r="T93" s="166">
        <f t="shared" si="13"/>
        <v>133</v>
      </c>
      <c r="U93" s="166">
        <f t="shared" si="13"/>
        <v>146</v>
      </c>
      <c r="V93" s="166">
        <f t="shared" si="13"/>
        <v>128</v>
      </c>
      <c r="W93" s="166">
        <f t="shared" si="13"/>
        <v>143</v>
      </c>
      <c r="X93" s="166">
        <f t="shared" si="13"/>
        <v>140</v>
      </c>
      <c r="Y93" s="166">
        <f t="shared" si="13"/>
        <v>128</v>
      </c>
      <c r="Z93" s="166">
        <f t="shared" si="13"/>
        <v>124</v>
      </c>
      <c r="AA93" s="166">
        <f t="shared" si="13"/>
        <v>127</v>
      </c>
      <c r="AB93" s="166">
        <f t="shared" si="13"/>
        <v>139</v>
      </c>
      <c r="AC93" s="166">
        <f t="shared" si="13"/>
        <v>126</v>
      </c>
      <c r="AD93" s="166">
        <f t="shared" si="13"/>
        <v>0</v>
      </c>
      <c r="AE93" s="166">
        <f t="shared" si="13"/>
        <v>0</v>
      </c>
      <c r="AF93" s="165">
        <f t="shared" si="13"/>
        <v>0</v>
      </c>
      <c r="AG93" s="164">
        <f t="shared" si="5"/>
        <v>4159</v>
      </c>
      <c r="AH93" s="179" t="str">
        <f>IF(AG93&lt;&gt;AG28,"*","")</f>
        <v/>
      </c>
    </row>
    <row r="94" spans="1:35" ht="18.75" x14ac:dyDescent="0.25">
      <c r="A94" s="66" t="s">
        <v>111</v>
      </c>
      <c r="B94" s="262">
        <f t="shared" ref="B94:AF94" si="14">SUM(B95:B99)</f>
        <v>10</v>
      </c>
      <c r="C94" s="68">
        <f t="shared" si="14"/>
        <v>13</v>
      </c>
      <c r="D94" s="68">
        <f t="shared" si="14"/>
        <v>6</v>
      </c>
      <c r="E94" s="68">
        <f t="shared" si="14"/>
        <v>11</v>
      </c>
      <c r="F94" s="68">
        <f t="shared" si="14"/>
        <v>11</v>
      </c>
      <c r="G94" s="68">
        <f t="shared" si="14"/>
        <v>7</v>
      </c>
      <c r="H94" s="68">
        <f t="shared" si="14"/>
        <v>11</v>
      </c>
      <c r="I94" s="68">
        <f t="shared" si="14"/>
        <v>13</v>
      </c>
      <c r="J94" s="68">
        <f t="shared" si="14"/>
        <v>6</v>
      </c>
      <c r="K94" s="68">
        <f t="shared" si="14"/>
        <v>9</v>
      </c>
      <c r="L94" s="68">
        <f t="shared" si="14"/>
        <v>5</v>
      </c>
      <c r="M94" s="68">
        <f t="shared" si="14"/>
        <v>6</v>
      </c>
      <c r="N94" s="68">
        <f t="shared" si="14"/>
        <v>16</v>
      </c>
      <c r="O94" s="68">
        <f t="shared" si="14"/>
        <v>13</v>
      </c>
      <c r="P94" s="68">
        <f t="shared" si="14"/>
        <v>10</v>
      </c>
      <c r="Q94" s="68">
        <f t="shared" si="14"/>
        <v>12</v>
      </c>
      <c r="R94" s="68">
        <f t="shared" si="14"/>
        <v>3</v>
      </c>
      <c r="S94" s="68">
        <f t="shared" si="14"/>
        <v>13</v>
      </c>
      <c r="T94" s="68">
        <f t="shared" si="14"/>
        <v>4</v>
      </c>
      <c r="U94" s="68">
        <f t="shared" si="14"/>
        <v>8</v>
      </c>
      <c r="V94" s="68">
        <f t="shared" si="14"/>
        <v>6</v>
      </c>
      <c r="W94" s="68">
        <f t="shared" si="14"/>
        <v>12</v>
      </c>
      <c r="X94" s="68">
        <f t="shared" si="14"/>
        <v>14</v>
      </c>
      <c r="Y94" s="68">
        <f t="shared" si="14"/>
        <v>7</v>
      </c>
      <c r="Z94" s="68">
        <f t="shared" si="14"/>
        <v>7</v>
      </c>
      <c r="AA94" s="68">
        <f t="shared" si="14"/>
        <v>12</v>
      </c>
      <c r="AB94" s="68">
        <f t="shared" si="14"/>
        <v>14</v>
      </c>
      <c r="AC94" s="68">
        <f t="shared" si="14"/>
        <v>13</v>
      </c>
      <c r="AD94" s="68">
        <f t="shared" si="14"/>
        <v>0</v>
      </c>
      <c r="AE94" s="68">
        <f t="shared" si="14"/>
        <v>0</v>
      </c>
      <c r="AF94" s="67">
        <f t="shared" si="14"/>
        <v>0</v>
      </c>
      <c r="AG94" s="64">
        <f t="shared" si="5"/>
        <v>272</v>
      </c>
    </row>
    <row r="95" spans="1:35" ht="18.75" x14ac:dyDescent="0.25">
      <c r="A95" s="316" t="s">
        <v>110</v>
      </c>
      <c r="B95" s="249">
        <v>2</v>
      </c>
      <c r="C95" s="162">
        <v>0</v>
      </c>
      <c r="D95" s="162">
        <v>1</v>
      </c>
      <c r="E95" s="162"/>
      <c r="F95" s="162">
        <v>1</v>
      </c>
      <c r="G95" s="162"/>
      <c r="H95" s="162"/>
      <c r="I95" s="162"/>
      <c r="J95" s="162"/>
      <c r="K95" s="162"/>
      <c r="L95" s="162"/>
      <c r="M95" s="162"/>
      <c r="N95" s="162">
        <v>1</v>
      </c>
      <c r="O95" s="162"/>
      <c r="P95" s="162">
        <v>1</v>
      </c>
      <c r="Q95" s="162"/>
      <c r="R95" s="162"/>
      <c r="S95" s="162"/>
      <c r="T95" s="162"/>
      <c r="U95" s="162"/>
      <c r="V95" s="162"/>
      <c r="W95" s="162">
        <v>1</v>
      </c>
      <c r="X95" s="162">
        <v>1</v>
      </c>
      <c r="Y95" s="162">
        <v>1</v>
      </c>
      <c r="Z95" s="162"/>
      <c r="AA95" s="162"/>
      <c r="AB95" s="162"/>
      <c r="AC95" s="162">
        <v>1</v>
      </c>
      <c r="AD95" s="162"/>
      <c r="AE95" s="162"/>
      <c r="AF95" s="161"/>
      <c r="AG95" s="64">
        <f t="shared" si="5"/>
        <v>10</v>
      </c>
    </row>
    <row r="96" spans="1:35" ht="18.75" x14ac:dyDescent="0.25">
      <c r="A96" s="317" t="s">
        <v>109</v>
      </c>
      <c r="B96" s="249"/>
      <c r="C96" s="162">
        <v>1</v>
      </c>
      <c r="D96" s="162"/>
      <c r="E96" s="162"/>
      <c r="F96" s="162"/>
      <c r="G96" s="162"/>
      <c r="H96" s="162">
        <v>1</v>
      </c>
      <c r="I96" s="162">
        <v>1</v>
      </c>
      <c r="J96" s="162">
        <v>1</v>
      </c>
      <c r="K96" s="162">
        <v>1</v>
      </c>
      <c r="L96" s="162"/>
      <c r="M96" s="162"/>
      <c r="N96" s="162">
        <v>2</v>
      </c>
      <c r="O96" s="162"/>
      <c r="P96" s="162">
        <v>2</v>
      </c>
      <c r="Q96" s="162"/>
      <c r="R96" s="162"/>
      <c r="S96" s="176">
        <v>1</v>
      </c>
      <c r="T96" s="162"/>
      <c r="U96" s="162">
        <v>1</v>
      </c>
      <c r="V96" s="162"/>
      <c r="W96" s="162">
        <v>1</v>
      </c>
      <c r="X96" s="162"/>
      <c r="Y96" s="162"/>
      <c r="Z96" s="162"/>
      <c r="AA96" s="162">
        <v>3</v>
      </c>
      <c r="AB96" s="162"/>
      <c r="AC96" s="162">
        <v>1</v>
      </c>
      <c r="AD96" s="162"/>
      <c r="AE96" s="162"/>
      <c r="AF96" s="161"/>
      <c r="AG96" s="64">
        <f t="shared" si="5"/>
        <v>16</v>
      </c>
    </row>
    <row r="97" spans="1:33" ht="18.75" x14ac:dyDescent="0.25">
      <c r="A97" s="318" t="s">
        <v>108</v>
      </c>
      <c r="B97" s="249"/>
      <c r="C97" s="162">
        <v>6</v>
      </c>
      <c r="D97" s="162">
        <v>1</v>
      </c>
      <c r="E97" s="162"/>
      <c r="F97" s="162">
        <v>1</v>
      </c>
      <c r="G97" s="162"/>
      <c r="H97" s="162">
        <v>1</v>
      </c>
      <c r="I97" s="162">
        <v>2</v>
      </c>
      <c r="J97" s="162">
        <v>2</v>
      </c>
      <c r="K97" s="162">
        <v>2</v>
      </c>
      <c r="L97" s="162"/>
      <c r="M97" s="162">
        <v>2</v>
      </c>
      <c r="N97" s="162">
        <v>1</v>
      </c>
      <c r="O97" s="162">
        <v>3</v>
      </c>
      <c r="P97" s="162">
        <v>1</v>
      </c>
      <c r="Q97" s="162">
        <v>5</v>
      </c>
      <c r="R97" s="162">
        <v>1</v>
      </c>
      <c r="S97" s="162">
        <v>4</v>
      </c>
      <c r="T97" s="162">
        <v>1</v>
      </c>
      <c r="U97" s="162">
        <v>2</v>
      </c>
      <c r="V97" s="162">
        <v>1</v>
      </c>
      <c r="W97" s="162">
        <v>4</v>
      </c>
      <c r="X97" s="162">
        <v>2</v>
      </c>
      <c r="Y97" s="162">
        <v>2</v>
      </c>
      <c r="Z97" s="162">
        <v>1</v>
      </c>
      <c r="AA97" s="162">
        <v>1</v>
      </c>
      <c r="AB97" s="162">
        <v>3</v>
      </c>
      <c r="AC97" s="162">
        <v>3</v>
      </c>
      <c r="AD97" s="162"/>
      <c r="AE97" s="162"/>
      <c r="AF97" s="161"/>
      <c r="AG97" s="64">
        <f t="shared" si="5"/>
        <v>52</v>
      </c>
    </row>
    <row r="98" spans="1:33" ht="18.75" x14ac:dyDescent="0.25">
      <c r="A98" s="319" t="s">
        <v>107</v>
      </c>
      <c r="B98" s="249">
        <v>2</v>
      </c>
      <c r="C98" s="162">
        <v>2</v>
      </c>
      <c r="D98" s="162">
        <v>2</v>
      </c>
      <c r="E98" s="162">
        <v>6</v>
      </c>
      <c r="F98" s="162">
        <v>5</v>
      </c>
      <c r="G98" s="162">
        <v>3</v>
      </c>
      <c r="H98" s="162">
        <v>2</v>
      </c>
      <c r="I98" s="162">
        <v>3</v>
      </c>
      <c r="J98" s="162">
        <v>1</v>
      </c>
      <c r="K98" s="162">
        <v>3</v>
      </c>
      <c r="L98" s="162">
        <v>2</v>
      </c>
      <c r="M98" s="162">
        <v>3</v>
      </c>
      <c r="N98" s="162">
        <v>6</v>
      </c>
      <c r="O98" s="162">
        <v>6</v>
      </c>
      <c r="P98" s="162">
        <v>2</v>
      </c>
      <c r="Q98" s="162">
        <v>6</v>
      </c>
      <c r="R98" s="162">
        <v>1</v>
      </c>
      <c r="S98" s="162">
        <v>4</v>
      </c>
      <c r="T98" s="162"/>
      <c r="U98" s="162">
        <v>3</v>
      </c>
      <c r="V98" s="162">
        <v>3</v>
      </c>
      <c r="W98" s="162">
        <v>3</v>
      </c>
      <c r="X98" s="162">
        <v>5</v>
      </c>
      <c r="Y98" s="162">
        <v>3</v>
      </c>
      <c r="Z98" s="162">
        <v>3</v>
      </c>
      <c r="AA98" s="162">
        <v>6</v>
      </c>
      <c r="AB98" s="162">
        <v>4</v>
      </c>
      <c r="AC98" s="162">
        <v>5</v>
      </c>
      <c r="AD98" s="162"/>
      <c r="AE98" s="162"/>
      <c r="AF98" s="161"/>
      <c r="AG98" s="64">
        <f t="shared" si="5"/>
        <v>94</v>
      </c>
    </row>
    <row r="99" spans="1:33" ht="18.75" x14ac:dyDescent="0.25">
      <c r="A99" s="320" t="s">
        <v>106</v>
      </c>
      <c r="B99" s="249">
        <v>6</v>
      </c>
      <c r="C99" s="162">
        <v>4</v>
      </c>
      <c r="D99" s="162">
        <v>2</v>
      </c>
      <c r="E99" s="162">
        <v>5</v>
      </c>
      <c r="F99" s="162">
        <v>4</v>
      </c>
      <c r="G99" s="162">
        <v>4</v>
      </c>
      <c r="H99" s="162">
        <v>7</v>
      </c>
      <c r="I99" s="162">
        <v>7</v>
      </c>
      <c r="J99" s="162">
        <v>2</v>
      </c>
      <c r="K99" s="162">
        <v>3</v>
      </c>
      <c r="L99" s="162">
        <v>3</v>
      </c>
      <c r="M99" s="162">
        <v>1</v>
      </c>
      <c r="N99" s="162">
        <v>6</v>
      </c>
      <c r="O99" s="162">
        <v>4</v>
      </c>
      <c r="P99" s="162">
        <v>4</v>
      </c>
      <c r="Q99" s="162">
        <v>1</v>
      </c>
      <c r="R99" s="162">
        <v>1</v>
      </c>
      <c r="S99" s="162">
        <v>4</v>
      </c>
      <c r="T99" s="162">
        <v>3</v>
      </c>
      <c r="U99" s="162">
        <v>2</v>
      </c>
      <c r="V99" s="162">
        <v>2</v>
      </c>
      <c r="W99" s="162">
        <v>3</v>
      </c>
      <c r="X99" s="162">
        <v>6</v>
      </c>
      <c r="Y99" s="162">
        <v>1</v>
      </c>
      <c r="Z99" s="162">
        <v>3</v>
      </c>
      <c r="AA99" s="162">
        <v>2</v>
      </c>
      <c r="AB99" s="162">
        <v>7</v>
      </c>
      <c r="AC99" s="162">
        <v>3</v>
      </c>
      <c r="AD99" s="162"/>
      <c r="AE99" s="162"/>
      <c r="AF99" s="161"/>
      <c r="AG99" s="64">
        <f t="shared" ref="AG99:AG130" si="15">SUM(B99:AF99)</f>
        <v>100</v>
      </c>
    </row>
    <row r="100" spans="1:33" ht="18.75" x14ac:dyDescent="0.25">
      <c r="A100" s="66" t="s">
        <v>105</v>
      </c>
      <c r="B100" s="262">
        <f t="shared" ref="B100:AF100" si="16">SUM(B101:B115)</f>
        <v>169</v>
      </c>
      <c r="C100" s="68">
        <f t="shared" si="16"/>
        <v>149</v>
      </c>
      <c r="D100" s="68">
        <f t="shared" si="16"/>
        <v>141</v>
      </c>
      <c r="E100" s="68">
        <f t="shared" si="16"/>
        <v>124</v>
      </c>
      <c r="F100" s="68">
        <f t="shared" si="16"/>
        <v>128</v>
      </c>
      <c r="G100" s="68">
        <f t="shared" si="16"/>
        <v>137</v>
      </c>
      <c r="H100" s="68">
        <f t="shared" si="16"/>
        <v>137</v>
      </c>
      <c r="I100" s="68">
        <f t="shared" si="16"/>
        <v>191</v>
      </c>
      <c r="J100" s="68">
        <f t="shared" si="16"/>
        <v>158</v>
      </c>
      <c r="K100" s="68">
        <f t="shared" si="16"/>
        <v>151</v>
      </c>
      <c r="L100" s="68">
        <f t="shared" si="16"/>
        <v>155</v>
      </c>
      <c r="M100" s="68">
        <f t="shared" si="16"/>
        <v>165</v>
      </c>
      <c r="N100" s="68">
        <f t="shared" si="16"/>
        <v>131</v>
      </c>
      <c r="O100" s="68">
        <f t="shared" si="16"/>
        <v>120</v>
      </c>
      <c r="P100" s="68">
        <f t="shared" si="16"/>
        <v>154</v>
      </c>
      <c r="Q100" s="68">
        <f t="shared" si="16"/>
        <v>153</v>
      </c>
      <c r="R100" s="68">
        <f t="shared" si="16"/>
        <v>136</v>
      </c>
      <c r="S100" s="68">
        <f t="shared" si="16"/>
        <v>151</v>
      </c>
      <c r="T100" s="68">
        <f t="shared" si="16"/>
        <v>129</v>
      </c>
      <c r="U100" s="68">
        <f t="shared" si="16"/>
        <v>138</v>
      </c>
      <c r="V100" s="68">
        <f t="shared" si="16"/>
        <v>122</v>
      </c>
      <c r="W100" s="68">
        <f t="shared" si="16"/>
        <v>131</v>
      </c>
      <c r="X100" s="68">
        <f t="shared" si="16"/>
        <v>126</v>
      </c>
      <c r="Y100" s="68">
        <f t="shared" si="16"/>
        <v>121</v>
      </c>
      <c r="Z100" s="68">
        <f t="shared" si="16"/>
        <v>117</v>
      </c>
      <c r="AA100" s="68">
        <f t="shared" si="16"/>
        <v>115</v>
      </c>
      <c r="AB100" s="68">
        <f t="shared" si="16"/>
        <v>125</v>
      </c>
      <c r="AC100" s="68">
        <f t="shared" si="16"/>
        <v>113</v>
      </c>
      <c r="AD100" s="68">
        <f t="shared" si="16"/>
        <v>0</v>
      </c>
      <c r="AE100" s="68">
        <f t="shared" si="16"/>
        <v>0</v>
      </c>
      <c r="AF100" s="67">
        <f t="shared" si="16"/>
        <v>0</v>
      </c>
      <c r="AG100" s="64">
        <f t="shared" si="15"/>
        <v>3887</v>
      </c>
    </row>
    <row r="101" spans="1:33" ht="18.75" x14ac:dyDescent="0.25">
      <c r="A101" s="320" t="s">
        <v>104</v>
      </c>
      <c r="B101" s="249">
        <v>9</v>
      </c>
      <c r="C101" s="162">
        <v>14</v>
      </c>
      <c r="D101" s="162">
        <v>10</v>
      </c>
      <c r="E101" s="162">
        <v>9</v>
      </c>
      <c r="F101" s="162">
        <v>15</v>
      </c>
      <c r="G101" s="162">
        <v>8</v>
      </c>
      <c r="H101" s="162">
        <v>8</v>
      </c>
      <c r="I101" s="162">
        <v>11</v>
      </c>
      <c r="J101" s="162">
        <v>5</v>
      </c>
      <c r="K101" s="162">
        <v>9</v>
      </c>
      <c r="L101" s="162">
        <v>10</v>
      </c>
      <c r="M101" s="162">
        <v>11</v>
      </c>
      <c r="N101" s="162">
        <v>3</v>
      </c>
      <c r="O101" s="162">
        <v>10</v>
      </c>
      <c r="P101" s="162">
        <v>6</v>
      </c>
      <c r="Q101" s="162">
        <v>13</v>
      </c>
      <c r="R101" s="162">
        <v>14</v>
      </c>
      <c r="S101" s="162">
        <v>12</v>
      </c>
      <c r="T101" s="162">
        <v>6</v>
      </c>
      <c r="U101" s="162">
        <v>9</v>
      </c>
      <c r="V101" s="162">
        <v>6</v>
      </c>
      <c r="W101" s="162">
        <v>5</v>
      </c>
      <c r="X101" s="162">
        <v>6</v>
      </c>
      <c r="Y101" s="162">
        <v>12</v>
      </c>
      <c r="Z101" s="162">
        <v>10</v>
      </c>
      <c r="AA101" s="162">
        <v>8</v>
      </c>
      <c r="AB101" s="162">
        <v>11</v>
      </c>
      <c r="AC101" s="162">
        <v>4</v>
      </c>
      <c r="AD101" s="162"/>
      <c r="AE101" s="162"/>
      <c r="AF101" s="161"/>
      <c r="AG101" s="64">
        <f t="shared" si="15"/>
        <v>254</v>
      </c>
    </row>
    <row r="102" spans="1:33" ht="18.75" x14ac:dyDescent="0.25">
      <c r="A102" s="320" t="s">
        <v>103</v>
      </c>
      <c r="B102" s="249">
        <v>17</v>
      </c>
      <c r="C102" s="162">
        <v>13</v>
      </c>
      <c r="D102" s="162">
        <v>18</v>
      </c>
      <c r="E102" s="162">
        <v>18</v>
      </c>
      <c r="F102" s="162">
        <v>14</v>
      </c>
      <c r="G102" s="162">
        <v>10</v>
      </c>
      <c r="H102" s="162">
        <v>15</v>
      </c>
      <c r="I102" s="162">
        <v>25</v>
      </c>
      <c r="J102" s="162">
        <v>27</v>
      </c>
      <c r="K102" s="162">
        <v>13</v>
      </c>
      <c r="L102" s="162">
        <v>12</v>
      </c>
      <c r="M102" s="162">
        <v>17</v>
      </c>
      <c r="N102" s="162">
        <v>12</v>
      </c>
      <c r="O102" s="162">
        <v>14</v>
      </c>
      <c r="P102" s="162">
        <v>18</v>
      </c>
      <c r="Q102" s="162">
        <v>23</v>
      </c>
      <c r="R102" s="162">
        <v>13</v>
      </c>
      <c r="S102" s="162">
        <v>6</v>
      </c>
      <c r="T102" s="162">
        <v>15</v>
      </c>
      <c r="U102" s="162">
        <v>15</v>
      </c>
      <c r="V102" s="162">
        <v>12</v>
      </c>
      <c r="W102" s="162">
        <v>23</v>
      </c>
      <c r="X102" s="162">
        <v>20</v>
      </c>
      <c r="Y102" s="162">
        <v>11</v>
      </c>
      <c r="Z102" s="162">
        <v>7</v>
      </c>
      <c r="AA102" s="162">
        <v>12</v>
      </c>
      <c r="AB102" s="162">
        <v>9</v>
      </c>
      <c r="AC102" s="162">
        <v>13</v>
      </c>
      <c r="AD102" s="162"/>
      <c r="AE102" s="162"/>
      <c r="AF102" s="161"/>
      <c r="AG102" s="64">
        <f t="shared" si="15"/>
        <v>422</v>
      </c>
    </row>
    <row r="103" spans="1:33" ht="18.75" x14ac:dyDescent="0.25">
      <c r="A103" s="321" t="s">
        <v>102</v>
      </c>
      <c r="B103" s="249">
        <v>22</v>
      </c>
      <c r="C103" s="162">
        <v>12</v>
      </c>
      <c r="D103" s="162">
        <v>18</v>
      </c>
      <c r="E103" s="162">
        <v>16</v>
      </c>
      <c r="F103" s="162">
        <v>15</v>
      </c>
      <c r="G103" s="162">
        <v>20</v>
      </c>
      <c r="H103" s="162">
        <v>16</v>
      </c>
      <c r="I103" s="162">
        <v>27</v>
      </c>
      <c r="J103" s="162">
        <v>19</v>
      </c>
      <c r="K103" s="162">
        <v>18</v>
      </c>
      <c r="L103" s="162">
        <v>22</v>
      </c>
      <c r="M103" s="162">
        <v>22</v>
      </c>
      <c r="N103" s="162">
        <v>14</v>
      </c>
      <c r="O103" s="162">
        <v>18</v>
      </c>
      <c r="P103" s="162">
        <v>18</v>
      </c>
      <c r="Q103" s="162">
        <v>14</v>
      </c>
      <c r="R103" s="162">
        <v>16</v>
      </c>
      <c r="S103" s="162">
        <v>16</v>
      </c>
      <c r="T103" s="162">
        <v>13</v>
      </c>
      <c r="U103" s="162">
        <v>17</v>
      </c>
      <c r="V103" s="162">
        <v>14</v>
      </c>
      <c r="W103" s="162">
        <v>9</v>
      </c>
      <c r="X103" s="162">
        <v>12</v>
      </c>
      <c r="Y103" s="162">
        <v>12</v>
      </c>
      <c r="Z103" s="162">
        <v>12</v>
      </c>
      <c r="AA103" s="162">
        <v>15</v>
      </c>
      <c r="AB103" s="162">
        <v>12</v>
      </c>
      <c r="AC103" s="162">
        <v>11</v>
      </c>
      <c r="AD103" s="162"/>
      <c r="AE103" s="162"/>
      <c r="AF103" s="161"/>
      <c r="AG103" s="64">
        <f t="shared" si="15"/>
        <v>450</v>
      </c>
    </row>
    <row r="104" spans="1:33" ht="18.75" x14ac:dyDescent="0.25">
      <c r="A104" s="321" t="s">
        <v>101</v>
      </c>
      <c r="B104" s="249">
        <v>15</v>
      </c>
      <c r="C104" s="162">
        <v>8</v>
      </c>
      <c r="D104" s="162">
        <v>11</v>
      </c>
      <c r="E104" s="162">
        <v>10</v>
      </c>
      <c r="F104" s="162">
        <v>12</v>
      </c>
      <c r="G104" s="162">
        <v>10</v>
      </c>
      <c r="H104" s="162">
        <v>10</v>
      </c>
      <c r="I104" s="162">
        <v>18</v>
      </c>
      <c r="J104" s="162">
        <v>10</v>
      </c>
      <c r="K104" s="162">
        <v>18</v>
      </c>
      <c r="L104" s="162">
        <v>16</v>
      </c>
      <c r="M104" s="162">
        <v>14</v>
      </c>
      <c r="N104" s="162">
        <v>12</v>
      </c>
      <c r="O104" s="162">
        <v>9</v>
      </c>
      <c r="P104" s="162">
        <v>17</v>
      </c>
      <c r="Q104" s="162">
        <v>11</v>
      </c>
      <c r="R104" s="162">
        <v>18</v>
      </c>
      <c r="S104" s="162">
        <v>16</v>
      </c>
      <c r="T104" s="162">
        <v>18</v>
      </c>
      <c r="U104" s="162">
        <v>13</v>
      </c>
      <c r="V104" s="162">
        <v>17</v>
      </c>
      <c r="W104" s="162">
        <v>15</v>
      </c>
      <c r="X104" s="162">
        <v>15</v>
      </c>
      <c r="Y104" s="162">
        <v>12</v>
      </c>
      <c r="Z104" s="162">
        <v>19</v>
      </c>
      <c r="AA104" s="162">
        <v>13</v>
      </c>
      <c r="AB104" s="162">
        <v>13</v>
      </c>
      <c r="AC104" s="162">
        <v>8</v>
      </c>
      <c r="AD104" s="162"/>
      <c r="AE104" s="162"/>
      <c r="AF104" s="161"/>
      <c r="AG104" s="64">
        <f t="shared" si="15"/>
        <v>378</v>
      </c>
    </row>
    <row r="105" spans="1:33" ht="18.75" x14ac:dyDescent="0.25">
      <c r="A105" s="321" t="s">
        <v>100</v>
      </c>
      <c r="B105" s="249">
        <v>15</v>
      </c>
      <c r="C105" s="162">
        <v>18</v>
      </c>
      <c r="D105" s="162">
        <v>11</v>
      </c>
      <c r="E105" s="162">
        <v>14</v>
      </c>
      <c r="F105" s="162">
        <v>9</v>
      </c>
      <c r="G105" s="162">
        <v>8</v>
      </c>
      <c r="H105" s="162">
        <v>16</v>
      </c>
      <c r="I105" s="162">
        <v>16</v>
      </c>
      <c r="J105" s="162">
        <v>12</v>
      </c>
      <c r="K105" s="162">
        <v>3</v>
      </c>
      <c r="L105" s="162">
        <v>6</v>
      </c>
      <c r="M105" s="162">
        <v>17</v>
      </c>
      <c r="N105" s="162">
        <v>19</v>
      </c>
      <c r="O105" s="162">
        <v>6</v>
      </c>
      <c r="P105" s="162">
        <v>8</v>
      </c>
      <c r="Q105" s="162">
        <v>10</v>
      </c>
      <c r="R105" s="162">
        <v>10</v>
      </c>
      <c r="S105" s="162">
        <v>10</v>
      </c>
      <c r="T105" s="162">
        <v>14</v>
      </c>
      <c r="U105" s="162">
        <v>11</v>
      </c>
      <c r="V105" s="162">
        <v>13</v>
      </c>
      <c r="W105" s="162">
        <v>9</v>
      </c>
      <c r="X105" s="162">
        <v>14</v>
      </c>
      <c r="Y105" s="162">
        <v>9</v>
      </c>
      <c r="Z105" s="162">
        <v>10</v>
      </c>
      <c r="AA105" s="162">
        <v>6</v>
      </c>
      <c r="AB105" s="162">
        <v>9</v>
      </c>
      <c r="AC105" s="162">
        <v>8</v>
      </c>
      <c r="AD105" s="162"/>
      <c r="AE105" s="162"/>
      <c r="AF105" s="161"/>
      <c r="AG105" s="64">
        <f t="shared" si="15"/>
        <v>311</v>
      </c>
    </row>
    <row r="106" spans="1:33" ht="18.75" x14ac:dyDescent="0.25">
      <c r="A106" s="321" t="s">
        <v>99</v>
      </c>
      <c r="B106" s="249">
        <v>24</v>
      </c>
      <c r="C106" s="162">
        <v>12</v>
      </c>
      <c r="D106" s="162">
        <v>13</v>
      </c>
      <c r="E106" s="162">
        <v>11</v>
      </c>
      <c r="F106" s="162">
        <v>8</v>
      </c>
      <c r="G106" s="162">
        <v>14</v>
      </c>
      <c r="H106" s="162">
        <v>6</v>
      </c>
      <c r="I106" s="162">
        <v>13</v>
      </c>
      <c r="J106" s="162">
        <v>15</v>
      </c>
      <c r="K106" s="162">
        <v>12</v>
      </c>
      <c r="L106" s="162">
        <v>9</v>
      </c>
      <c r="M106" s="162">
        <v>8</v>
      </c>
      <c r="N106" s="162">
        <v>6</v>
      </c>
      <c r="O106" s="162">
        <v>5</v>
      </c>
      <c r="P106" s="162">
        <v>11</v>
      </c>
      <c r="Q106" s="162">
        <v>15</v>
      </c>
      <c r="R106" s="162">
        <v>9</v>
      </c>
      <c r="S106" s="162">
        <v>10</v>
      </c>
      <c r="T106" s="162">
        <v>6</v>
      </c>
      <c r="U106" s="162">
        <v>9</v>
      </c>
      <c r="V106" s="162">
        <v>5</v>
      </c>
      <c r="W106" s="162">
        <v>11</v>
      </c>
      <c r="X106" s="162">
        <v>3</v>
      </c>
      <c r="Y106" s="162">
        <v>8</v>
      </c>
      <c r="Z106" s="162">
        <v>8</v>
      </c>
      <c r="AA106" s="162">
        <v>12</v>
      </c>
      <c r="AB106" s="162">
        <v>11</v>
      </c>
      <c r="AC106" s="162">
        <v>13</v>
      </c>
      <c r="AD106" s="162"/>
      <c r="AE106" s="162"/>
      <c r="AF106" s="161"/>
      <c r="AG106" s="64">
        <f t="shared" si="15"/>
        <v>287</v>
      </c>
    </row>
    <row r="107" spans="1:33" ht="18.75" x14ac:dyDescent="0.25">
      <c r="A107" s="321" t="s">
        <v>98</v>
      </c>
      <c r="B107" s="249">
        <v>13</v>
      </c>
      <c r="C107" s="162">
        <v>8</v>
      </c>
      <c r="D107" s="162">
        <v>15</v>
      </c>
      <c r="E107" s="162">
        <v>16</v>
      </c>
      <c r="F107" s="162">
        <v>9</v>
      </c>
      <c r="G107" s="162">
        <v>13</v>
      </c>
      <c r="H107" s="162">
        <v>14</v>
      </c>
      <c r="I107" s="162">
        <v>13</v>
      </c>
      <c r="J107" s="162">
        <v>11</v>
      </c>
      <c r="K107" s="162">
        <v>12</v>
      </c>
      <c r="L107" s="162">
        <v>17</v>
      </c>
      <c r="M107" s="162">
        <v>7</v>
      </c>
      <c r="N107" s="162">
        <v>8</v>
      </c>
      <c r="O107" s="162">
        <v>9</v>
      </c>
      <c r="P107" s="162">
        <v>7</v>
      </c>
      <c r="Q107" s="162">
        <v>9</v>
      </c>
      <c r="R107" s="162">
        <v>11</v>
      </c>
      <c r="S107" s="162">
        <v>9</v>
      </c>
      <c r="T107" s="162">
        <v>7</v>
      </c>
      <c r="U107" s="162">
        <v>11</v>
      </c>
      <c r="V107" s="162">
        <v>6</v>
      </c>
      <c r="W107" s="162">
        <v>12</v>
      </c>
      <c r="X107" s="162">
        <v>12</v>
      </c>
      <c r="Y107" s="162">
        <v>11</v>
      </c>
      <c r="Z107" s="162">
        <v>8</v>
      </c>
      <c r="AA107" s="162">
        <v>5</v>
      </c>
      <c r="AB107" s="162">
        <v>7</v>
      </c>
      <c r="AC107" s="162">
        <v>8</v>
      </c>
      <c r="AD107" s="162"/>
      <c r="AE107" s="162"/>
      <c r="AF107" s="161"/>
      <c r="AG107" s="64">
        <f t="shared" si="15"/>
        <v>288</v>
      </c>
    </row>
    <row r="108" spans="1:33" ht="18.75" x14ac:dyDescent="0.25">
      <c r="A108" s="321" t="s">
        <v>97</v>
      </c>
      <c r="B108" s="249">
        <v>15</v>
      </c>
      <c r="C108" s="162">
        <v>9</v>
      </c>
      <c r="D108" s="162">
        <v>13</v>
      </c>
      <c r="E108" s="162">
        <v>11</v>
      </c>
      <c r="F108" s="162">
        <v>11</v>
      </c>
      <c r="G108" s="162">
        <v>10</v>
      </c>
      <c r="H108" s="162">
        <v>13</v>
      </c>
      <c r="I108" s="162">
        <v>15</v>
      </c>
      <c r="J108" s="162">
        <v>12</v>
      </c>
      <c r="K108" s="162">
        <v>10</v>
      </c>
      <c r="L108" s="162">
        <v>14</v>
      </c>
      <c r="M108" s="162">
        <v>16</v>
      </c>
      <c r="N108" s="162">
        <v>8</v>
      </c>
      <c r="O108" s="162">
        <v>6</v>
      </c>
      <c r="P108" s="162">
        <v>17</v>
      </c>
      <c r="Q108" s="162">
        <v>12</v>
      </c>
      <c r="R108" s="162">
        <v>15</v>
      </c>
      <c r="S108" s="162">
        <v>20</v>
      </c>
      <c r="T108" s="162">
        <v>9</v>
      </c>
      <c r="U108" s="162">
        <v>11</v>
      </c>
      <c r="V108" s="162">
        <v>10</v>
      </c>
      <c r="W108" s="162">
        <v>8</v>
      </c>
      <c r="X108" s="162">
        <v>1</v>
      </c>
      <c r="Y108" s="162">
        <v>6</v>
      </c>
      <c r="Z108" s="162">
        <v>6</v>
      </c>
      <c r="AA108" s="162">
        <v>8</v>
      </c>
      <c r="AB108" s="162">
        <v>13</v>
      </c>
      <c r="AC108" s="162">
        <v>9</v>
      </c>
      <c r="AD108" s="162"/>
      <c r="AE108" s="162"/>
      <c r="AF108" s="161"/>
      <c r="AG108" s="64">
        <f t="shared" si="15"/>
        <v>308</v>
      </c>
    </row>
    <row r="109" spans="1:33" ht="18.75" x14ac:dyDescent="0.25">
      <c r="A109" s="321" t="s">
        <v>96</v>
      </c>
      <c r="B109" s="249">
        <v>12</v>
      </c>
      <c r="C109" s="162">
        <v>15</v>
      </c>
      <c r="D109" s="162">
        <v>6</v>
      </c>
      <c r="E109" s="162">
        <v>9</v>
      </c>
      <c r="F109" s="162">
        <v>9</v>
      </c>
      <c r="G109" s="162">
        <v>12</v>
      </c>
      <c r="H109" s="162">
        <v>10</v>
      </c>
      <c r="I109" s="162">
        <v>15</v>
      </c>
      <c r="J109" s="162">
        <v>8</v>
      </c>
      <c r="K109" s="162">
        <v>16</v>
      </c>
      <c r="L109" s="162">
        <v>10</v>
      </c>
      <c r="M109" s="162">
        <v>15</v>
      </c>
      <c r="N109" s="162">
        <v>15</v>
      </c>
      <c r="O109" s="162">
        <v>11</v>
      </c>
      <c r="P109" s="162">
        <v>14</v>
      </c>
      <c r="Q109" s="162">
        <v>10</v>
      </c>
      <c r="R109" s="162">
        <v>8</v>
      </c>
      <c r="S109" s="162">
        <v>14</v>
      </c>
      <c r="T109" s="162">
        <v>8</v>
      </c>
      <c r="U109" s="162">
        <v>13</v>
      </c>
      <c r="V109" s="162">
        <v>15</v>
      </c>
      <c r="W109" s="162">
        <v>11</v>
      </c>
      <c r="X109" s="162">
        <v>15</v>
      </c>
      <c r="Y109" s="162">
        <v>18</v>
      </c>
      <c r="Z109" s="162">
        <v>14</v>
      </c>
      <c r="AA109" s="162">
        <v>16</v>
      </c>
      <c r="AB109" s="162">
        <v>7</v>
      </c>
      <c r="AC109" s="162">
        <v>12</v>
      </c>
      <c r="AD109" s="162"/>
      <c r="AE109" s="162"/>
      <c r="AF109" s="161"/>
      <c r="AG109" s="64">
        <f t="shared" si="15"/>
        <v>338</v>
      </c>
    </row>
    <row r="110" spans="1:33" ht="18.75" x14ac:dyDescent="0.25">
      <c r="A110" s="321" t="s">
        <v>95</v>
      </c>
      <c r="B110" s="249">
        <v>5</v>
      </c>
      <c r="C110" s="162">
        <v>8</v>
      </c>
      <c r="D110" s="162">
        <v>9</v>
      </c>
      <c r="E110" s="162">
        <v>2</v>
      </c>
      <c r="F110" s="162">
        <v>10</v>
      </c>
      <c r="G110" s="162">
        <v>11</v>
      </c>
      <c r="H110" s="162">
        <v>7</v>
      </c>
      <c r="I110" s="162">
        <v>9</v>
      </c>
      <c r="J110" s="162">
        <v>8</v>
      </c>
      <c r="K110" s="162">
        <v>5</v>
      </c>
      <c r="L110" s="162">
        <v>13</v>
      </c>
      <c r="M110" s="162">
        <v>12</v>
      </c>
      <c r="N110" s="162">
        <v>13</v>
      </c>
      <c r="O110" s="162">
        <v>4</v>
      </c>
      <c r="P110" s="162">
        <v>7</v>
      </c>
      <c r="Q110" s="162">
        <v>14</v>
      </c>
      <c r="R110" s="162">
        <v>7</v>
      </c>
      <c r="S110" s="162">
        <v>11</v>
      </c>
      <c r="T110" s="162">
        <v>7</v>
      </c>
      <c r="U110" s="162">
        <v>12</v>
      </c>
      <c r="V110" s="162">
        <v>6</v>
      </c>
      <c r="W110" s="162">
        <v>10</v>
      </c>
      <c r="X110" s="162">
        <v>8</v>
      </c>
      <c r="Y110" s="162">
        <v>5</v>
      </c>
      <c r="Z110" s="162">
        <v>9</v>
      </c>
      <c r="AA110" s="162">
        <v>9</v>
      </c>
      <c r="AB110" s="162">
        <v>9</v>
      </c>
      <c r="AC110" s="162">
        <v>8</v>
      </c>
      <c r="AD110" s="162"/>
      <c r="AE110" s="162"/>
      <c r="AF110" s="161"/>
      <c r="AG110" s="64">
        <f t="shared" si="15"/>
        <v>238</v>
      </c>
    </row>
    <row r="111" spans="1:33" ht="18.75" x14ac:dyDescent="0.25">
      <c r="A111" s="321" t="s">
        <v>94</v>
      </c>
      <c r="B111" s="249">
        <v>5</v>
      </c>
      <c r="C111" s="162">
        <v>9</v>
      </c>
      <c r="D111" s="162">
        <v>3</v>
      </c>
      <c r="E111" s="162">
        <v>3</v>
      </c>
      <c r="F111" s="162">
        <v>5</v>
      </c>
      <c r="G111" s="162">
        <v>6</v>
      </c>
      <c r="H111" s="162">
        <v>11</v>
      </c>
      <c r="I111" s="162">
        <v>12</v>
      </c>
      <c r="J111" s="162">
        <v>10</v>
      </c>
      <c r="K111" s="162">
        <v>10</v>
      </c>
      <c r="L111" s="162">
        <v>15</v>
      </c>
      <c r="M111" s="162">
        <v>8</v>
      </c>
      <c r="N111" s="162">
        <v>8</v>
      </c>
      <c r="O111" s="162">
        <v>7</v>
      </c>
      <c r="P111" s="162">
        <v>7</v>
      </c>
      <c r="Q111" s="162">
        <v>8</v>
      </c>
      <c r="R111" s="162">
        <v>7</v>
      </c>
      <c r="S111" s="162">
        <v>6</v>
      </c>
      <c r="T111" s="162">
        <v>11</v>
      </c>
      <c r="U111" s="162">
        <v>2</v>
      </c>
      <c r="V111" s="162">
        <v>2</v>
      </c>
      <c r="W111" s="162">
        <v>8</v>
      </c>
      <c r="X111" s="162">
        <v>9</v>
      </c>
      <c r="Y111" s="162">
        <v>5</v>
      </c>
      <c r="Z111" s="162">
        <v>9</v>
      </c>
      <c r="AA111" s="162">
        <v>5</v>
      </c>
      <c r="AB111" s="162">
        <v>10</v>
      </c>
      <c r="AC111" s="162">
        <v>7</v>
      </c>
      <c r="AD111" s="162"/>
      <c r="AE111" s="162"/>
      <c r="AF111" s="161"/>
      <c r="AG111" s="64">
        <f t="shared" si="15"/>
        <v>208</v>
      </c>
    </row>
    <row r="112" spans="1:33" ht="18.75" x14ac:dyDescent="0.25">
      <c r="A112" s="321" t="s">
        <v>93</v>
      </c>
      <c r="B112" s="249">
        <v>4</v>
      </c>
      <c r="C112" s="162">
        <v>10</v>
      </c>
      <c r="D112" s="162"/>
      <c r="E112" s="162">
        <v>1</v>
      </c>
      <c r="F112" s="162">
        <v>6</v>
      </c>
      <c r="G112" s="162">
        <v>4</v>
      </c>
      <c r="H112" s="162">
        <v>4</v>
      </c>
      <c r="I112" s="162">
        <v>6</v>
      </c>
      <c r="J112" s="162">
        <v>5</v>
      </c>
      <c r="K112" s="162">
        <v>10</v>
      </c>
      <c r="L112" s="162">
        <v>2</v>
      </c>
      <c r="M112" s="162">
        <v>6</v>
      </c>
      <c r="N112" s="162">
        <v>8</v>
      </c>
      <c r="O112" s="162">
        <v>7</v>
      </c>
      <c r="P112" s="162">
        <v>9</v>
      </c>
      <c r="Q112" s="162">
        <v>5</v>
      </c>
      <c r="R112" s="162">
        <v>2</v>
      </c>
      <c r="S112" s="162">
        <v>15</v>
      </c>
      <c r="T112" s="162">
        <v>6</v>
      </c>
      <c r="U112" s="162">
        <v>6</v>
      </c>
      <c r="V112" s="162">
        <v>7</v>
      </c>
      <c r="W112" s="162">
        <v>4</v>
      </c>
      <c r="X112" s="162">
        <v>2</v>
      </c>
      <c r="Y112" s="162">
        <v>4</v>
      </c>
      <c r="Z112" s="162">
        <v>3</v>
      </c>
      <c r="AA112" s="162">
        <v>2</v>
      </c>
      <c r="AB112" s="162">
        <v>6</v>
      </c>
      <c r="AC112" s="162">
        <v>2</v>
      </c>
      <c r="AD112" s="162"/>
      <c r="AE112" s="162"/>
      <c r="AF112" s="161"/>
      <c r="AG112" s="64">
        <f t="shared" si="15"/>
        <v>146</v>
      </c>
    </row>
    <row r="113" spans="1:33" ht="18.75" x14ac:dyDescent="0.25">
      <c r="A113" s="321" t="s">
        <v>92</v>
      </c>
      <c r="B113" s="249">
        <v>8</v>
      </c>
      <c r="C113" s="162">
        <v>4</v>
      </c>
      <c r="D113" s="162">
        <v>4</v>
      </c>
      <c r="E113" s="162">
        <v>1</v>
      </c>
      <c r="F113" s="162">
        <v>2</v>
      </c>
      <c r="G113" s="162">
        <v>4</v>
      </c>
      <c r="H113" s="162">
        <v>2</v>
      </c>
      <c r="I113" s="162">
        <v>2</v>
      </c>
      <c r="J113" s="162">
        <v>7</v>
      </c>
      <c r="K113" s="162">
        <v>5</v>
      </c>
      <c r="L113" s="162">
        <v>2</v>
      </c>
      <c r="M113" s="162">
        <v>5</v>
      </c>
      <c r="N113" s="162">
        <v>2</v>
      </c>
      <c r="O113" s="162">
        <v>8</v>
      </c>
      <c r="P113" s="162">
        <v>9</v>
      </c>
      <c r="Q113" s="162">
        <v>2</v>
      </c>
      <c r="R113" s="162">
        <v>4</v>
      </c>
      <c r="S113" s="162">
        <v>1</v>
      </c>
      <c r="T113" s="162">
        <v>4</v>
      </c>
      <c r="U113" s="162">
        <v>3</v>
      </c>
      <c r="V113" s="162">
        <v>4</v>
      </c>
      <c r="W113" s="162">
        <v>1</v>
      </c>
      <c r="X113" s="162">
        <v>4</v>
      </c>
      <c r="Y113" s="162">
        <v>3</v>
      </c>
      <c r="Z113" s="162"/>
      <c r="AA113" s="162">
        <v>2</v>
      </c>
      <c r="AB113" s="162">
        <v>3</v>
      </c>
      <c r="AC113" s="162">
        <v>5</v>
      </c>
      <c r="AD113" s="162"/>
      <c r="AE113" s="162"/>
      <c r="AF113" s="161"/>
      <c r="AG113" s="64">
        <f t="shared" si="15"/>
        <v>101</v>
      </c>
    </row>
    <row r="114" spans="1:33" ht="18.75" x14ac:dyDescent="0.25">
      <c r="A114" s="321" t="s">
        <v>91</v>
      </c>
      <c r="B114" s="249">
        <v>5</v>
      </c>
      <c r="C114" s="162">
        <v>9</v>
      </c>
      <c r="D114" s="162">
        <v>10</v>
      </c>
      <c r="E114" s="162">
        <v>3</v>
      </c>
      <c r="F114" s="162">
        <v>3</v>
      </c>
      <c r="G114" s="162">
        <v>7</v>
      </c>
      <c r="H114" s="162">
        <v>5</v>
      </c>
      <c r="I114" s="162">
        <v>9</v>
      </c>
      <c r="J114" s="162">
        <v>9</v>
      </c>
      <c r="K114" s="162">
        <v>10</v>
      </c>
      <c r="L114" s="162">
        <v>7</v>
      </c>
      <c r="M114" s="162">
        <v>7</v>
      </c>
      <c r="N114" s="162">
        <v>3</v>
      </c>
      <c r="O114" s="162">
        <v>6</v>
      </c>
      <c r="P114" s="162">
        <v>6</v>
      </c>
      <c r="Q114" s="162">
        <v>7</v>
      </c>
      <c r="R114" s="162">
        <v>2</v>
      </c>
      <c r="S114" s="162">
        <v>5</v>
      </c>
      <c r="T114" s="162">
        <v>5</v>
      </c>
      <c r="U114" s="162">
        <v>6</v>
      </c>
      <c r="V114" s="162">
        <v>5</v>
      </c>
      <c r="W114" s="162">
        <v>5</v>
      </c>
      <c r="X114" s="162">
        <v>5</v>
      </c>
      <c r="Y114" s="162">
        <v>5</v>
      </c>
      <c r="Z114" s="162">
        <v>2</v>
      </c>
      <c r="AA114" s="162">
        <v>2</v>
      </c>
      <c r="AB114" s="162">
        <v>5</v>
      </c>
      <c r="AC114" s="162">
        <v>5</v>
      </c>
      <c r="AD114" s="162"/>
      <c r="AE114" s="162"/>
      <c r="AF114" s="161"/>
      <c r="AG114" s="64">
        <f t="shared" si="15"/>
        <v>158</v>
      </c>
    </row>
    <row r="115" spans="1:33" ht="19.5" thickBot="1" x14ac:dyDescent="0.3">
      <c r="A115" s="322"/>
      <c r="B115" s="255"/>
      <c r="C115" s="169"/>
      <c r="D115" s="169"/>
      <c r="E115" s="169"/>
      <c r="F115" s="169"/>
      <c r="G115" s="169"/>
      <c r="H115" s="169"/>
      <c r="I115" s="169"/>
      <c r="J115" s="169"/>
      <c r="K115" s="169"/>
      <c r="L115" s="169"/>
      <c r="M115" s="169"/>
      <c r="N115" s="169"/>
      <c r="O115" s="169"/>
      <c r="P115" s="169"/>
      <c r="Q115" s="169"/>
      <c r="R115" s="169"/>
      <c r="S115" s="169"/>
      <c r="T115" s="169"/>
      <c r="U115" s="169"/>
      <c r="V115" s="169"/>
      <c r="W115" s="169"/>
      <c r="X115" s="169"/>
      <c r="Y115" s="169"/>
      <c r="Z115" s="169"/>
      <c r="AA115" s="169"/>
      <c r="AB115" s="169"/>
      <c r="AC115" s="169"/>
      <c r="AD115" s="169"/>
      <c r="AE115" s="169"/>
      <c r="AF115" s="168"/>
      <c r="AG115" s="64">
        <f t="shared" si="15"/>
        <v>0</v>
      </c>
    </row>
    <row r="116" spans="1:33" ht="18.75" x14ac:dyDescent="0.25">
      <c r="A116" s="315" t="s">
        <v>90</v>
      </c>
      <c r="B116" s="261">
        <f t="shared" ref="B116:AF116" si="17">SUM(B117:B129)</f>
        <v>108</v>
      </c>
      <c r="C116" s="166">
        <f t="shared" si="17"/>
        <v>101</v>
      </c>
      <c r="D116" s="166">
        <f t="shared" si="17"/>
        <v>74</v>
      </c>
      <c r="E116" s="166">
        <f t="shared" si="17"/>
        <v>77</v>
      </c>
      <c r="F116" s="166">
        <f t="shared" si="17"/>
        <v>60</v>
      </c>
      <c r="G116" s="166">
        <f t="shared" si="17"/>
        <v>83</v>
      </c>
      <c r="H116" s="166">
        <f t="shared" si="17"/>
        <v>85</v>
      </c>
      <c r="I116" s="166">
        <f t="shared" si="17"/>
        <v>95</v>
      </c>
      <c r="J116" s="166">
        <f t="shared" si="17"/>
        <v>52</v>
      </c>
      <c r="K116" s="166">
        <f t="shared" si="17"/>
        <v>52</v>
      </c>
      <c r="L116" s="166">
        <f t="shared" si="17"/>
        <v>55</v>
      </c>
      <c r="M116" s="166">
        <f t="shared" si="17"/>
        <v>49</v>
      </c>
      <c r="N116" s="166">
        <f t="shared" si="17"/>
        <v>48</v>
      </c>
      <c r="O116" s="166">
        <f t="shared" si="17"/>
        <v>40</v>
      </c>
      <c r="P116" s="166">
        <f t="shared" si="17"/>
        <v>58</v>
      </c>
      <c r="Q116" s="166">
        <f t="shared" si="17"/>
        <v>56</v>
      </c>
      <c r="R116" s="166">
        <f t="shared" si="17"/>
        <v>51</v>
      </c>
      <c r="S116" s="166">
        <f t="shared" si="17"/>
        <v>64</v>
      </c>
      <c r="T116" s="166">
        <f t="shared" si="17"/>
        <v>52</v>
      </c>
      <c r="U116" s="166">
        <f t="shared" si="17"/>
        <v>51</v>
      </c>
      <c r="V116" s="166">
        <f t="shared" si="17"/>
        <v>39</v>
      </c>
      <c r="W116" s="166">
        <f t="shared" si="17"/>
        <v>42</v>
      </c>
      <c r="X116" s="166">
        <f t="shared" si="17"/>
        <v>38</v>
      </c>
      <c r="Y116" s="166">
        <f t="shared" si="17"/>
        <v>49</v>
      </c>
      <c r="Z116" s="166">
        <f t="shared" si="17"/>
        <v>69</v>
      </c>
      <c r="AA116" s="166">
        <f t="shared" si="17"/>
        <v>61</v>
      </c>
      <c r="AB116" s="166">
        <f t="shared" si="17"/>
        <v>47</v>
      </c>
      <c r="AC116" s="166">
        <f t="shared" si="17"/>
        <v>41</v>
      </c>
      <c r="AD116" s="166">
        <f t="shared" si="17"/>
        <v>0</v>
      </c>
      <c r="AE116" s="166">
        <f t="shared" si="17"/>
        <v>0</v>
      </c>
      <c r="AF116" s="165">
        <f t="shared" si="17"/>
        <v>0</v>
      </c>
      <c r="AG116" s="64">
        <f t="shared" si="15"/>
        <v>1697</v>
      </c>
    </row>
    <row r="117" spans="1:33" ht="18.75" x14ac:dyDescent="0.25">
      <c r="A117" s="323" t="s">
        <v>67</v>
      </c>
      <c r="B117" s="249">
        <v>77</v>
      </c>
      <c r="C117" s="162">
        <v>85</v>
      </c>
      <c r="D117" s="162">
        <v>46</v>
      </c>
      <c r="E117" s="162">
        <v>59</v>
      </c>
      <c r="F117" s="162">
        <v>41</v>
      </c>
      <c r="G117" s="162">
        <v>60</v>
      </c>
      <c r="H117" s="162">
        <v>55</v>
      </c>
      <c r="I117" s="162">
        <v>74</v>
      </c>
      <c r="J117" s="162">
        <v>39</v>
      </c>
      <c r="K117" s="162">
        <v>47</v>
      </c>
      <c r="L117" s="162">
        <v>36</v>
      </c>
      <c r="M117" s="162">
        <v>36</v>
      </c>
      <c r="N117" s="162">
        <v>35</v>
      </c>
      <c r="O117" s="162">
        <v>30</v>
      </c>
      <c r="P117" s="162">
        <v>43</v>
      </c>
      <c r="Q117" s="162">
        <v>31</v>
      </c>
      <c r="R117" s="162">
        <v>36</v>
      </c>
      <c r="S117" s="162">
        <v>48</v>
      </c>
      <c r="T117" s="162">
        <v>29</v>
      </c>
      <c r="U117" s="162">
        <v>43</v>
      </c>
      <c r="V117" s="162">
        <v>28</v>
      </c>
      <c r="W117" s="162">
        <v>29</v>
      </c>
      <c r="X117" s="162">
        <v>27</v>
      </c>
      <c r="Y117" s="162">
        <v>36</v>
      </c>
      <c r="Z117" s="162">
        <v>47</v>
      </c>
      <c r="AA117" s="162">
        <v>40</v>
      </c>
      <c r="AB117" s="162">
        <v>37</v>
      </c>
      <c r="AC117" s="162">
        <v>30</v>
      </c>
      <c r="AD117" s="162"/>
      <c r="AE117" s="162"/>
      <c r="AF117" s="161"/>
      <c r="AG117" s="64">
        <f t="shared" si="15"/>
        <v>1224</v>
      </c>
    </row>
    <row r="118" spans="1:33" ht="19.5" hidden="1" customHeight="1" thickBot="1" x14ac:dyDescent="0.3">
      <c r="A118" s="323" t="s">
        <v>69</v>
      </c>
      <c r="B118" s="249"/>
      <c r="C118" s="162"/>
      <c r="D118" s="162"/>
      <c r="E118" s="162"/>
      <c r="F118" s="162"/>
      <c r="G118" s="162"/>
      <c r="H118" s="162"/>
      <c r="I118" s="162"/>
      <c r="J118" s="162"/>
      <c r="K118" s="162"/>
      <c r="L118" s="162"/>
      <c r="M118" s="162"/>
      <c r="N118" s="162"/>
      <c r="O118" s="162"/>
      <c r="P118" s="162"/>
      <c r="Q118" s="162"/>
      <c r="R118" s="162"/>
      <c r="S118" s="162"/>
      <c r="T118" s="162"/>
      <c r="U118" s="162"/>
      <c r="V118" s="162"/>
      <c r="W118" s="162"/>
      <c r="X118" s="162"/>
      <c r="Y118" s="162"/>
      <c r="Z118" s="162"/>
      <c r="AA118" s="162"/>
      <c r="AB118" s="162"/>
      <c r="AC118" s="162"/>
      <c r="AD118" s="162"/>
      <c r="AE118" s="162"/>
      <c r="AF118" s="161"/>
      <c r="AG118" s="64">
        <f t="shared" si="15"/>
        <v>0</v>
      </c>
    </row>
    <row r="119" spans="1:33" ht="19.5" hidden="1" customHeight="1" thickBot="1" x14ac:dyDescent="0.3">
      <c r="A119" s="323" t="s">
        <v>68</v>
      </c>
      <c r="B119" s="249"/>
      <c r="C119" s="162"/>
      <c r="D119" s="162"/>
      <c r="E119" s="162"/>
      <c r="F119" s="162"/>
      <c r="G119" s="162"/>
      <c r="H119" s="162"/>
      <c r="I119" s="162"/>
      <c r="J119" s="162"/>
      <c r="K119" s="162"/>
      <c r="L119" s="162"/>
      <c r="M119" s="162"/>
      <c r="N119" s="162"/>
      <c r="O119" s="162"/>
      <c r="P119" s="162"/>
      <c r="Q119" s="162"/>
      <c r="R119" s="162"/>
      <c r="S119" s="162"/>
      <c r="T119" s="162"/>
      <c r="U119" s="162"/>
      <c r="V119" s="162"/>
      <c r="W119" s="162"/>
      <c r="X119" s="162"/>
      <c r="Y119" s="162"/>
      <c r="Z119" s="162"/>
      <c r="AA119" s="162"/>
      <c r="AB119" s="162"/>
      <c r="AC119" s="162"/>
      <c r="AD119" s="162"/>
      <c r="AE119" s="162"/>
      <c r="AF119" s="161"/>
      <c r="AG119" s="64">
        <f t="shared" si="15"/>
        <v>0</v>
      </c>
    </row>
    <row r="120" spans="1:33" ht="19.5" hidden="1" customHeight="1" thickBot="1" x14ac:dyDescent="0.3">
      <c r="A120" s="323" t="s">
        <v>66</v>
      </c>
      <c r="B120" s="249"/>
      <c r="C120" s="162"/>
      <c r="D120" s="162"/>
      <c r="E120" s="162"/>
      <c r="F120" s="162"/>
      <c r="G120" s="162"/>
      <c r="H120" s="162"/>
      <c r="I120" s="162"/>
      <c r="J120" s="162"/>
      <c r="K120" s="162"/>
      <c r="L120" s="162"/>
      <c r="M120" s="162"/>
      <c r="N120" s="162"/>
      <c r="O120" s="162"/>
      <c r="P120" s="162"/>
      <c r="Q120" s="162"/>
      <c r="R120" s="162"/>
      <c r="S120" s="162"/>
      <c r="T120" s="162"/>
      <c r="U120" s="162"/>
      <c r="V120" s="162"/>
      <c r="W120" s="162"/>
      <c r="X120" s="162"/>
      <c r="Y120" s="162"/>
      <c r="Z120" s="162"/>
      <c r="AA120" s="162"/>
      <c r="AB120" s="162"/>
      <c r="AC120" s="162"/>
      <c r="AD120" s="162"/>
      <c r="AE120" s="162"/>
      <c r="AF120" s="161"/>
      <c r="AG120" s="64">
        <f t="shared" si="15"/>
        <v>0</v>
      </c>
    </row>
    <row r="121" spans="1:33" ht="19.5" hidden="1" customHeight="1" thickBot="1" x14ac:dyDescent="0.3">
      <c r="A121" s="323" t="s">
        <v>65</v>
      </c>
      <c r="B121" s="249"/>
      <c r="C121" s="162"/>
      <c r="D121" s="162"/>
      <c r="E121" s="162"/>
      <c r="F121" s="162"/>
      <c r="G121" s="162"/>
      <c r="H121" s="162"/>
      <c r="I121" s="162"/>
      <c r="J121" s="162"/>
      <c r="K121" s="162"/>
      <c r="L121" s="162"/>
      <c r="M121" s="162"/>
      <c r="N121" s="162"/>
      <c r="O121" s="162"/>
      <c r="P121" s="162"/>
      <c r="Q121" s="162"/>
      <c r="R121" s="162"/>
      <c r="S121" s="162"/>
      <c r="T121" s="162"/>
      <c r="U121" s="162"/>
      <c r="V121" s="162"/>
      <c r="W121" s="162"/>
      <c r="X121" s="162"/>
      <c r="Y121" s="162"/>
      <c r="Z121" s="162"/>
      <c r="AA121" s="162"/>
      <c r="AB121" s="162"/>
      <c r="AC121" s="162"/>
      <c r="AD121" s="162"/>
      <c r="AE121" s="162"/>
      <c r="AF121" s="161"/>
      <c r="AG121" s="64">
        <f t="shared" si="15"/>
        <v>0</v>
      </c>
    </row>
    <row r="122" spans="1:33" ht="19.5" hidden="1" customHeight="1" thickBot="1" x14ac:dyDescent="0.3">
      <c r="A122" s="323" t="s">
        <v>64</v>
      </c>
      <c r="B122" s="249"/>
      <c r="C122" s="162"/>
      <c r="D122" s="162"/>
      <c r="E122" s="162"/>
      <c r="F122" s="162"/>
      <c r="G122" s="162"/>
      <c r="H122" s="162"/>
      <c r="I122" s="162"/>
      <c r="J122" s="162"/>
      <c r="K122" s="162"/>
      <c r="L122" s="162"/>
      <c r="M122" s="162"/>
      <c r="N122" s="162"/>
      <c r="O122" s="162"/>
      <c r="P122" s="162"/>
      <c r="Q122" s="162"/>
      <c r="R122" s="162"/>
      <c r="S122" s="162"/>
      <c r="T122" s="162"/>
      <c r="U122" s="162"/>
      <c r="V122" s="162"/>
      <c r="W122" s="162"/>
      <c r="X122" s="162"/>
      <c r="Y122" s="162"/>
      <c r="Z122" s="162"/>
      <c r="AA122" s="162"/>
      <c r="AB122" s="162"/>
      <c r="AC122" s="162"/>
      <c r="AD122" s="162"/>
      <c r="AE122" s="162"/>
      <c r="AF122" s="161"/>
      <c r="AG122" s="64">
        <f t="shared" si="15"/>
        <v>0</v>
      </c>
    </row>
    <row r="123" spans="1:33" ht="19.5" hidden="1" customHeight="1" thickBot="1" x14ac:dyDescent="0.3">
      <c r="A123" s="323" t="s">
        <v>63</v>
      </c>
      <c r="B123" s="249"/>
      <c r="C123" s="162"/>
      <c r="D123" s="162"/>
      <c r="E123" s="162"/>
      <c r="F123" s="162"/>
      <c r="G123" s="162"/>
      <c r="H123" s="162"/>
      <c r="I123" s="162"/>
      <c r="J123" s="162"/>
      <c r="K123" s="162"/>
      <c r="L123" s="162"/>
      <c r="M123" s="162"/>
      <c r="N123" s="162"/>
      <c r="O123" s="162"/>
      <c r="P123" s="162"/>
      <c r="Q123" s="162"/>
      <c r="R123" s="162"/>
      <c r="S123" s="162"/>
      <c r="T123" s="162"/>
      <c r="U123" s="162"/>
      <c r="V123" s="162"/>
      <c r="W123" s="162"/>
      <c r="X123" s="162"/>
      <c r="Y123" s="162"/>
      <c r="Z123" s="162"/>
      <c r="AA123" s="162"/>
      <c r="AB123" s="162"/>
      <c r="AC123" s="162"/>
      <c r="AD123" s="162"/>
      <c r="AE123" s="162"/>
      <c r="AF123" s="161"/>
      <c r="AG123" s="64">
        <f t="shared" si="15"/>
        <v>0</v>
      </c>
    </row>
    <row r="124" spans="1:33" ht="19.5" hidden="1" customHeight="1" thickBot="1" x14ac:dyDescent="0.3">
      <c r="A124" s="323" t="s">
        <v>62</v>
      </c>
      <c r="B124" s="249"/>
      <c r="C124" s="162"/>
      <c r="D124" s="162"/>
      <c r="E124" s="162"/>
      <c r="F124" s="162"/>
      <c r="G124" s="162"/>
      <c r="H124" s="162"/>
      <c r="I124" s="162"/>
      <c r="J124" s="162"/>
      <c r="K124" s="162"/>
      <c r="L124" s="162"/>
      <c r="M124" s="162"/>
      <c r="N124" s="162"/>
      <c r="O124" s="162"/>
      <c r="P124" s="162"/>
      <c r="Q124" s="162"/>
      <c r="R124" s="162"/>
      <c r="S124" s="162"/>
      <c r="T124" s="162"/>
      <c r="U124" s="162"/>
      <c r="V124" s="162"/>
      <c r="W124" s="162"/>
      <c r="X124" s="162"/>
      <c r="Y124" s="162"/>
      <c r="Z124" s="162"/>
      <c r="AA124" s="162"/>
      <c r="AB124" s="162"/>
      <c r="AC124" s="162"/>
      <c r="AD124" s="162"/>
      <c r="AE124" s="162"/>
      <c r="AF124" s="161"/>
      <c r="AG124" s="64">
        <f t="shared" si="15"/>
        <v>0</v>
      </c>
    </row>
    <row r="125" spans="1:33" ht="19.5" hidden="1" customHeight="1" thickBot="1" x14ac:dyDescent="0.3">
      <c r="A125" s="301" t="s">
        <v>60</v>
      </c>
      <c r="B125" s="249"/>
      <c r="C125" s="162"/>
      <c r="D125" s="162"/>
      <c r="E125" s="162"/>
      <c r="F125" s="162"/>
      <c r="G125" s="162"/>
      <c r="H125" s="162"/>
      <c r="I125" s="162"/>
      <c r="J125" s="162"/>
      <c r="K125" s="162"/>
      <c r="L125" s="162"/>
      <c r="M125" s="162"/>
      <c r="N125" s="162"/>
      <c r="O125" s="162"/>
      <c r="P125" s="162"/>
      <c r="Q125" s="162"/>
      <c r="R125" s="162"/>
      <c r="S125" s="162"/>
      <c r="T125" s="162"/>
      <c r="U125" s="162"/>
      <c r="V125" s="162"/>
      <c r="W125" s="162"/>
      <c r="X125" s="162"/>
      <c r="Y125" s="162"/>
      <c r="Z125" s="162"/>
      <c r="AA125" s="162"/>
      <c r="AB125" s="162"/>
      <c r="AC125" s="162"/>
      <c r="AD125" s="162"/>
      <c r="AE125" s="162"/>
      <c r="AF125" s="161"/>
      <c r="AG125" s="64">
        <f t="shared" si="15"/>
        <v>0</v>
      </c>
    </row>
    <row r="126" spans="1:33" ht="19.5" hidden="1" customHeight="1" thickBot="1" x14ac:dyDescent="0.3">
      <c r="A126" s="301" t="s">
        <v>59</v>
      </c>
      <c r="B126" s="249"/>
      <c r="C126" s="162"/>
      <c r="D126" s="162"/>
      <c r="E126" s="162"/>
      <c r="F126" s="162"/>
      <c r="G126" s="162"/>
      <c r="H126" s="162"/>
      <c r="I126" s="162"/>
      <c r="J126" s="162"/>
      <c r="K126" s="162"/>
      <c r="L126" s="162"/>
      <c r="M126" s="162"/>
      <c r="N126" s="162"/>
      <c r="O126" s="162"/>
      <c r="P126" s="162"/>
      <c r="Q126" s="162"/>
      <c r="R126" s="162"/>
      <c r="S126" s="162"/>
      <c r="T126" s="162"/>
      <c r="U126" s="162"/>
      <c r="V126" s="162"/>
      <c r="W126" s="162"/>
      <c r="X126" s="162"/>
      <c r="Y126" s="162"/>
      <c r="Z126" s="162"/>
      <c r="AA126" s="162"/>
      <c r="AB126" s="162"/>
      <c r="AC126" s="162"/>
      <c r="AD126" s="162"/>
      <c r="AE126" s="162"/>
      <c r="AF126" s="161"/>
      <c r="AG126" s="64">
        <f t="shared" si="15"/>
        <v>0</v>
      </c>
    </row>
    <row r="127" spans="1:33" ht="19.5" hidden="1" customHeight="1" thickBot="1" x14ac:dyDescent="0.3">
      <c r="A127" s="301" t="s">
        <v>58</v>
      </c>
      <c r="B127" s="249"/>
      <c r="C127" s="162"/>
      <c r="D127" s="162"/>
      <c r="E127" s="162"/>
      <c r="F127" s="162"/>
      <c r="G127" s="162"/>
      <c r="H127" s="162"/>
      <c r="I127" s="162"/>
      <c r="J127" s="162"/>
      <c r="K127" s="162"/>
      <c r="L127" s="162"/>
      <c r="M127" s="162"/>
      <c r="N127" s="162"/>
      <c r="O127" s="162"/>
      <c r="P127" s="162"/>
      <c r="Q127" s="162"/>
      <c r="R127" s="162"/>
      <c r="S127" s="162"/>
      <c r="T127" s="162"/>
      <c r="U127" s="162"/>
      <c r="V127" s="162"/>
      <c r="W127" s="162"/>
      <c r="X127" s="162"/>
      <c r="Y127" s="162"/>
      <c r="Z127" s="162"/>
      <c r="AA127" s="162"/>
      <c r="AB127" s="162"/>
      <c r="AC127" s="162"/>
      <c r="AD127" s="162"/>
      <c r="AE127" s="162"/>
      <c r="AF127" s="161"/>
      <c r="AG127" s="64">
        <f t="shared" si="15"/>
        <v>0</v>
      </c>
    </row>
    <row r="128" spans="1:33" ht="19.5" hidden="1" customHeight="1" thickBot="1" x14ac:dyDescent="0.3">
      <c r="A128" s="323" t="s">
        <v>88</v>
      </c>
      <c r="B128" s="249"/>
      <c r="C128" s="162"/>
      <c r="D128" s="162"/>
      <c r="E128" s="162"/>
      <c r="F128" s="162"/>
      <c r="G128" s="162"/>
      <c r="H128" s="162"/>
      <c r="I128" s="162"/>
      <c r="J128" s="162"/>
      <c r="K128" s="162"/>
      <c r="L128" s="162"/>
      <c r="M128" s="162"/>
      <c r="N128" s="162"/>
      <c r="O128" s="162"/>
      <c r="P128" s="162"/>
      <c r="Q128" s="162"/>
      <c r="R128" s="162"/>
      <c r="S128" s="162"/>
      <c r="T128" s="162"/>
      <c r="U128" s="162"/>
      <c r="V128" s="162"/>
      <c r="W128" s="162"/>
      <c r="X128" s="162"/>
      <c r="Y128" s="162"/>
      <c r="Z128" s="162"/>
      <c r="AA128" s="162"/>
      <c r="AB128" s="162"/>
      <c r="AC128" s="162"/>
      <c r="AD128" s="162"/>
      <c r="AE128" s="162"/>
      <c r="AF128" s="161"/>
      <c r="AG128" s="64">
        <f t="shared" si="15"/>
        <v>0</v>
      </c>
    </row>
    <row r="129" spans="1:35" ht="19.5" thickBot="1" x14ac:dyDescent="0.3">
      <c r="A129" s="324" t="s">
        <v>87</v>
      </c>
      <c r="B129" s="263">
        <f>17+14</f>
        <v>31</v>
      </c>
      <c r="C129" s="140">
        <f>10+6</f>
        <v>16</v>
      </c>
      <c r="D129" s="140">
        <v>28</v>
      </c>
      <c r="E129" s="140">
        <v>18</v>
      </c>
      <c r="F129" s="140">
        <v>19</v>
      </c>
      <c r="G129" s="140">
        <v>23</v>
      </c>
      <c r="H129" s="140">
        <v>30</v>
      </c>
      <c r="I129" s="140">
        <f>11+10</f>
        <v>21</v>
      </c>
      <c r="J129" s="140">
        <f>10+3</f>
        <v>13</v>
      </c>
      <c r="K129" s="140">
        <v>5</v>
      </c>
      <c r="L129" s="140">
        <v>19</v>
      </c>
      <c r="M129" s="140">
        <v>13</v>
      </c>
      <c r="N129" s="140">
        <f>6+7</f>
        <v>13</v>
      </c>
      <c r="O129" s="140">
        <v>10</v>
      </c>
      <c r="P129" s="140">
        <v>15</v>
      </c>
      <c r="Q129" s="140">
        <v>25</v>
      </c>
      <c r="R129" s="140">
        <v>15</v>
      </c>
      <c r="S129" s="140">
        <v>16</v>
      </c>
      <c r="T129" s="140">
        <v>23</v>
      </c>
      <c r="U129" s="140">
        <v>8</v>
      </c>
      <c r="V129" s="140">
        <v>11</v>
      </c>
      <c r="W129" s="140">
        <v>13</v>
      </c>
      <c r="X129" s="140">
        <v>11</v>
      </c>
      <c r="Y129" s="140">
        <v>13</v>
      </c>
      <c r="Z129" s="140">
        <v>22</v>
      </c>
      <c r="AA129" s="140">
        <f>11+10</f>
        <v>21</v>
      </c>
      <c r="AB129" s="140">
        <f>6+1+3</f>
        <v>10</v>
      </c>
      <c r="AC129" s="140">
        <f>7+4</f>
        <v>11</v>
      </c>
      <c r="AD129" s="140"/>
      <c r="AE129" s="140"/>
      <c r="AF129" s="139"/>
      <c r="AG129" s="64">
        <f t="shared" si="15"/>
        <v>473</v>
      </c>
    </row>
    <row r="130" spans="1:35" ht="18.75" x14ac:dyDescent="0.25">
      <c r="A130" s="315" t="s">
        <v>89</v>
      </c>
      <c r="B130" s="261">
        <f t="shared" ref="B130:AF130" si="18">SUM(B131:B143)</f>
        <v>179</v>
      </c>
      <c r="C130" s="166">
        <f t="shared" si="18"/>
        <v>162</v>
      </c>
      <c r="D130" s="166">
        <f t="shared" si="18"/>
        <v>147</v>
      </c>
      <c r="E130" s="166">
        <f t="shared" si="18"/>
        <v>135</v>
      </c>
      <c r="F130" s="166">
        <f t="shared" si="18"/>
        <v>139</v>
      </c>
      <c r="G130" s="166">
        <f t="shared" si="18"/>
        <v>144</v>
      </c>
      <c r="H130" s="166">
        <f t="shared" si="18"/>
        <v>148</v>
      </c>
      <c r="I130" s="166">
        <f t="shared" si="18"/>
        <v>204</v>
      </c>
      <c r="J130" s="166">
        <f t="shared" si="18"/>
        <v>164</v>
      </c>
      <c r="K130" s="166">
        <f t="shared" si="18"/>
        <v>160</v>
      </c>
      <c r="L130" s="166">
        <f t="shared" si="18"/>
        <v>160</v>
      </c>
      <c r="M130" s="166">
        <f t="shared" si="18"/>
        <v>171</v>
      </c>
      <c r="N130" s="166">
        <f t="shared" si="18"/>
        <v>147</v>
      </c>
      <c r="O130" s="166">
        <f t="shared" si="18"/>
        <v>133</v>
      </c>
      <c r="P130" s="166">
        <f t="shared" si="18"/>
        <v>164</v>
      </c>
      <c r="Q130" s="166">
        <f t="shared" si="18"/>
        <v>165</v>
      </c>
      <c r="R130" s="166">
        <f t="shared" si="18"/>
        <v>139</v>
      </c>
      <c r="S130" s="166">
        <f t="shared" si="18"/>
        <v>164</v>
      </c>
      <c r="T130" s="166">
        <f t="shared" si="18"/>
        <v>133</v>
      </c>
      <c r="U130" s="166">
        <f t="shared" si="18"/>
        <v>146</v>
      </c>
      <c r="V130" s="166">
        <f t="shared" si="18"/>
        <v>128</v>
      </c>
      <c r="W130" s="166">
        <f t="shared" si="18"/>
        <v>143</v>
      </c>
      <c r="X130" s="166">
        <f t="shared" si="18"/>
        <v>140</v>
      </c>
      <c r="Y130" s="166">
        <f t="shared" si="18"/>
        <v>128</v>
      </c>
      <c r="Z130" s="166">
        <f t="shared" si="18"/>
        <v>124</v>
      </c>
      <c r="AA130" s="166">
        <f t="shared" si="18"/>
        <v>127</v>
      </c>
      <c r="AB130" s="166">
        <f t="shared" si="18"/>
        <v>139</v>
      </c>
      <c r="AC130" s="166">
        <f t="shared" si="18"/>
        <v>126</v>
      </c>
      <c r="AD130" s="166">
        <f t="shared" si="18"/>
        <v>0</v>
      </c>
      <c r="AE130" s="166">
        <f t="shared" si="18"/>
        <v>0</v>
      </c>
      <c r="AF130" s="165">
        <f t="shared" si="18"/>
        <v>0</v>
      </c>
      <c r="AG130" s="164">
        <f t="shared" si="15"/>
        <v>4159</v>
      </c>
      <c r="AH130" s="152" t="str">
        <f>IF(AG130&lt;&gt;AG93,"*","")</f>
        <v/>
      </c>
    </row>
    <row r="131" spans="1:35" ht="18.75" x14ac:dyDescent="0.25">
      <c r="A131" s="323" t="s">
        <v>67</v>
      </c>
      <c r="B131" s="249">
        <v>69</v>
      </c>
      <c r="C131" s="162">
        <v>80</v>
      </c>
      <c r="D131" s="162">
        <v>45</v>
      </c>
      <c r="E131" s="162">
        <v>54</v>
      </c>
      <c r="F131" s="162">
        <v>40</v>
      </c>
      <c r="G131" s="162">
        <v>59</v>
      </c>
      <c r="H131" s="162">
        <v>53</v>
      </c>
      <c r="I131" s="162">
        <v>70</v>
      </c>
      <c r="J131" s="162">
        <v>35</v>
      </c>
      <c r="K131" s="162">
        <v>41</v>
      </c>
      <c r="L131" s="162">
        <v>35</v>
      </c>
      <c r="M131" s="162">
        <v>36</v>
      </c>
      <c r="N131" s="162">
        <v>34</v>
      </c>
      <c r="O131" s="162">
        <v>30</v>
      </c>
      <c r="P131" s="162">
        <v>41</v>
      </c>
      <c r="Q131" s="162">
        <v>30</v>
      </c>
      <c r="R131" s="162">
        <v>33</v>
      </c>
      <c r="S131" s="162">
        <v>48</v>
      </c>
      <c r="T131" s="162">
        <v>28</v>
      </c>
      <c r="U131" s="162">
        <v>41</v>
      </c>
      <c r="V131" s="162">
        <v>28</v>
      </c>
      <c r="W131" s="162">
        <v>29</v>
      </c>
      <c r="X131" s="162">
        <v>27</v>
      </c>
      <c r="Y131" s="162">
        <v>34</v>
      </c>
      <c r="Z131" s="162">
        <v>42</v>
      </c>
      <c r="AA131" s="162">
        <v>37</v>
      </c>
      <c r="AB131" s="162">
        <v>36</v>
      </c>
      <c r="AC131" s="162">
        <v>30</v>
      </c>
      <c r="AD131" s="162"/>
      <c r="AE131" s="162"/>
      <c r="AF131" s="161"/>
      <c r="AG131" s="64">
        <f t="shared" ref="AG131:AG145" si="19">SUM(B131:AF131)</f>
        <v>1165</v>
      </c>
    </row>
    <row r="132" spans="1:35" ht="18.75" x14ac:dyDescent="0.25">
      <c r="A132" s="323" t="s">
        <v>69</v>
      </c>
      <c r="B132" s="249">
        <v>13</v>
      </c>
      <c r="C132" s="162">
        <v>7</v>
      </c>
      <c r="D132" s="162">
        <v>10</v>
      </c>
      <c r="E132" s="162">
        <v>6</v>
      </c>
      <c r="F132" s="162">
        <v>6</v>
      </c>
      <c r="G132" s="162">
        <v>5</v>
      </c>
      <c r="H132" s="162">
        <v>11</v>
      </c>
      <c r="I132" s="162">
        <v>11</v>
      </c>
      <c r="J132" s="162">
        <v>3</v>
      </c>
      <c r="K132" s="162">
        <v>15</v>
      </c>
      <c r="L132" s="162">
        <v>8</v>
      </c>
      <c r="M132" s="162">
        <v>6</v>
      </c>
      <c r="N132" s="162">
        <v>10</v>
      </c>
      <c r="O132" s="162">
        <v>3</v>
      </c>
      <c r="P132" s="162">
        <v>1</v>
      </c>
      <c r="Q132" s="162">
        <v>3</v>
      </c>
      <c r="R132" s="162">
        <v>8</v>
      </c>
      <c r="S132" s="162">
        <v>4</v>
      </c>
      <c r="T132" s="162">
        <v>4</v>
      </c>
      <c r="U132" s="162">
        <v>7</v>
      </c>
      <c r="V132" s="162">
        <v>5</v>
      </c>
      <c r="W132" s="162">
        <v>2</v>
      </c>
      <c r="X132" s="162">
        <v>8</v>
      </c>
      <c r="Y132" s="162">
        <v>1</v>
      </c>
      <c r="Z132" s="162">
        <v>2</v>
      </c>
      <c r="AA132" s="162">
        <v>5</v>
      </c>
      <c r="AB132" s="162">
        <v>6</v>
      </c>
      <c r="AC132" s="162">
        <v>8</v>
      </c>
      <c r="AD132" s="162"/>
      <c r="AE132" s="162"/>
      <c r="AF132" s="161"/>
      <c r="AG132" s="64">
        <f t="shared" si="19"/>
        <v>178</v>
      </c>
    </row>
    <row r="133" spans="1:35" ht="18.75" x14ac:dyDescent="0.25">
      <c r="A133" s="323" t="s">
        <v>68</v>
      </c>
      <c r="B133" s="249">
        <v>11</v>
      </c>
      <c r="C133" s="162">
        <v>11</v>
      </c>
      <c r="D133" s="162">
        <v>12</v>
      </c>
      <c r="E133" s="162">
        <v>9</v>
      </c>
      <c r="F133" s="162">
        <v>15</v>
      </c>
      <c r="G133" s="162">
        <v>16</v>
      </c>
      <c r="H133" s="162">
        <v>8</v>
      </c>
      <c r="I133" s="162">
        <v>9</v>
      </c>
      <c r="J133" s="162">
        <v>5</v>
      </c>
      <c r="K133" s="162">
        <v>6</v>
      </c>
      <c r="L133" s="162">
        <v>7</v>
      </c>
      <c r="M133" s="162">
        <v>3</v>
      </c>
      <c r="N133" s="162">
        <v>4</v>
      </c>
      <c r="O133" s="162">
        <v>7</v>
      </c>
      <c r="P133" s="162">
        <v>8</v>
      </c>
      <c r="Q133" s="162">
        <v>8</v>
      </c>
      <c r="R133" s="162">
        <v>5</v>
      </c>
      <c r="S133" s="162">
        <v>7</v>
      </c>
      <c r="T133" s="162">
        <v>3</v>
      </c>
      <c r="U133" s="162">
        <v>7</v>
      </c>
      <c r="V133" s="162">
        <v>12</v>
      </c>
      <c r="W133" s="162">
        <v>5</v>
      </c>
      <c r="X133" s="162">
        <v>4</v>
      </c>
      <c r="Y133" s="162">
        <v>8</v>
      </c>
      <c r="Z133" s="162">
        <v>7</v>
      </c>
      <c r="AA133" s="162">
        <v>4</v>
      </c>
      <c r="AB133" s="162">
        <v>6</v>
      </c>
      <c r="AC133" s="162">
        <v>8</v>
      </c>
      <c r="AD133" s="162"/>
      <c r="AE133" s="162"/>
      <c r="AF133" s="161"/>
      <c r="AG133" s="64">
        <f t="shared" si="19"/>
        <v>215</v>
      </c>
    </row>
    <row r="134" spans="1:35" ht="18.75" x14ac:dyDescent="0.25">
      <c r="A134" s="323" t="s">
        <v>66</v>
      </c>
      <c r="B134" s="249">
        <v>9</v>
      </c>
      <c r="C134" s="162">
        <v>11</v>
      </c>
      <c r="D134" s="162">
        <v>13</v>
      </c>
      <c r="E134" s="162">
        <v>5</v>
      </c>
      <c r="F134" s="162">
        <v>8</v>
      </c>
      <c r="G134" s="162">
        <v>9</v>
      </c>
      <c r="H134" s="162">
        <v>6</v>
      </c>
      <c r="I134" s="162">
        <v>11</v>
      </c>
      <c r="J134" s="162">
        <v>8</v>
      </c>
      <c r="K134" s="162">
        <v>4</v>
      </c>
      <c r="L134" s="162">
        <v>3</v>
      </c>
      <c r="M134" s="162">
        <v>4</v>
      </c>
      <c r="N134" s="162">
        <v>3</v>
      </c>
      <c r="O134" s="162">
        <v>5</v>
      </c>
      <c r="P134" s="162">
        <v>6</v>
      </c>
      <c r="Q134" s="162">
        <v>9</v>
      </c>
      <c r="R134" s="162">
        <v>1</v>
      </c>
      <c r="S134" s="162">
        <v>5</v>
      </c>
      <c r="T134" s="162">
        <v>6</v>
      </c>
      <c r="U134" s="162">
        <v>5</v>
      </c>
      <c r="V134" s="162">
        <v>9</v>
      </c>
      <c r="W134" s="162">
        <v>9</v>
      </c>
      <c r="X134" s="162">
        <v>5</v>
      </c>
      <c r="Y134" s="162">
        <v>5</v>
      </c>
      <c r="Z134" s="162">
        <v>5</v>
      </c>
      <c r="AA134" s="162">
        <f>2+1</f>
        <v>3</v>
      </c>
      <c r="AB134" s="162">
        <v>6</v>
      </c>
      <c r="AC134" s="162">
        <f>3+1</f>
        <v>4</v>
      </c>
      <c r="AD134" s="162"/>
      <c r="AE134" s="162"/>
      <c r="AF134" s="161"/>
      <c r="AG134" s="64">
        <f t="shared" si="19"/>
        <v>177</v>
      </c>
    </row>
    <row r="135" spans="1:35" ht="18.75" x14ac:dyDescent="0.25">
      <c r="A135" s="323" t="s">
        <v>65</v>
      </c>
      <c r="B135" s="249">
        <v>11</v>
      </c>
      <c r="C135" s="162">
        <v>7</v>
      </c>
      <c r="D135" s="162">
        <v>5</v>
      </c>
      <c r="E135" s="162">
        <v>5</v>
      </c>
      <c r="F135" s="162">
        <v>6</v>
      </c>
      <c r="G135" s="162">
        <v>7</v>
      </c>
      <c r="H135" s="162">
        <v>9</v>
      </c>
      <c r="I135" s="162">
        <v>8</v>
      </c>
      <c r="J135" s="162">
        <v>7</v>
      </c>
      <c r="K135" s="162">
        <v>4</v>
      </c>
      <c r="L135" s="162">
        <v>1</v>
      </c>
      <c r="M135" s="162">
        <v>6</v>
      </c>
      <c r="N135" s="162">
        <v>5</v>
      </c>
      <c r="O135" s="162">
        <v>9</v>
      </c>
      <c r="P135" s="162">
        <v>7</v>
      </c>
      <c r="Q135" s="162">
        <v>4</v>
      </c>
      <c r="R135" s="162">
        <v>7</v>
      </c>
      <c r="S135" s="162">
        <v>3</v>
      </c>
      <c r="T135" s="162">
        <v>6</v>
      </c>
      <c r="U135" s="162">
        <v>9</v>
      </c>
      <c r="V135" s="162">
        <v>7</v>
      </c>
      <c r="W135" s="162">
        <v>4</v>
      </c>
      <c r="X135" s="162">
        <v>5</v>
      </c>
      <c r="Y135" s="162">
        <v>2</v>
      </c>
      <c r="Z135" s="162">
        <v>3</v>
      </c>
      <c r="AA135" s="162">
        <v>6</v>
      </c>
      <c r="AB135" s="162">
        <v>7</v>
      </c>
      <c r="AC135" s="162">
        <v>4</v>
      </c>
      <c r="AD135" s="162"/>
      <c r="AE135" s="162"/>
      <c r="AF135" s="161"/>
      <c r="AG135" s="64">
        <f t="shared" si="19"/>
        <v>164</v>
      </c>
    </row>
    <row r="136" spans="1:35" ht="18.75" x14ac:dyDescent="0.25">
      <c r="A136" s="323" t="s">
        <v>64</v>
      </c>
      <c r="B136" s="249">
        <v>22</v>
      </c>
      <c r="C136" s="162">
        <v>20</v>
      </c>
      <c r="D136" s="162">
        <v>25</v>
      </c>
      <c r="E136" s="162">
        <v>23</v>
      </c>
      <c r="F136" s="162">
        <v>32</v>
      </c>
      <c r="G136" s="162">
        <v>21</v>
      </c>
      <c r="H136" s="162">
        <v>23</v>
      </c>
      <c r="I136" s="162">
        <v>63</v>
      </c>
      <c r="J136" s="162">
        <v>85</v>
      </c>
      <c r="K136" s="162">
        <v>62</v>
      </c>
      <c r="L136" s="162">
        <v>69</v>
      </c>
      <c r="M136" s="162">
        <v>85</v>
      </c>
      <c r="N136" s="162">
        <v>66</v>
      </c>
      <c r="O136" s="162">
        <v>62</v>
      </c>
      <c r="P136" s="162">
        <v>77</v>
      </c>
      <c r="Q136" s="162">
        <v>76</v>
      </c>
      <c r="R136" s="162">
        <v>61</v>
      </c>
      <c r="S136" s="162">
        <v>74</v>
      </c>
      <c r="T136" s="162">
        <v>57</v>
      </c>
      <c r="U136" s="162">
        <v>54</v>
      </c>
      <c r="V136" s="162">
        <v>49</v>
      </c>
      <c r="W136" s="162">
        <v>67</v>
      </c>
      <c r="X136" s="162">
        <v>76</v>
      </c>
      <c r="Y136" s="162">
        <v>52</v>
      </c>
      <c r="Z136" s="162">
        <v>33</v>
      </c>
      <c r="AA136" s="162">
        <v>43</v>
      </c>
      <c r="AB136" s="162">
        <v>56</v>
      </c>
      <c r="AC136" s="162">
        <v>56</v>
      </c>
      <c r="AD136" s="162"/>
      <c r="AE136" s="162"/>
      <c r="AF136" s="161"/>
      <c r="AG136" s="64">
        <f t="shared" si="19"/>
        <v>1489</v>
      </c>
    </row>
    <row r="137" spans="1:35" ht="18.75" x14ac:dyDescent="0.25">
      <c r="A137" s="323" t="s">
        <v>63</v>
      </c>
      <c r="B137" s="249">
        <v>4</v>
      </c>
      <c r="C137" s="162">
        <v>4</v>
      </c>
      <c r="D137" s="162">
        <v>7</v>
      </c>
      <c r="E137" s="162">
        <v>5</v>
      </c>
      <c r="F137" s="162">
        <v>7</v>
      </c>
      <c r="G137" s="162">
        <v>2</v>
      </c>
      <c r="H137" s="162">
        <v>5</v>
      </c>
      <c r="I137" s="162">
        <v>5</v>
      </c>
      <c r="J137" s="162">
        <v>2</v>
      </c>
      <c r="K137" s="162">
        <v>6</v>
      </c>
      <c r="L137" s="162">
        <v>6</v>
      </c>
      <c r="M137" s="162">
        <v>3</v>
      </c>
      <c r="N137" s="162">
        <v>5</v>
      </c>
      <c r="O137" s="162">
        <v>2</v>
      </c>
      <c r="P137" s="162">
        <v>1</v>
      </c>
      <c r="Q137" s="162">
        <v>2</v>
      </c>
      <c r="R137" s="162">
        <v>3</v>
      </c>
      <c r="S137" s="162"/>
      <c r="T137" s="162">
        <v>3</v>
      </c>
      <c r="U137" s="162">
        <v>1</v>
      </c>
      <c r="V137" s="162">
        <v>2</v>
      </c>
      <c r="W137" s="162">
        <v>9</v>
      </c>
      <c r="X137" s="162">
        <v>2</v>
      </c>
      <c r="Y137" s="162">
        <v>5</v>
      </c>
      <c r="Z137" s="162">
        <v>3</v>
      </c>
      <c r="AA137" s="162">
        <f>1+1</f>
        <v>2</v>
      </c>
      <c r="AB137" s="162">
        <v>3</v>
      </c>
      <c r="AC137" s="162">
        <v>2</v>
      </c>
      <c r="AD137" s="162"/>
      <c r="AE137" s="162"/>
      <c r="AF137" s="161"/>
      <c r="AG137" s="64">
        <f t="shared" si="19"/>
        <v>101</v>
      </c>
    </row>
    <row r="138" spans="1:35" ht="18.75" x14ac:dyDescent="0.25">
      <c r="A138" s="323" t="s">
        <v>62</v>
      </c>
      <c r="B138" s="249"/>
      <c r="C138" s="162">
        <v>1</v>
      </c>
      <c r="D138" s="162"/>
      <c r="E138" s="162">
        <v>3</v>
      </c>
      <c r="F138" s="162">
        <v>1</v>
      </c>
      <c r="G138" s="162"/>
      <c r="H138" s="162">
        <v>1</v>
      </c>
      <c r="I138" s="162"/>
      <c r="J138" s="162">
        <v>2</v>
      </c>
      <c r="K138" s="162">
        <v>4</v>
      </c>
      <c r="L138" s="162">
        <v>2</v>
      </c>
      <c r="M138" s="162">
        <v>1</v>
      </c>
      <c r="N138" s="162"/>
      <c r="O138" s="162"/>
      <c r="P138" s="162">
        <v>1</v>
      </c>
      <c r="Q138" s="162">
        <v>3</v>
      </c>
      <c r="R138" s="162">
        <v>1</v>
      </c>
      <c r="S138" s="162"/>
      <c r="T138" s="162"/>
      <c r="U138" s="162">
        <v>2</v>
      </c>
      <c r="V138" s="162">
        <v>1</v>
      </c>
      <c r="W138" s="162"/>
      <c r="X138" s="162">
        <v>1</v>
      </c>
      <c r="Y138" s="162">
        <v>1</v>
      </c>
      <c r="Z138" s="162"/>
      <c r="AA138" s="162">
        <v>2</v>
      </c>
      <c r="AB138" s="162">
        <v>2</v>
      </c>
      <c r="AC138" s="162"/>
      <c r="AD138" s="162"/>
      <c r="AE138" s="162"/>
      <c r="AF138" s="161"/>
      <c r="AG138" s="64">
        <f t="shared" si="19"/>
        <v>29</v>
      </c>
    </row>
    <row r="139" spans="1:35" ht="18.75" x14ac:dyDescent="0.25">
      <c r="A139" s="301" t="s">
        <v>60</v>
      </c>
      <c r="B139" s="249">
        <v>3</v>
      </c>
      <c r="C139" s="162"/>
      <c r="D139" s="162">
        <v>1</v>
      </c>
      <c r="E139" s="162">
        <v>3</v>
      </c>
      <c r="F139" s="162"/>
      <c r="G139" s="162">
        <v>1</v>
      </c>
      <c r="H139" s="162">
        <v>2</v>
      </c>
      <c r="I139" s="162"/>
      <c r="J139" s="162">
        <v>1</v>
      </c>
      <c r="K139" s="162">
        <v>1</v>
      </c>
      <c r="L139" s="162">
        <v>1</v>
      </c>
      <c r="M139" s="162">
        <v>3</v>
      </c>
      <c r="N139" s="162">
        <v>1</v>
      </c>
      <c r="O139" s="162">
        <v>2</v>
      </c>
      <c r="P139" s="162">
        <v>2</v>
      </c>
      <c r="Q139" s="162">
        <v>1</v>
      </c>
      <c r="R139" s="162"/>
      <c r="S139" s="162">
        <v>4</v>
      </c>
      <c r="T139" s="162">
        <v>1</v>
      </c>
      <c r="U139" s="162">
        <v>5</v>
      </c>
      <c r="V139" s="162"/>
      <c r="W139" s="162">
        <v>3</v>
      </c>
      <c r="X139" s="162">
        <v>3</v>
      </c>
      <c r="Y139" s="162"/>
      <c r="Z139" s="162">
        <v>2</v>
      </c>
      <c r="AA139" s="162"/>
      <c r="AB139" s="162">
        <v>2</v>
      </c>
      <c r="AC139" s="162">
        <v>1</v>
      </c>
      <c r="AD139" s="162"/>
      <c r="AE139" s="162"/>
      <c r="AF139" s="161"/>
      <c r="AG139" s="64">
        <f t="shared" si="19"/>
        <v>43</v>
      </c>
    </row>
    <row r="140" spans="1:35" ht="18.75" x14ac:dyDescent="0.25">
      <c r="A140" s="301" t="s">
        <v>59</v>
      </c>
      <c r="B140" s="249">
        <v>1</v>
      </c>
      <c r="C140" s="162">
        <v>1</v>
      </c>
      <c r="D140" s="162">
        <v>1</v>
      </c>
      <c r="E140" s="162"/>
      <c r="F140" s="162">
        <v>2</v>
      </c>
      <c r="G140" s="162"/>
      <c r="H140" s="162">
        <v>1</v>
      </c>
      <c r="I140" s="162">
        <v>1</v>
      </c>
      <c r="J140" s="162">
        <v>2</v>
      </c>
      <c r="K140" s="162">
        <v>1</v>
      </c>
      <c r="L140" s="162">
        <v>5</v>
      </c>
      <c r="M140" s="162">
        <v>2</v>
      </c>
      <c r="N140" s="162">
        <v>1</v>
      </c>
      <c r="O140" s="162">
        <v>1</v>
      </c>
      <c r="P140" s="162">
        <v>1</v>
      </c>
      <c r="Q140" s="162">
        <v>1</v>
      </c>
      <c r="R140" s="162"/>
      <c r="S140" s="162">
        <v>1</v>
      </c>
      <c r="T140" s="162"/>
      <c r="U140" s="162">
        <v>2</v>
      </c>
      <c r="V140" s="162"/>
      <c r="W140" s="162">
        <v>1</v>
      </c>
      <c r="X140" s="162"/>
      <c r="Y140" s="162">
        <v>1</v>
      </c>
      <c r="Z140" s="162"/>
      <c r="AA140" s="162">
        <v>1</v>
      </c>
      <c r="AB140" s="162"/>
      <c r="AC140" s="162"/>
      <c r="AD140" s="162"/>
      <c r="AE140" s="162"/>
      <c r="AF140" s="161"/>
      <c r="AG140" s="64">
        <f t="shared" si="19"/>
        <v>27</v>
      </c>
    </row>
    <row r="141" spans="1:35" ht="18.75" x14ac:dyDescent="0.25">
      <c r="A141" s="301" t="s">
        <v>58</v>
      </c>
      <c r="B141" s="249"/>
      <c r="C141" s="162"/>
      <c r="D141" s="162"/>
      <c r="E141" s="162">
        <v>1</v>
      </c>
      <c r="F141" s="162"/>
      <c r="G141" s="162"/>
      <c r="H141" s="162"/>
      <c r="I141" s="162"/>
      <c r="J141" s="162"/>
      <c r="K141" s="162"/>
      <c r="L141" s="162"/>
      <c r="M141" s="162"/>
      <c r="N141" s="162">
        <v>1</v>
      </c>
      <c r="O141" s="162"/>
      <c r="P141" s="162"/>
      <c r="Q141" s="162"/>
      <c r="R141" s="162">
        <v>1</v>
      </c>
      <c r="S141" s="162"/>
      <c r="T141" s="162">
        <v>1</v>
      </c>
      <c r="U141" s="162"/>
      <c r="V141" s="162">
        <v>1</v>
      </c>
      <c r="W141" s="162"/>
      <c r="X141" s="162"/>
      <c r="Y141" s="162"/>
      <c r="Z141" s="162"/>
      <c r="AA141" s="162"/>
      <c r="AB141" s="162"/>
      <c r="AC141" s="162"/>
      <c r="AD141" s="162"/>
      <c r="AE141" s="162"/>
      <c r="AF141" s="161"/>
      <c r="AG141" s="64">
        <f t="shared" si="19"/>
        <v>5</v>
      </c>
    </row>
    <row r="142" spans="1:35" ht="18.75" x14ac:dyDescent="0.25">
      <c r="A142" s="323" t="s">
        <v>88</v>
      </c>
      <c r="B142" s="249">
        <f>2+1+1+1+1+2</f>
        <v>8</v>
      </c>
      <c r="C142" s="162">
        <v>5</v>
      </c>
      <c r="D142" s="162">
        <v>2</v>
      </c>
      <c r="E142" s="162">
        <v>3</v>
      </c>
      <c r="F142" s="162">
        <v>4</v>
      </c>
      <c r="G142" s="162">
        <v>3</v>
      </c>
      <c r="H142" s="162">
        <v>4</v>
      </c>
      <c r="I142" s="162">
        <v>6</v>
      </c>
      <c r="J142" s="162">
        <v>4</v>
      </c>
      <c r="K142" s="162">
        <v>4</v>
      </c>
      <c r="L142" s="162">
        <v>5</v>
      </c>
      <c r="M142" s="162">
        <v>8</v>
      </c>
      <c r="N142" s="162">
        <v>5</v>
      </c>
      <c r="O142" s="162">
        <v>3</v>
      </c>
      <c r="P142" s="162">
        <v>4</v>
      </c>
      <c r="Q142" s="162">
        <v>4</v>
      </c>
      <c r="R142" s="162">
        <v>4</v>
      </c>
      <c r="S142" s="162">
        <v>4</v>
      </c>
      <c r="T142" s="162">
        <v>3</v>
      </c>
      <c r="U142" s="162">
        <v>5</v>
      </c>
      <c r="V142" s="162">
        <v>3</v>
      </c>
      <c r="W142" s="162">
        <v>2</v>
      </c>
      <c r="X142" s="162"/>
      <c r="Y142" s="162">
        <v>4</v>
      </c>
      <c r="Z142" s="162">
        <v>7</v>
      </c>
      <c r="AA142" s="162">
        <f>1+1+1</f>
        <v>3</v>
      </c>
      <c r="AB142" s="162">
        <f>1+1+1+1+1</f>
        <v>5</v>
      </c>
      <c r="AC142" s="162">
        <f>2</f>
        <v>2</v>
      </c>
      <c r="AD142" s="162"/>
      <c r="AE142" s="162"/>
      <c r="AF142" s="161"/>
      <c r="AG142" s="64">
        <f t="shared" si="19"/>
        <v>114</v>
      </c>
    </row>
    <row r="143" spans="1:35" ht="19.5" thickBot="1" x14ac:dyDescent="0.3">
      <c r="A143" s="324" t="s">
        <v>87</v>
      </c>
      <c r="B143" s="263">
        <f>15+13</f>
        <v>28</v>
      </c>
      <c r="C143" s="140">
        <f>9+6</f>
        <v>15</v>
      </c>
      <c r="D143" s="140">
        <v>26</v>
      </c>
      <c r="E143" s="140">
        <v>18</v>
      </c>
      <c r="F143" s="140">
        <v>18</v>
      </c>
      <c r="G143" s="140">
        <v>21</v>
      </c>
      <c r="H143" s="140">
        <v>25</v>
      </c>
      <c r="I143" s="140">
        <v>20</v>
      </c>
      <c r="J143" s="140">
        <v>10</v>
      </c>
      <c r="K143" s="140">
        <v>12</v>
      </c>
      <c r="L143" s="140">
        <v>18</v>
      </c>
      <c r="M143" s="140">
        <v>14</v>
      </c>
      <c r="N143" s="140">
        <v>12</v>
      </c>
      <c r="O143" s="140">
        <v>9</v>
      </c>
      <c r="P143" s="140">
        <v>15</v>
      </c>
      <c r="Q143" s="140">
        <v>24</v>
      </c>
      <c r="R143" s="140">
        <v>15</v>
      </c>
      <c r="S143" s="140">
        <v>14</v>
      </c>
      <c r="T143" s="140">
        <v>21</v>
      </c>
      <c r="U143" s="140">
        <v>8</v>
      </c>
      <c r="V143" s="140">
        <v>11</v>
      </c>
      <c r="W143" s="140">
        <v>12</v>
      </c>
      <c r="X143" s="140">
        <v>9</v>
      </c>
      <c r="Y143" s="140">
        <v>15</v>
      </c>
      <c r="Z143" s="140">
        <v>20</v>
      </c>
      <c r="AA143" s="140">
        <f>11+10</f>
        <v>21</v>
      </c>
      <c r="AB143" s="140">
        <f>6+1+3</f>
        <v>10</v>
      </c>
      <c r="AC143" s="140">
        <f>7+4</f>
        <v>11</v>
      </c>
      <c r="AD143" s="140"/>
      <c r="AE143" s="140"/>
      <c r="AF143" s="139"/>
      <c r="AG143" s="160">
        <f t="shared" si="19"/>
        <v>452</v>
      </c>
    </row>
    <row r="144" spans="1:35" ht="19.5" thickBot="1" x14ac:dyDescent="0.3">
      <c r="A144" s="309" t="s">
        <v>86</v>
      </c>
      <c r="B144" s="257">
        <f t="shared" ref="B144:AF144" si="20">+B146+B156+B158+B167</f>
        <v>179</v>
      </c>
      <c r="C144" s="158">
        <f t="shared" si="20"/>
        <v>162</v>
      </c>
      <c r="D144" s="158">
        <f t="shared" si="20"/>
        <v>147</v>
      </c>
      <c r="E144" s="158">
        <f t="shared" si="20"/>
        <v>135</v>
      </c>
      <c r="F144" s="158">
        <f t="shared" si="20"/>
        <v>139</v>
      </c>
      <c r="G144" s="158">
        <f t="shared" si="20"/>
        <v>144</v>
      </c>
      <c r="H144" s="158">
        <f t="shared" si="20"/>
        <v>148</v>
      </c>
      <c r="I144" s="158">
        <f t="shared" si="20"/>
        <v>204</v>
      </c>
      <c r="J144" s="158">
        <f t="shared" si="20"/>
        <v>164</v>
      </c>
      <c r="K144" s="158">
        <f t="shared" si="20"/>
        <v>160</v>
      </c>
      <c r="L144" s="158">
        <f t="shared" si="20"/>
        <v>160</v>
      </c>
      <c r="M144" s="158">
        <f t="shared" si="20"/>
        <v>171</v>
      </c>
      <c r="N144" s="158">
        <f t="shared" si="20"/>
        <v>147</v>
      </c>
      <c r="O144" s="158">
        <f t="shared" si="20"/>
        <v>133</v>
      </c>
      <c r="P144" s="158">
        <f t="shared" si="20"/>
        <v>164</v>
      </c>
      <c r="Q144" s="158">
        <f t="shared" si="20"/>
        <v>165</v>
      </c>
      <c r="R144" s="158">
        <f t="shared" si="20"/>
        <v>139</v>
      </c>
      <c r="S144" s="158">
        <f t="shared" si="20"/>
        <v>164</v>
      </c>
      <c r="T144" s="158">
        <v>133</v>
      </c>
      <c r="U144" s="158">
        <f t="shared" si="20"/>
        <v>146</v>
      </c>
      <c r="V144" s="158">
        <f t="shared" si="20"/>
        <v>128</v>
      </c>
      <c r="W144" s="158">
        <f t="shared" si="20"/>
        <v>143</v>
      </c>
      <c r="X144" s="158">
        <f t="shared" si="20"/>
        <v>140</v>
      </c>
      <c r="Y144" s="158">
        <f t="shared" si="20"/>
        <v>128</v>
      </c>
      <c r="Z144" s="158">
        <f t="shared" si="20"/>
        <v>124</v>
      </c>
      <c r="AA144" s="158">
        <f t="shared" si="20"/>
        <v>127</v>
      </c>
      <c r="AB144" s="158">
        <f t="shared" si="20"/>
        <v>139</v>
      </c>
      <c r="AC144" s="158">
        <f t="shared" si="20"/>
        <v>126</v>
      </c>
      <c r="AD144" s="158">
        <f t="shared" si="20"/>
        <v>0</v>
      </c>
      <c r="AE144" s="158">
        <f t="shared" si="20"/>
        <v>0</v>
      </c>
      <c r="AF144" s="158">
        <f t="shared" si="20"/>
        <v>0</v>
      </c>
      <c r="AG144" s="157">
        <f t="shared" si="19"/>
        <v>4159</v>
      </c>
      <c r="AH144" s="85" t="str">
        <f>IF(AG144&lt;&gt;AG93,"*","")</f>
        <v/>
      </c>
      <c r="AI144" t="s">
        <v>85</v>
      </c>
    </row>
    <row r="145" spans="1:34" ht="19.5" thickBot="1" x14ac:dyDescent="0.3">
      <c r="A145" s="325" t="s">
        <v>84</v>
      </c>
      <c r="B145" s="264">
        <f t="shared" ref="B145:AF145" si="21">+B149+B155+B157+B172</f>
        <v>12</v>
      </c>
      <c r="C145" s="155">
        <f t="shared" si="21"/>
        <v>11</v>
      </c>
      <c r="D145" s="155">
        <f t="shared" si="21"/>
        <v>5</v>
      </c>
      <c r="E145" s="155">
        <f t="shared" si="21"/>
        <v>7</v>
      </c>
      <c r="F145" s="155">
        <f t="shared" si="21"/>
        <v>4</v>
      </c>
      <c r="G145" s="155">
        <f t="shared" si="21"/>
        <v>4</v>
      </c>
      <c r="H145" s="155">
        <f t="shared" si="21"/>
        <v>13</v>
      </c>
      <c r="I145" s="155">
        <f t="shared" si="21"/>
        <v>11</v>
      </c>
      <c r="J145" s="155">
        <f t="shared" si="21"/>
        <v>9</v>
      </c>
      <c r="K145" s="155">
        <f t="shared" si="21"/>
        <v>18</v>
      </c>
      <c r="L145" s="155">
        <f t="shared" si="21"/>
        <v>6</v>
      </c>
      <c r="M145" s="155">
        <f t="shared" si="21"/>
        <v>5</v>
      </c>
      <c r="N145" s="155">
        <f t="shared" si="21"/>
        <v>5</v>
      </c>
      <c r="O145" s="155">
        <f t="shared" si="21"/>
        <v>2</v>
      </c>
      <c r="P145" s="155">
        <f t="shared" si="21"/>
        <v>9</v>
      </c>
      <c r="Q145" s="155">
        <f t="shared" si="21"/>
        <v>5</v>
      </c>
      <c r="R145" s="155">
        <f t="shared" si="21"/>
        <v>9</v>
      </c>
      <c r="S145" s="155">
        <f t="shared" si="21"/>
        <v>10</v>
      </c>
      <c r="T145" s="155">
        <f t="shared" si="21"/>
        <v>10</v>
      </c>
      <c r="U145" s="155">
        <f t="shared" si="21"/>
        <v>3</v>
      </c>
      <c r="V145" s="155">
        <f t="shared" si="21"/>
        <v>2</v>
      </c>
      <c r="W145" s="155">
        <f t="shared" si="21"/>
        <v>2</v>
      </c>
      <c r="X145" s="155">
        <f t="shared" si="21"/>
        <v>7</v>
      </c>
      <c r="Y145" s="155">
        <f t="shared" si="21"/>
        <v>4</v>
      </c>
      <c r="Z145" s="155">
        <f t="shared" si="21"/>
        <v>8</v>
      </c>
      <c r="AA145" s="155">
        <f t="shared" si="21"/>
        <v>3</v>
      </c>
      <c r="AB145" s="155">
        <f t="shared" si="21"/>
        <v>5</v>
      </c>
      <c r="AC145" s="155">
        <f t="shared" si="21"/>
        <v>1</v>
      </c>
      <c r="AD145" s="155">
        <f t="shared" si="21"/>
        <v>0</v>
      </c>
      <c r="AE145" s="155">
        <f t="shared" si="21"/>
        <v>0</v>
      </c>
      <c r="AF145" s="154">
        <f t="shared" si="21"/>
        <v>0</v>
      </c>
      <c r="AG145" s="153">
        <f t="shared" si="19"/>
        <v>190</v>
      </c>
      <c r="AH145" s="152"/>
    </row>
    <row r="146" spans="1:34" ht="19.5" thickBot="1" x14ac:dyDescent="0.3">
      <c r="A146" s="326" t="s">
        <v>83</v>
      </c>
      <c r="B146" s="265">
        <f t="shared" ref="B146:AG147" si="22">+B148+B154</f>
        <v>0</v>
      </c>
      <c r="C146" s="8">
        <f t="shared" si="22"/>
        <v>0</v>
      </c>
      <c r="D146" s="8">
        <f t="shared" si="22"/>
        <v>0</v>
      </c>
      <c r="E146" s="8">
        <f t="shared" si="22"/>
        <v>0</v>
      </c>
      <c r="F146" s="8">
        <f t="shared" si="22"/>
        <v>0</v>
      </c>
      <c r="G146" s="8">
        <f t="shared" si="22"/>
        <v>0</v>
      </c>
      <c r="H146" s="8">
        <f t="shared" si="22"/>
        <v>0</v>
      </c>
      <c r="I146" s="8">
        <f t="shared" si="22"/>
        <v>0</v>
      </c>
      <c r="J146" s="8">
        <f t="shared" si="22"/>
        <v>0</v>
      </c>
      <c r="K146" s="8">
        <f t="shared" si="22"/>
        <v>0</v>
      </c>
      <c r="L146" s="8">
        <f t="shared" si="22"/>
        <v>0</v>
      </c>
      <c r="M146" s="8">
        <f t="shared" si="22"/>
        <v>0</v>
      </c>
      <c r="N146" s="8">
        <f t="shared" si="22"/>
        <v>0</v>
      </c>
      <c r="O146" s="8">
        <f t="shared" si="22"/>
        <v>0</v>
      </c>
      <c r="P146" s="8">
        <f t="shared" si="22"/>
        <v>0</v>
      </c>
      <c r="Q146" s="8">
        <f t="shared" si="22"/>
        <v>0</v>
      </c>
      <c r="R146" s="8">
        <f t="shared" si="22"/>
        <v>0</v>
      </c>
      <c r="S146" s="8">
        <f t="shared" si="22"/>
        <v>0</v>
      </c>
      <c r="T146" s="8">
        <f t="shared" si="22"/>
        <v>0</v>
      </c>
      <c r="U146" s="8">
        <f t="shared" si="22"/>
        <v>0</v>
      </c>
      <c r="V146" s="8">
        <f t="shared" si="22"/>
        <v>0</v>
      </c>
      <c r="W146" s="8">
        <f t="shared" si="22"/>
        <v>0</v>
      </c>
      <c r="X146" s="8">
        <f t="shared" si="22"/>
        <v>0</v>
      </c>
      <c r="Y146" s="8">
        <f t="shared" si="22"/>
        <v>0</v>
      </c>
      <c r="Z146" s="8">
        <f t="shared" si="22"/>
        <v>0</v>
      </c>
      <c r="AA146" s="8">
        <f t="shared" si="22"/>
        <v>0</v>
      </c>
      <c r="AB146" s="8">
        <f t="shared" si="22"/>
        <v>0</v>
      </c>
      <c r="AC146" s="8">
        <f t="shared" si="22"/>
        <v>0</v>
      </c>
      <c r="AD146" s="8">
        <f t="shared" si="22"/>
        <v>0</v>
      </c>
      <c r="AE146" s="8">
        <f t="shared" si="22"/>
        <v>0</v>
      </c>
      <c r="AF146" s="150">
        <f t="shared" si="22"/>
        <v>0</v>
      </c>
      <c r="AG146" s="149">
        <f t="shared" si="22"/>
        <v>0</v>
      </c>
    </row>
    <row r="147" spans="1:34" ht="19.5" thickBot="1" x14ac:dyDescent="0.3">
      <c r="A147" s="327" t="s">
        <v>82</v>
      </c>
      <c r="B147" s="266">
        <f t="shared" si="22"/>
        <v>0</v>
      </c>
      <c r="C147" s="143">
        <f t="shared" si="22"/>
        <v>0</v>
      </c>
      <c r="D147" s="143">
        <f t="shared" si="22"/>
        <v>0</v>
      </c>
      <c r="E147" s="143">
        <f t="shared" si="22"/>
        <v>0</v>
      </c>
      <c r="F147" s="143">
        <f t="shared" si="22"/>
        <v>0</v>
      </c>
      <c r="G147" s="143">
        <f t="shared" si="22"/>
        <v>0</v>
      </c>
      <c r="H147" s="143">
        <f t="shared" si="22"/>
        <v>0</v>
      </c>
      <c r="I147" s="143">
        <f t="shared" si="22"/>
        <v>0</v>
      </c>
      <c r="J147" s="143">
        <f t="shared" si="22"/>
        <v>0</v>
      </c>
      <c r="K147" s="143">
        <f t="shared" si="22"/>
        <v>0</v>
      </c>
      <c r="L147" s="143">
        <f t="shared" si="22"/>
        <v>0</v>
      </c>
      <c r="M147" s="143">
        <f t="shared" si="22"/>
        <v>0</v>
      </c>
      <c r="N147" s="143">
        <f t="shared" si="22"/>
        <v>0</v>
      </c>
      <c r="O147" s="143">
        <f t="shared" si="22"/>
        <v>0</v>
      </c>
      <c r="P147" s="143">
        <f t="shared" si="22"/>
        <v>0</v>
      </c>
      <c r="Q147" s="143">
        <f t="shared" si="22"/>
        <v>0</v>
      </c>
      <c r="R147" s="143">
        <f t="shared" si="22"/>
        <v>0</v>
      </c>
      <c r="S147" s="143">
        <f t="shared" si="22"/>
        <v>0</v>
      </c>
      <c r="T147" s="143">
        <f t="shared" si="22"/>
        <v>0</v>
      </c>
      <c r="U147" s="143">
        <f t="shared" si="22"/>
        <v>0</v>
      </c>
      <c r="V147" s="143">
        <f t="shared" si="22"/>
        <v>0</v>
      </c>
      <c r="W147" s="143">
        <f t="shared" si="22"/>
        <v>0</v>
      </c>
      <c r="X147" s="143">
        <f t="shared" si="22"/>
        <v>0</v>
      </c>
      <c r="Y147" s="143">
        <f t="shared" si="22"/>
        <v>0</v>
      </c>
      <c r="Z147" s="143">
        <f t="shared" si="22"/>
        <v>0</v>
      </c>
      <c r="AA147" s="143">
        <f t="shared" si="22"/>
        <v>0</v>
      </c>
      <c r="AB147" s="143">
        <f t="shared" si="22"/>
        <v>0</v>
      </c>
      <c r="AC147" s="143">
        <f t="shared" si="22"/>
        <v>0</v>
      </c>
      <c r="AD147" s="143">
        <f t="shared" si="22"/>
        <v>0</v>
      </c>
      <c r="AE147" s="143">
        <f t="shared" si="22"/>
        <v>0</v>
      </c>
      <c r="AF147" s="142"/>
      <c r="AG147" s="86">
        <f t="shared" ref="AG147:AG178" si="23">SUM(B147:AF147)</f>
        <v>0</v>
      </c>
    </row>
    <row r="148" spans="1:34" ht="19.5" thickBot="1" x14ac:dyDescent="0.3">
      <c r="A148" s="328" t="s">
        <v>81</v>
      </c>
      <c r="B148" s="267">
        <f t="shared" ref="B148:AF148" si="24">SUM(B150:B153)</f>
        <v>0</v>
      </c>
      <c r="C148" s="147">
        <f t="shared" si="24"/>
        <v>0</v>
      </c>
      <c r="D148" s="147">
        <f t="shared" si="24"/>
        <v>0</v>
      </c>
      <c r="E148" s="147">
        <f t="shared" si="24"/>
        <v>0</v>
      </c>
      <c r="F148" s="147">
        <f t="shared" si="24"/>
        <v>0</v>
      </c>
      <c r="G148" s="147">
        <f t="shared" si="24"/>
        <v>0</v>
      </c>
      <c r="H148" s="147">
        <f t="shared" si="24"/>
        <v>0</v>
      </c>
      <c r="I148" s="147">
        <f t="shared" si="24"/>
        <v>0</v>
      </c>
      <c r="J148" s="147">
        <f t="shared" si="24"/>
        <v>0</v>
      </c>
      <c r="K148" s="147">
        <f t="shared" si="24"/>
        <v>0</v>
      </c>
      <c r="L148" s="147">
        <f t="shared" si="24"/>
        <v>0</v>
      </c>
      <c r="M148" s="147">
        <f t="shared" si="24"/>
        <v>0</v>
      </c>
      <c r="N148" s="147">
        <f t="shared" si="24"/>
        <v>0</v>
      </c>
      <c r="O148" s="147">
        <f t="shared" si="24"/>
        <v>0</v>
      </c>
      <c r="P148" s="147">
        <f t="shared" si="24"/>
        <v>0</v>
      </c>
      <c r="Q148" s="147">
        <f t="shared" si="24"/>
        <v>0</v>
      </c>
      <c r="R148" s="147">
        <f t="shared" si="24"/>
        <v>0</v>
      </c>
      <c r="S148" s="147">
        <f t="shared" si="24"/>
        <v>0</v>
      </c>
      <c r="T148" s="147">
        <f t="shared" si="24"/>
        <v>0</v>
      </c>
      <c r="U148" s="147">
        <f t="shared" si="24"/>
        <v>0</v>
      </c>
      <c r="V148" s="147">
        <f t="shared" si="24"/>
        <v>0</v>
      </c>
      <c r="W148" s="147">
        <f t="shared" si="24"/>
        <v>0</v>
      </c>
      <c r="X148" s="147">
        <f t="shared" si="24"/>
        <v>0</v>
      </c>
      <c r="Y148" s="147">
        <f t="shared" si="24"/>
        <v>0</v>
      </c>
      <c r="Z148" s="147">
        <f t="shared" si="24"/>
        <v>0</v>
      </c>
      <c r="AA148" s="147">
        <f t="shared" si="24"/>
        <v>0</v>
      </c>
      <c r="AB148" s="147">
        <f t="shared" si="24"/>
        <v>0</v>
      </c>
      <c r="AC148" s="147">
        <f t="shared" si="24"/>
        <v>0</v>
      </c>
      <c r="AD148" s="147">
        <f t="shared" si="24"/>
        <v>0</v>
      </c>
      <c r="AE148" s="147">
        <f t="shared" si="24"/>
        <v>0</v>
      </c>
      <c r="AF148" s="146">
        <f t="shared" si="24"/>
        <v>0</v>
      </c>
      <c r="AG148" s="145">
        <f t="shared" si="23"/>
        <v>0</v>
      </c>
    </row>
    <row r="149" spans="1:34" ht="19.5" thickBot="1" x14ac:dyDescent="0.3">
      <c r="A149" s="327" t="s">
        <v>80</v>
      </c>
      <c r="B149" s="266"/>
      <c r="C149" s="143"/>
      <c r="D149" s="143"/>
      <c r="E149" s="143"/>
      <c r="F149" s="143"/>
      <c r="G149" s="143"/>
      <c r="H149" s="143"/>
      <c r="I149" s="143"/>
      <c r="J149" s="143"/>
      <c r="K149" s="143"/>
      <c r="L149" s="143"/>
      <c r="M149" s="143"/>
      <c r="N149" s="143"/>
      <c r="O149" s="143"/>
      <c r="P149" s="143"/>
      <c r="Q149" s="143"/>
      <c r="R149" s="143"/>
      <c r="S149" s="143"/>
      <c r="T149" s="143"/>
      <c r="U149" s="143"/>
      <c r="V149" s="143"/>
      <c r="W149" s="143"/>
      <c r="X149" s="143"/>
      <c r="Y149" s="143"/>
      <c r="Z149" s="143"/>
      <c r="AA149" s="143"/>
      <c r="AB149" s="143"/>
      <c r="AC149" s="143"/>
      <c r="AD149" s="143"/>
      <c r="AE149" s="143"/>
      <c r="AF149" s="142"/>
      <c r="AG149" s="86">
        <f t="shared" si="23"/>
        <v>0</v>
      </c>
    </row>
    <row r="150" spans="1:34" ht="18.75" x14ac:dyDescent="0.25">
      <c r="A150" s="329" t="s">
        <v>79</v>
      </c>
      <c r="B150" s="268"/>
      <c r="C150" s="136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5"/>
      <c r="AG150" s="134">
        <f t="shared" si="23"/>
        <v>0</v>
      </c>
    </row>
    <row r="151" spans="1:34" ht="18.75" x14ac:dyDescent="0.25">
      <c r="A151" s="330" t="s">
        <v>78</v>
      </c>
      <c r="B151" s="269"/>
      <c r="C151" s="130"/>
      <c r="D151" s="130"/>
      <c r="E151" s="130"/>
      <c r="F151" s="130"/>
      <c r="G151" s="130"/>
      <c r="H151" s="130"/>
      <c r="I151" s="130"/>
      <c r="J151" s="130"/>
      <c r="K151" s="130"/>
      <c r="L151" s="130"/>
      <c r="M151" s="130"/>
      <c r="N151" s="130"/>
      <c r="O151" s="130"/>
      <c r="P151" s="130"/>
      <c r="Q151" s="130"/>
      <c r="R151" s="130"/>
      <c r="S151" s="130"/>
      <c r="T151" s="130"/>
      <c r="U151" s="130"/>
      <c r="V151" s="130"/>
      <c r="W151" s="130"/>
      <c r="X151" s="130"/>
      <c r="Y151" s="130"/>
      <c r="Z151" s="130"/>
      <c r="AA151" s="130"/>
      <c r="AB151" s="130"/>
      <c r="AC151" s="130"/>
      <c r="AD151" s="130"/>
      <c r="AE151" s="130"/>
      <c r="AF151" s="129"/>
      <c r="AG151" s="64">
        <f t="shared" si="23"/>
        <v>0</v>
      </c>
    </row>
    <row r="152" spans="1:34" ht="18.75" x14ac:dyDescent="0.25">
      <c r="A152" s="330" t="s">
        <v>77</v>
      </c>
      <c r="B152" s="269"/>
      <c r="C152" s="130"/>
      <c r="D152" s="130"/>
      <c r="E152" s="130"/>
      <c r="F152" s="130"/>
      <c r="G152" s="130"/>
      <c r="H152" s="130"/>
      <c r="I152" s="130"/>
      <c r="J152" s="130"/>
      <c r="K152" s="130"/>
      <c r="L152" s="130"/>
      <c r="M152" s="130"/>
      <c r="N152" s="130"/>
      <c r="O152" s="130"/>
      <c r="P152" s="130"/>
      <c r="Q152" s="130"/>
      <c r="R152" s="130"/>
      <c r="S152" s="130"/>
      <c r="T152" s="130"/>
      <c r="U152" s="130"/>
      <c r="V152" s="130"/>
      <c r="W152" s="130"/>
      <c r="X152" s="130"/>
      <c r="Y152" s="130"/>
      <c r="Z152" s="130"/>
      <c r="AA152" s="130"/>
      <c r="AB152" s="130"/>
      <c r="AC152" s="130"/>
      <c r="AD152" s="130"/>
      <c r="AE152" s="130"/>
      <c r="AF152" s="129"/>
      <c r="AG152" s="64">
        <f t="shared" si="23"/>
        <v>0</v>
      </c>
    </row>
    <row r="153" spans="1:34" ht="19.5" thickBot="1" x14ac:dyDescent="0.3">
      <c r="A153" s="331" t="s">
        <v>76</v>
      </c>
      <c r="B153" s="270"/>
      <c r="C153" s="127"/>
      <c r="D153" s="127"/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  <c r="Y153" s="127"/>
      <c r="Z153" s="127"/>
      <c r="AA153" s="127"/>
      <c r="AB153" s="127"/>
      <c r="AC153" s="127"/>
      <c r="AD153" s="127"/>
      <c r="AE153" s="127"/>
      <c r="AF153" s="126"/>
      <c r="AG153" s="10">
        <f t="shared" si="23"/>
        <v>0</v>
      </c>
    </row>
    <row r="154" spans="1:34" ht="19.5" thickBot="1" x14ac:dyDescent="0.3">
      <c r="A154" s="328" t="s">
        <v>75</v>
      </c>
      <c r="B154" s="267"/>
      <c r="C154" s="147"/>
      <c r="D154" s="147"/>
      <c r="E154" s="147"/>
      <c r="F154" s="147"/>
      <c r="G154" s="147"/>
      <c r="H154" s="147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  <c r="AA154" s="147"/>
      <c r="AB154" s="147"/>
      <c r="AC154" s="147"/>
      <c r="AD154" s="147"/>
      <c r="AE154" s="147"/>
      <c r="AF154" s="146"/>
      <c r="AG154" s="145">
        <f t="shared" si="23"/>
        <v>0</v>
      </c>
    </row>
    <row r="155" spans="1:34" ht="19.5" thickBot="1" x14ac:dyDescent="0.3">
      <c r="A155" s="327" t="s">
        <v>74</v>
      </c>
      <c r="B155" s="266"/>
      <c r="C155" s="143"/>
      <c r="D155" s="143"/>
      <c r="E155" s="143"/>
      <c r="F155" s="143"/>
      <c r="G155" s="143"/>
      <c r="H155" s="143"/>
      <c r="I155" s="143"/>
      <c r="J155" s="143"/>
      <c r="K155" s="143"/>
      <c r="L155" s="143"/>
      <c r="M155" s="143"/>
      <c r="N155" s="143"/>
      <c r="O155" s="143"/>
      <c r="P155" s="143"/>
      <c r="Q155" s="143"/>
      <c r="R155" s="143"/>
      <c r="S155" s="143"/>
      <c r="T155" s="143"/>
      <c r="U155" s="143"/>
      <c r="V155" s="143"/>
      <c r="W155" s="143"/>
      <c r="X155" s="143"/>
      <c r="Y155" s="143"/>
      <c r="Z155" s="143"/>
      <c r="AA155" s="143"/>
      <c r="AB155" s="143"/>
      <c r="AC155" s="143"/>
      <c r="AD155" s="143"/>
      <c r="AE155" s="143"/>
      <c r="AF155" s="142"/>
      <c r="AG155" s="86">
        <f t="shared" si="23"/>
        <v>0</v>
      </c>
    </row>
    <row r="156" spans="1:34" ht="18.75" x14ac:dyDescent="0.25">
      <c r="A156" s="332" t="s">
        <v>73</v>
      </c>
      <c r="B156" s="271">
        <v>179</v>
      </c>
      <c r="C156" s="18">
        <v>162</v>
      </c>
      <c r="D156" s="18">
        <v>146</v>
      </c>
      <c r="E156" s="18">
        <v>135</v>
      </c>
      <c r="F156" s="18">
        <v>139</v>
      </c>
      <c r="G156" s="18">
        <v>144</v>
      </c>
      <c r="H156" s="18">
        <v>148</v>
      </c>
      <c r="I156" s="18">
        <v>204</v>
      </c>
      <c r="J156" s="18">
        <v>164</v>
      </c>
      <c r="K156" s="18">
        <v>160</v>
      </c>
      <c r="L156" s="18">
        <v>160</v>
      </c>
      <c r="M156" s="18">
        <v>171</v>
      </c>
      <c r="N156" s="18">
        <v>147</v>
      </c>
      <c r="O156" s="18">
        <v>133</v>
      </c>
      <c r="P156" s="18">
        <v>164</v>
      </c>
      <c r="Q156" s="18">
        <v>165</v>
      </c>
      <c r="R156" s="18">
        <v>139</v>
      </c>
      <c r="S156" s="18">
        <v>164</v>
      </c>
      <c r="T156" s="18">
        <v>143</v>
      </c>
      <c r="U156" s="18">
        <v>146</v>
      </c>
      <c r="V156" s="18">
        <v>128</v>
      </c>
      <c r="W156" s="18">
        <v>143</v>
      </c>
      <c r="X156" s="18">
        <v>140</v>
      </c>
      <c r="Y156" s="18">
        <v>128</v>
      </c>
      <c r="Z156" s="18">
        <v>124</v>
      </c>
      <c r="AA156" s="18">
        <v>126</v>
      </c>
      <c r="AB156" s="18">
        <v>139</v>
      </c>
      <c r="AC156" s="18">
        <v>126</v>
      </c>
      <c r="AD156" s="18"/>
      <c r="AE156" s="18"/>
      <c r="AF156" s="17"/>
      <c r="AG156" s="7">
        <f t="shared" si="23"/>
        <v>4167</v>
      </c>
      <c r="AH156" s="98" t="s">
        <v>72</v>
      </c>
    </row>
    <row r="157" spans="1:34" ht="19.5" thickBot="1" x14ac:dyDescent="0.3">
      <c r="A157" s="324" t="s">
        <v>71</v>
      </c>
      <c r="B157" s="263">
        <v>12</v>
      </c>
      <c r="C157" s="140">
        <v>11</v>
      </c>
      <c r="D157" s="140">
        <v>5</v>
      </c>
      <c r="E157" s="140">
        <v>7</v>
      </c>
      <c r="F157" s="140">
        <v>4</v>
      </c>
      <c r="G157" s="140">
        <v>4</v>
      </c>
      <c r="H157" s="140">
        <v>13</v>
      </c>
      <c r="I157" s="140">
        <v>11</v>
      </c>
      <c r="J157" s="140">
        <v>9</v>
      </c>
      <c r="K157" s="140">
        <v>18</v>
      </c>
      <c r="L157" s="140">
        <v>6</v>
      </c>
      <c r="M157" s="140">
        <v>5</v>
      </c>
      <c r="N157" s="140">
        <v>5</v>
      </c>
      <c r="O157" s="140">
        <v>2</v>
      </c>
      <c r="P157" s="140">
        <v>9</v>
      </c>
      <c r="Q157" s="140">
        <v>5</v>
      </c>
      <c r="R157" s="140">
        <v>9</v>
      </c>
      <c r="S157" s="140">
        <v>10</v>
      </c>
      <c r="T157" s="140">
        <v>10</v>
      </c>
      <c r="U157" s="140">
        <v>3</v>
      </c>
      <c r="V157" s="140">
        <v>2</v>
      </c>
      <c r="W157" s="140">
        <v>2</v>
      </c>
      <c r="X157" s="140">
        <v>7</v>
      </c>
      <c r="Y157" s="140">
        <v>4</v>
      </c>
      <c r="Z157" s="140">
        <v>8</v>
      </c>
      <c r="AA157" s="140">
        <v>3</v>
      </c>
      <c r="AB157" s="140">
        <v>5</v>
      </c>
      <c r="AC157" s="140">
        <v>1</v>
      </c>
      <c r="AD157" s="140"/>
      <c r="AE157" s="140"/>
      <c r="AF157" s="139"/>
      <c r="AG157" s="138">
        <f t="shared" si="23"/>
        <v>190</v>
      </c>
      <c r="AH157" s="98"/>
    </row>
    <row r="158" spans="1:34" ht="19.5" thickBot="1" x14ac:dyDescent="0.3">
      <c r="A158" s="333" t="s">
        <v>70</v>
      </c>
      <c r="B158" s="272">
        <f t="shared" ref="B158:AF158" si="25">SUM(B159:B166)</f>
        <v>0</v>
      </c>
      <c r="C158" s="35">
        <f t="shared" si="25"/>
        <v>0</v>
      </c>
      <c r="D158" s="35">
        <f t="shared" si="25"/>
        <v>0</v>
      </c>
      <c r="E158" s="35">
        <f t="shared" si="25"/>
        <v>0</v>
      </c>
      <c r="F158" s="35">
        <f t="shared" si="25"/>
        <v>0</v>
      </c>
      <c r="G158" s="35">
        <f t="shared" si="25"/>
        <v>0</v>
      </c>
      <c r="H158" s="35">
        <f t="shared" si="25"/>
        <v>0</v>
      </c>
      <c r="I158" s="35">
        <f t="shared" si="25"/>
        <v>0</v>
      </c>
      <c r="J158" s="35">
        <f t="shared" si="25"/>
        <v>0</v>
      </c>
      <c r="K158" s="35">
        <f t="shared" si="25"/>
        <v>0</v>
      </c>
      <c r="L158" s="35">
        <f t="shared" si="25"/>
        <v>0</v>
      </c>
      <c r="M158" s="35">
        <f t="shared" si="25"/>
        <v>0</v>
      </c>
      <c r="N158" s="35">
        <f t="shared" si="25"/>
        <v>0</v>
      </c>
      <c r="O158" s="35">
        <f t="shared" si="25"/>
        <v>0</v>
      </c>
      <c r="P158" s="35">
        <f t="shared" si="25"/>
        <v>0</v>
      </c>
      <c r="Q158" s="35">
        <f t="shared" si="25"/>
        <v>0</v>
      </c>
      <c r="R158" s="35">
        <f t="shared" si="25"/>
        <v>0</v>
      </c>
      <c r="S158" s="35">
        <f t="shared" si="25"/>
        <v>0</v>
      </c>
      <c r="T158" s="35">
        <f t="shared" si="25"/>
        <v>0</v>
      </c>
      <c r="U158" s="35">
        <f t="shared" si="25"/>
        <v>0</v>
      </c>
      <c r="V158" s="35">
        <f t="shared" si="25"/>
        <v>0</v>
      </c>
      <c r="W158" s="35">
        <f t="shared" si="25"/>
        <v>0</v>
      </c>
      <c r="X158" s="35">
        <f t="shared" si="25"/>
        <v>0</v>
      </c>
      <c r="Y158" s="35">
        <f t="shared" si="25"/>
        <v>0</v>
      </c>
      <c r="Z158" s="35">
        <f t="shared" si="25"/>
        <v>0</v>
      </c>
      <c r="AA158" s="35">
        <f t="shared" si="25"/>
        <v>0</v>
      </c>
      <c r="AB158" s="35">
        <f t="shared" si="25"/>
        <v>0</v>
      </c>
      <c r="AC158" s="35">
        <f t="shared" si="25"/>
        <v>0</v>
      </c>
      <c r="AD158" s="35">
        <f t="shared" si="25"/>
        <v>0</v>
      </c>
      <c r="AE158" s="35">
        <f t="shared" si="25"/>
        <v>0</v>
      </c>
      <c r="AF158" s="34">
        <f t="shared" si="25"/>
        <v>0</v>
      </c>
      <c r="AG158" s="33">
        <f t="shared" si="23"/>
        <v>0</v>
      </c>
    </row>
    <row r="159" spans="1:34" ht="18.75" x14ac:dyDescent="0.25">
      <c r="A159" s="329" t="s">
        <v>69</v>
      </c>
      <c r="B159" s="268"/>
      <c r="C159" s="136"/>
      <c r="D159" s="136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A159" s="136"/>
      <c r="AB159" s="136"/>
      <c r="AC159" s="136"/>
      <c r="AD159" s="136"/>
      <c r="AE159" s="136"/>
      <c r="AF159" s="135"/>
      <c r="AG159" s="134">
        <f t="shared" si="23"/>
        <v>0</v>
      </c>
    </row>
    <row r="160" spans="1:34" ht="18.75" x14ac:dyDescent="0.25">
      <c r="A160" s="330" t="s">
        <v>68</v>
      </c>
      <c r="B160" s="269"/>
      <c r="C160" s="130"/>
      <c r="D160" s="130"/>
      <c r="E160" s="130"/>
      <c r="F160" s="130"/>
      <c r="G160" s="130"/>
      <c r="H160" s="130"/>
      <c r="I160" s="130"/>
      <c r="J160" s="130"/>
      <c r="K160" s="130"/>
      <c r="L160" s="130"/>
      <c r="M160" s="130"/>
      <c r="N160" s="130"/>
      <c r="O160" s="130"/>
      <c r="P160" s="130"/>
      <c r="Q160" s="130"/>
      <c r="R160" s="130"/>
      <c r="S160" s="130"/>
      <c r="T160" s="130"/>
      <c r="U160" s="130"/>
      <c r="V160" s="130"/>
      <c r="W160" s="130"/>
      <c r="X160" s="130"/>
      <c r="Y160" s="130"/>
      <c r="Z160" s="130"/>
      <c r="AA160" s="130"/>
      <c r="AB160" s="130"/>
      <c r="AC160" s="130"/>
      <c r="AD160" s="130"/>
      <c r="AE160" s="130"/>
      <c r="AF160" s="129"/>
      <c r="AG160" s="64">
        <f t="shared" si="23"/>
        <v>0</v>
      </c>
    </row>
    <row r="161" spans="1:34" ht="18.75" x14ac:dyDescent="0.25">
      <c r="A161" s="330" t="s">
        <v>67</v>
      </c>
      <c r="B161" s="269"/>
      <c r="C161" s="130"/>
      <c r="D161" s="130"/>
      <c r="E161" s="130"/>
      <c r="F161" s="130"/>
      <c r="G161" s="130"/>
      <c r="H161" s="130"/>
      <c r="I161" s="130"/>
      <c r="J161" s="130"/>
      <c r="K161" s="130"/>
      <c r="L161" s="130"/>
      <c r="M161" s="130"/>
      <c r="N161" s="130"/>
      <c r="O161" s="130"/>
      <c r="P161" s="130"/>
      <c r="Q161" s="130"/>
      <c r="R161" s="130"/>
      <c r="S161" s="130"/>
      <c r="T161" s="130"/>
      <c r="U161" s="130"/>
      <c r="V161" s="130"/>
      <c r="W161" s="130"/>
      <c r="X161" s="130"/>
      <c r="Y161" s="130"/>
      <c r="Z161" s="130"/>
      <c r="AA161" s="130"/>
      <c r="AB161" s="130"/>
      <c r="AC161" s="130"/>
      <c r="AD161" s="130"/>
      <c r="AE161" s="130"/>
      <c r="AF161" s="129"/>
      <c r="AG161" s="64">
        <f t="shared" si="23"/>
        <v>0</v>
      </c>
    </row>
    <row r="162" spans="1:34" ht="18.75" x14ac:dyDescent="0.25">
      <c r="A162" s="330" t="s">
        <v>66</v>
      </c>
      <c r="B162" s="269"/>
      <c r="C162" s="130"/>
      <c r="D162" s="130"/>
      <c r="E162" s="130"/>
      <c r="F162" s="130"/>
      <c r="G162" s="130"/>
      <c r="H162" s="130"/>
      <c r="I162" s="130"/>
      <c r="J162" s="130"/>
      <c r="K162" s="130"/>
      <c r="L162" s="130"/>
      <c r="M162" s="130"/>
      <c r="N162" s="130"/>
      <c r="O162" s="130"/>
      <c r="P162" s="130"/>
      <c r="Q162" s="130"/>
      <c r="R162" s="130"/>
      <c r="S162" s="130"/>
      <c r="T162" s="130"/>
      <c r="U162" s="130"/>
      <c r="V162" s="130"/>
      <c r="W162" s="130"/>
      <c r="X162" s="130"/>
      <c r="Y162" s="130"/>
      <c r="Z162" s="130"/>
      <c r="AA162" s="130"/>
      <c r="AB162" s="130"/>
      <c r="AC162" s="130"/>
      <c r="AD162" s="130"/>
      <c r="AE162" s="130"/>
      <c r="AF162" s="129"/>
      <c r="AG162" s="64">
        <f t="shared" si="23"/>
        <v>0</v>
      </c>
    </row>
    <row r="163" spans="1:34" ht="18.75" x14ac:dyDescent="0.25">
      <c r="A163" s="330" t="s">
        <v>65</v>
      </c>
      <c r="B163" s="269"/>
      <c r="C163" s="130"/>
      <c r="D163" s="130"/>
      <c r="E163" s="130"/>
      <c r="F163" s="130"/>
      <c r="G163" s="130"/>
      <c r="H163" s="130"/>
      <c r="I163" s="130"/>
      <c r="J163" s="130"/>
      <c r="K163" s="130"/>
      <c r="L163" s="130"/>
      <c r="M163" s="130"/>
      <c r="N163" s="130"/>
      <c r="O163" s="130"/>
      <c r="P163" s="130"/>
      <c r="Q163" s="130"/>
      <c r="R163" s="130"/>
      <c r="S163" s="130"/>
      <c r="T163" s="130"/>
      <c r="U163" s="130"/>
      <c r="V163" s="130"/>
      <c r="W163" s="130"/>
      <c r="X163" s="130"/>
      <c r="Y163" s="130"/>
      <c r="Z163" s="130"/>
      <c r="AA163" s="130"/>
      <c r="AB163" s="130"/>
      <c r="AC163" s="130"/>
      <c r="AD163" s="130"/>
      <c r="AE163" s="130"/>
      <c r="AF163" s="129"/>
      <c r="AG163" s="64">
        <f t="shared" si="23"/>
        <v>0</v>
      </c>
    </row>
    <row r="164" spans="1:34" ht="18.75" x14ac:dyDescent="0.25">
      <c r="A164" s="330" t="s">
        <v>64</v>
      </c>
      <c r="B164" s="269"/>
      <c r="C164" s="130"/>
      <c r="D164" s="130"/>
      <c r="E164" s="130"/>
      <c r="F164" s="130"/>
      <c r="G164" s="130"/>
      <c r="H164" s="130"/>
      <c r="I164" s="130"/>
      <c r="J164" s="130"/>
      <c r="K164" s="130"/>
      <c r="L164" s="130"/>
      <c r="M164" s="130"/>
      <c r="N164" s="130"/>
      <c r="O164" s="130"/>
      <c r="P164" s="130"/>
      <c r="Q164" s="130"/>
      <c r="R164" s="130"/>
      <c r="S164" s="130"/>
      <c r="T164" s="130"/>
      <c r="U164" s="130"/>
      <c r="V164" s="130"/>
      <c r="W164" s="130"/>
      <c r="X164" s="130"/>
      <c r="Y164" s="130"/>
      <c r="Z164" s="130"/>
      <c r="AA164" s="130"/>
      <c r="AB164" s="130"/>
      <c r="AC164" s="130"/>
      <c r="AD164" s="130"/>
      <c r="AE164" s="130"/>
      <c r="AF164" s="129"/>
      <c r="AG164" s="64">
        <f t="shared" si="23"/>
        <v>0</v>
      </c>
    </row>
    <row r="165" spans="1:34" ht="18.75" x14ac:dyDescent="0.25">
      <c r="A165" s="330" t="s">
        <v>63</v>
      </c>
      <c r="B165" s="269"/>
      <c r="C165" s="130"/>
      <c r="D165" s="130"/>
      <c r="E165" s="130"/>
      <c r="F165" s="130"/>
      <c r="G165" s="130"/>
      <c r="H165" s="130"/>
      <c r="I165" s="130"/>
      <c r="J165" s="130"/>
      <c r="K165" s="130"/>
      <c r="L165" s="130"/>
      <c r="M165" s="130"/>
      <c r="N165" s="130"/>
      <c r="O165" s="130"/>
      <c r="P165" s="130"/>
      <c r="Q165" s="130"/>
      <c r="R165" s="130"/>
      <c r="S165" s="130"/>
      <c r="T165" s="130"/>
      <c r="U165" s="130"/>
      <c r="V165" s="130"/>
      <c r="W165" s="130"/>
      <c r="X165" s="130"/>
      <c r="Y165" s="130"/>
      <c r="Z165" s="130"/>
      <c r="AA165" s="130"/>
      <c r="AB165" s="130"/>
      <c r="AC165" s="130"/>
      <c r="AD165" s="130"/>
      <c r="AE165" s="130"/>
      <c r="AF165" s="129"/>
      <c r="AG165" s="64">
        <f t="shared" si="23"/>
        <v>0</v>
      </c>
    </row>
    <row r="166" spans="1:34" ht="19.5" thickBot="1" x14ac:dyDescent="0.3">
      <c r="A166" s="331" t="s">
        <v>62</v>
      </c>
      <c r="B166" s="270"/>
      <c r="C166" s="127"/>
      <c r="D166" s="127"/>
      <c r="E166" s="127"/>
      <c r="F166" s="127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  <c r="Y166" s="127"/>
      <c r="Z166" s="127"/>
      <c r="AA166" s="127"/>
      <c r="AB166" s="127"/>
      <c r="AC166" s="127"/>
      <c r="AD166" s="127"/>
      <c r="AE166" s="127"/>
      <c r="AF166" s="126"/>
      <c r="AG166" s="10">
        <f t="shared" si="23"/>
        <v>0</v>
      </c>
    </row>
    <row r="167" spans="1:34" ht="18.75" x14ac:dyDescent="0.25">
      <c r="A167" s="332" t="s">
        <v>61</v>
      </c>
      <c r="B167" s="271">
        <f t="shared" ref="B167:AF167" si="26">SUM(B168:B171)</f>
        <v>0</v>
      </c>
      <c r="C167" s="18">
        <f t="shared" si="26"/>
        <v>0</v>
      </c>
      <c r="D167" s="18">
        <f t="shared" si="26"/>
        <v>1</v>
      </c>
      <c r="E167" s="18">
        <f t="shared" si="26"/>
        <v>0</v>
      </c>
      <c r="F167" s="18">
        <f t="shared" si="26"/>
        <v>0</v>
      </c>
      <c r="G167" s="18">
        <f t="shared" si="26"/>
        <v>0</v>
      </c>
      <c r="H167" s="18">
        <f t="shared" si="26"/>
        <v>0</v>
      </c>
      <c r="I167" s="18">
        <f t="shared" si="26"/>
        <v>0</v>
      </c>
      <c r="J167" s="18">
        <f t="shared" si="26"/>
        <v>0</v>
      </c>
      <c r="K167" s="18">
        <f t="shared" si="26"/>
        <v>0</v>
      </c>
      <c r="L167" s="18">
        <f t="shared" si="26"/>
        <v>0</v>
      </c>
      <c r="M167" s="18">
        <f t="shared" si="26"/>
        <v>0</v>
      </c>
      <c r="N167" s="18">
        <f t="shared" si="26"/>
        <v>0</v>
      </c>
      <c r="O167" s="18">
        <f t="shared" si="26"/>
        <v>0</v>
      </c>
      <c r="P167" s="18">
        <f t="shared" si="26"/>
        <v>0</v>
      </c>
      <c r="Q167" s="18">
        <f t="shared" si="26"/>
        <v>0</v>
      </c>
      <c r="R167" s="18">
        <f t="shared" si="26"/>
        <v>0</v>
      </c>
      <c r="S167" s="18">
        <f t="shared" si="26"/>
        <v>0</v>
      </c>
      <c r="T167" s="18">
        <f t="shared" si="26"/>
        <v>0</v>
      </c>
      <c r="U167" s="18">
        <f t="shared" si="26"/>
        <v>0</v>
      </c>
      <c r="V167" s="18">
        <f t="shared" si="26"/>
        <v>0</v>
      </c>
      <c r="W167" s="18">
        <f t="shared" si="26"/>
        <v>0</v>
      </c>
      <c r="X167" s="18">
        <f t="shared" si="26"/>
        <v>0</v>
      </c>
      <c r="Y167" s="18">
        <f t="shared" si="26"/>
        <v>0</v>
      </c>
      <c r="Z167" s="18">
        <f t="shared" si="26"/>
        <v>0</v>
      </c>
      <c r="AA167" s="18">
        <f t="shared" si="26"/>
        <v>1</v>
      </c>
      <c r="AB167" s="18">
        <f t="shared" si="26"/>
        <v>0</v>
      </c>
      <c r="AC167" s="18">
        <f t="shared" si="26"/>
        <v>0</v>
      </c>
      <c r="AD167" s="18">
        <f t="shared" si="26"/>
        <v>0</v>
      </c>
      <c r="AE167" s="18">
        <f t="shared" si="26"/>
        <v>0</v>
      </c>
      <c r="AF167" s="17">
        <f t="shared" si="26"/>
        <v>0</v>
      </c>
      <c r="AG167" s="7">
        <f t="shared" si="23"/>
        <v>2</v>
      </c>
    </row>
    <row r="168" spans="1:34" ht="18.75" x14ac:dyDescent="0.25">
      <c r="A168" s="334" t="s">
        <v>60</v>
      </c>
      <c r="B168" s="269"/>
      <c r="C168" s="130"/>
      <c r="D168" s="130"/>
      <c r="E168" s="130"/>
      <c r="F168" s="130"/>
      <c r="G168" s="130"/>
      <c r="H168" s="130"/>
      <c r="I168" s="130"/>
      <c r="J168" s="130"/>
      <c r="K168" s="130"/>
      <c r="L168" s="130"/>
      <c r="M168" s="130"/>
      <c r="N168" s="130"/>
      <c r="O168" s="130"/>
      <c r="P168" s="130"/>
      <c r="Q168" s="130"/>
      <c r="R168" s="130"/>
      <c r="S168" s="130"/>
      <c r="T168" s="130"/>
      <c r="U168" s="130"/>
      <c r="V168" s="130"/>
      <c r="W168" s="130"/>
      <c r="X168" s="130"/>
      <c r="Y168" s="130"/>
      <c r="Z168" s="130"/>
      <c r="AA168" s="130"/>
      <c r="AB168" s="130"/>
      <c r="AC168" s="130"/>
      <c r="AD168" s="130"/>
      <c r="AE168" s="130"/>
      <c r="AF168" s="129"/>
      <c r="AG168" s="64">
        <f t="shared" si="23"/>
        <v>0</v>
      </c>
    </row>
    <row r="169" spans="1:34" ht="18.75" x14ac:dyDescent="0.25">
      <c r="A169" s="334" t="s">
        <v>59</v>
      </c>
      <c r="B169" s="269"/>
      <c r="C169" s="130"/>
      <c r="D169" s="130"/>
      <c r="E169" s="130"/>
      <c r="F169" s="130"/>
      <c r="G169" s="130"/>
      <c r="H169" s="130"/>
      <c r="I169" s="130"/>
      <c r="J169" s="130"/>
      <c r="K169" s="130"/>
      <c r="L169" s="130"/>
      <c r="M169" s="130"/>
      <c r="N169" s="130"/>
      <c r="O169" s="130"/>
      <c r="P169" s="130"/>
      <c r="Q169" s="130"/>
      <c r="R169" s="130"/>
      <c r="S169" s="130"/>
      <c r="T169" s="130"/>
      <c r="U169" s="130"/>
      <c r="V169" s="130"/>
      <c r="W169" s="130"/>
      <c r="X169" s="130"/>
      <c r="Y169" s="130"/>
      <c r="Z169" s="130"/>
      <c r="AA169" s="130"/>
      <c r="AB169" s="130"/>
      <c r="AC169" s="130"/>
      <c r="AD169" s="130"/>
      <c r="AE169" s="130"/>
      <c r="AF169" s="129"/>
      <c r="AG169" s="64">
        <f t="shared" si="23"/>
        <v>0</v>
      </c>
    </row>
    <row r="170" spans="1:34" ht="18.75" x14ac:dyDescent="0.25">
      <c r="A170" s="334" t="s">
        <v>58</v>
      </c>
      <c r="B170" s="269"/>
      <c r="C170" s="130"/>
      <c r="D170" s="130"/>
      <c r="E170" s="130"/>
      <c r="F170" s="130"/>
      <c r="G170" s="130"/>
      <c r="H170" s="130"/>
      <c r="I170" s="130"/>
      <c r="J170" s="130"/>
      <c r="K170" s="130"/>
      <c r="L170" s="130"/>
      <c r="M170" s="130"/>
      <c r="N170" s="130"/>
      <c r="O170" s="130"/>
      <c r="P170" s="130"/>
      <c r="Q170" s="130"/>
      <c r="R170" s="130"/>
      <c r="S170" s="130"/>
      <c r="T170" s="130"/>
      <c r="U170" s="130"/>
      <c r="V170" s="130"/>
      <c r="W170" s="130"/>
      <c r="X170" s="130"/>
      <c r="Y170" s="130"/>
      <c r="Z170" s="130"/>
      <c r="AA170" s="130"/>
      <c r="AB170" s="130"/>
      <c r="AC170" s="130"/>
      <c r="AD170" s="130"/>
      <c r="AE170" s="130"/>
      <c r="AF170" s="129"/>
      <c r="AG170" s="64">
        <f t="shared" si="23"/>
        <v>0</v>
      </c>
    </row>
    <row r="171" spans="1:34" ht="19.5" thickBot="1" x14ac:dyDescent="0.3">
      <c r="A171" s="335" t="s">
        <v>57</v>
      </c>
      <c r="B171" s="270"/>
      <c r="C171" s="127"/>
      <c r="D171" s="127">
        <v>1</v>
      </c>
      <c r="E171" s="127"/>
      <c r="F171" s="127"/>
      <c r="G171" s="127"/>
      <c r="H171" s="127"/>
      <c r="I171" s="127"/>
      <c r="J171" s="127"/>
      <c r="K171" s="127"/>
      <c r="L171" s="127"/>
      <c r="M171" s="127"/>
      <c r="N171" s="127"/>
      <c r="O171" s="127"/>
      <c r="P171" s="127"/>
      <c r="Q171" s="127"/>
      <c r="R171" s="127"/>
      <c r="S171" s="127"/>
      <c r="T171" s="127"/>
      <c r="U171" s="127"/>
      <c r="V171" s="127"/>
      <c r="W171" s="127"/>
      <c r="X171" s="127"/>
      <c r="Y171" s="127"/>
      <c r="Z171" s="127"/>
      <c r="AA171" s="127">
        <v>1</v>
      </c>
      <c r="AB171" s="127"/>
      <c r="AC171" s="127"/>
      <c r="AD171" s="127"/>
      <c r="AE171" s="127"/>
      <c r="AF171" s="126"/>
      <c r="AG171" s="10">
        <f t="shared" si="23"/>
        <v>2</v>
      </c>
    </row>
    <row r="172" spans="1:34" ht="19.5" thickBot="1" x14ac:dyDescent="0.3">
      <c r="A172" s="336" t="s">
        <v>56</v>
      </c>
      <c r="B172" s="273"/>
      <c r="C172" s="124"/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  <c r="S172" s="124"/>
      <c r="T172" s="124"/>
      <c r="U172" s="124"/>
      <c r="V172" s="124"/>
      <c r="W172" s="124"/>
      <c r="X172" s="124"/>
      <c r="Y172" s="124"/>
      <c r="Z172" s="124"/>
      <c r="AA172" s="124"/>
      <c r="AB172" s="124"/>
      <c r="AC172" s="124"/>
      <c r="AD172" s="124"/>
      <c r="AE172" s="124"/>
      <c r="AF172" s="123"/>
      <c r="AG172" s="122">
        <f t="shared" si="23"/>
        <v>0</v>
      </c>
    </row>
    <row r="173" spans="1:34" ht="19.5" thickBot="1" x14ac:dyDescent="0.3">
      <c r="A173" s="299" t="s">
        <v>55</v>
      </c>
      <c r="B173" s="247">
        <f t="shared" ref="B173:AF173" si="27">SUM(B174:B175)</f>
        <v>0</v>
      </c>
      <c r="C173" s="120">
        <f t="shared" si="27"/>
        <v>0</v>
      </c>
      <c r="D173" s="120">
        <f t="shared" si="27"/>
        <v>0</v>
      </c>
      <c r="E173" s="120">
        <f t="shared" si="27"/>
        <v>0</v>
      </c>
      <c r="F173" s="120">
        <f t="shared" si="27"/>
        <v>1</v>
      </c>
      <c r="G173" s="120">
        <f t="shared" si="27"/>
        <v>0</v>
      </c>
      <c r="H173" s="120">
        <f t="shared" si="27"/>
        <v>1</v>
      </c>
      <c r="I173" s="120">
        <f t="shared" si="27"/>
        <v>1</v>
      </c>
      <c r="J173" s="120">
        <f t="shared" si="27"/>
        <v>1</v>
      </c>
      <c r="K173" s="120">
        <f t="shared" si="27"/>
        <v>2</v>
      </c>
      <c r="L173" s="120">
        <f t="shared" si="27"/>
        <v>4</v>
      </c>
      <c r="M173" s="120">
        <f t="shared" si="27"/>
        <v>1</v>
      </c>
      <c r="N173" s="120">
        <f t="shared" si="27"/>
        <v>1</v>
      </c>
      <c r="O173" s="120">
        <f t="shared" si="27"/>
        <v>0</v>
      </c>
      <c r="P173" s="120">
        <f t="shared" si="27"/>
        <v>0</v>
      </c>
      <c r="Q173" s="120">
        <f t="shared" si="27"/>
        <v>0</v>
      </c>
      <c r="R173" s="120">
        <f t="shared" si="27"/>
        <v>1</v>
      </c>
      <c r="S173" s="120">
        <f t="shared" si="27"/>
        <v>1</v>
      </c>
      <c r="T173" s="120">
        <f t="shared" si="27"/>
        <v>0</v>
      </c>
      <c r="U173" s="120">
        <f t="shared" si="27"/>
        <v>1</v>
      </c>
      <c r="V173" s="120">
        <f t="shared" si="27"/>
        <v>1</v>
      </c>
      <c r="W173" s="120">
        <f t="shared" si="27"/>
        <v>0</v>
      </c>
      <c r="X173" s="120">
        <f t="shared" si="27"/>
        <v>0</v>
      </c>
      <c r="Y173" s="120">
        <f t="shared" si="27"/>
        <v>2</v>
      </c>
      <c r="Z173" s="120">
        <f t="shared" si="27"/>
        <v>0</v>
      </c>
      <c r="AA173" s="120">
        <f t="shared" si="27"/>
        <v>0</v>
      </c>
      <c r="AB173" s="120">
        <f t="shared" si="27"/>
        <v>2</v>
      </c>
      <c r="AC173" s="120">
        <f t="shared" si="27"/>
        <v>2</v>
      </c>
      <c r="AD173" s="120">
        <f t="shared" si="27"/>
        <v>0</v>
      </c>
      <c r="AE173" s="120">
        <f t="shared" si="27"/>
        <v>0</v>
      </c>
      <c r="AF173" s="119">
        <f t="shared" si="27"/>
        <v>0</v>
      </c>
      <c r="AG173" s="118">
        <f t="shared" si="23"/>
        <v>22</v>
      </c>
      <c r="AH173" s="98" t="s">
        <v>54</v>
      </c>
    </row>
    <row r="174" spans="1:34" ht="18.75" x14ac:dyDescent="0.25">
      <c r="A174" s="337" t="s">
        <v>53</v>
      </c>
      <c r="B174" s="274">
        <v>0</v>
      </c>
      <c r="C174" s="116">
        <v>0</v>
      </c>
      <c r="D174" s="116">
        <v>0</v>
      </c>
      <c r="E174" s="116">
        <v>0</v>
      </c>
      <c r="F174" s="116">
        <v>1</v>
      </c>
      <c r="G174" s="116">
        <v>0</v>
      </c>
      <c r="H174" s="116">
        <v>1</v>
      </c>
      <c r="I174" s="116">
        <v>1</v>
      </c>
      <c r="J174" s="116">
        <v>0</v>
      </c>
      <c r="K174" s="116">
        <v>2</v>
      </c>
      <c r="L174" s="116">
        <v>1</v>
      </c>
      <c r="M174" s="116">
        <v>1</v>
      </c>
      <c r="N174" s="116">
        <v>1</v>
      </c>
      <c r="O174" s="116">
        <v>0</v>
      </c>
      <c r="P174" s="116">
        <v>0</v>
      </c>
      <c r="Q174" s="116">
        <v>0</v>
      </c>
      <c r="R174" s="116">
        <v>1</v>
      </c>
      <c r="S174" s="116">
        <v>1</v>
      </c>
      <c r="T174" s="116">
        <v>0</v>
      </c>
      <c r="U174" s="116">
        <v>0</v>
      </c>
      <c r="V174" s="116">
        <v>1</v>
      </c>
      <c r="W174" s="116">
        <v>0</v>
      </c>
      <c r="X174" s="116">
        <v>0</v>
      </c>
      <c r="Y174" s="116">
        <v>1</v>
      </c>
      <c r="Z174" s="116">
        <v>0</v>
      </c>
      <c r="AA174" s="116">
        <v>0</v>
      </c>
      <c r="AB174" s="116">
        <v>2</v>
      </c>
      <c r="AC174" s="116">
        <v>2</v>
      </c>
      <c r="AD174" s="116"/>
      <c r="AE174" s="116"/>
      <c r="AF174" s="115"/>
      <c r="AG174" s="114">
        <f t="shared" si="23"/>
        <v>16</v>
      </c>
      <c r="AH174" s="98"/>
    </row>
    <row r="175" spans="1:34" ht="18.75" x14ac:dyDescent="0.25">
      <c r="A175" s="338" t="s">
        <v>52</v>
      </c>
      <c r="B175" s="275">
        <v>0</v>
      </c>
      <c r="C175" s="112">
        <v>0</v>
      </c>
      <c r="D175" s="112">
        <v>0</v>
      </c>
      <c r="E175" s="112">
        <v>0</v>
      </c>
      <c r="F175" s="112">
        <v>0</v>
      </c>
      <c r="G175" s="112">
        <v>0</v>
      </c>
      <c r="H175" s="112">
        <v>0</v>
      </c>
      <c r="I175" s="112">
        <v>0</v>
      </c>
      <c r="J175" s="112">
        <v>1</v>
      </c>
      <c r="K175" s="112">
        <v>0</v>
      </c>
      <c r="L175" s="112">
        <v>3</v>
      </c>
      <c r="M175" s="112">
        <v>0</v>
      </c>
      <c r="N175" s="112">
        <v>0</v>
      </c>
      <c r="O175" s="112">
        <v>0</v>
      </c>
      <c r="P175" s="112">
        <v>0</v>
      </c>
      <c r="Q175" s="112">
        <v>0</v>
      </c>
      <c r="R175" s="112">
        <v>0</v>
      </c>
      <c r="S175" s="112">
        <v>0</v>
      </c>
      <c r="T175" s="112">
        <v>0</v>
      </c>
      <c r="U175" s="112">
        <v>1</v>
      </c>
      <c r="V175" s="112">
        <v>0</v>
      </c>
      <c r="W175" s="112">
        <v>0</v>
      </c>
      <c r="X175" s="112">
        <v>0</v>
      </c>
      <c r="Y175" s="112">
        <v>1</v>
      </c>
      <c r="Z175" s="112">
        <v>0</v>
      </c>
      <c r="AA175" s="112">
        <v>0</v>
      </c>
      <c r="AB175" s="112">
        <v>0</v>
      </c>
      <c r="AC175" s="112">
        <v>0</v>
      </c>
      <c r="AD175" s="112"/>
      <c r="AE175" s="112"/>
      <c r="AF175" s="111"/>
      <c r="AG175" s="110">
        <f t="shared" si="23"/>
        <v>6</v>
      </c>
      <c r="AH175" s="98"/>
    </row>
    <row r="176" spans="1:34" ht="19.5" thickBot="1" x14ac:dyDescent="0.3">
      <c r="A176" s="339" t="s">
        <v>51</v>
      </c>
      <c r="B176" s="276">
        <f t="shared" ref="B176:AF176" si="28">SUM(B177:B178)</f>
        <v>1</v>
      </c>
      <c r="C176" s="109">
        <f t="shared" si="28"/>
        <v>1</v>
      </c>
      <c r="D176" s="109">
        <f t="shared" si="28"/>
        <v>2</v>
      </c>
      <c r="E176" s="109">
        <f t="shared" si="28"/>
        <v>2</v>
      </c>
      <c r="F176" s="109">
        <f t="shared" si="28"/>
        <v>1</v>
      </c>
      <c r="G176" s="109">
        <f t="shared" si="28"/>
        <v>4</v>
      </c>
      <c r="H176" s="109">
        <f t="shared" si="28"/>
        <v>4</v>
      </c>
      <c r="I176" s="109">
        <f t="shared" si="28"/>
        <v>3</v>
      </c>
      <c r="J176" s="109">
        <f t="shared" si="28"/>
        <v>2</v>
      </c>
      <c r="K176" s="109">
        <f t="shared" si="28"/>
        <v>1</v>
      </c>
      <c r="L176" s="109">
        <f t="shared" si="28"/>
        <v>0</v>
      </c>
      <c r="M176" s="109">
        <f t="shared" si="28"/>
        <v>2</v>
      </c>
      <c r="N176" s="109">
        <f t="shared" si="28"/>
        <v>3</v>
      </c>
      <c r="O176" s="109">
        <f t="shared" si="28"/>
        <v>3</v>
      </c>
      <c r="P176" s="109">
        <f t="shared" si="28"/>
        <v>3</v>
      </c>
      <c r="Q176" s="109">
        <f t="shared" si="28"/>
        <v>1</v>
      </c>
      <c r="R176" s="109">
        <f t="shared" si="28"/>
        <v>1</v>
      </c>
      <c r="S176" s="109">
        <f t="shared" si="28"/>
        <v>4</v>
      </c>
      <c r="T176" s="109">
        <f t="shared" si="28"/>
        <v>1</v>
      </c>
      <c r="U176" s="109">
        <f t="shared" si="28"/>
        <v>3</v>
      </c>
      <c r="V176" s="109">
        <f t="shared" si="28"/>
        <v>2</v>
      </c>
      <c r="W176" s="109">
        <f t="shared" si="28"/>
        <v>4</v>
      </c>
      <c r="X176" s="109">
        <f t="shared" si="28"/>
        <v>3</v>
      </c>
      <c r="Y176" s="109">
        <f t="shared" si="28"/>
        <v>2</v>
      </c>
      <c r="Z176" s="109">
        <f t="shared" si="28"/>
        <v>1</v>
      </c>
      <c r="AA176" s="109">
        <f t="shared" si="28"/>
        <v>1</v>
      </c>
      <c r="AB176" s="109">
        <f t="shared" si="28"/>
        <v>0</v>
      </c>
      <c r="AC176" s="109">
        <f t="shared" si="28"/>
        <v>1</v>
      </c>
      <c r="AD176" s="109">
        <f t="shared" si="28"/>
        <v>0</v>
      </c>
      <c r="AE176" s="109">
        <f t="shared" si="28"/>
        <v>0</v>
      </c>
      <c r="AF176" s="108">
        <f t="shared" si="28"/>
        <v>0</v>
      </c>
      <c r="AG176" s="107">
        <f t="shared" si="23"/>
        <v>56</v>
      </c>
      <c r="AH176" s="98" t="s">
        <v>48</v>
      </c>
    </row>
    <row r="177" spans="1:34" ht="18.75" x14ac:dyDescent="0.25">
      <c r="A177" s="340" t="s">
        <v>50</v>
      </c>
      <c r="B177" s="277">
        <v>0</v>
      </c>
      <c r="C177" s="105">
        <v>0</v>
      </c>
      <c r="D177" s="105">
        <v>0</v>
      </c>
      <c r="E177" s="105">
        <v>0</v>
      </c>
      <c r="F177" s="105">
        <v>0</v>
      </c>
      <c r="G177" s="105">
        <v>0</v>
      </c>
      <c r="H177" s="105">
        <v>0</v>
      </c>
      <c r="I177" s="105">
        <v>1</v>
      </c>
      <c r="J177" s="105">
        <v>1</v>
      </c>
      <c r="K177" s="105">
        <v>0</v>
      </c>
      <c r="L177" s="105">
        <v>0</v>
      </c>
      <c r="M177" s="105">
        <v>0</v>
      </c>
      <c r="N177" s="105">
        <v>0</v>
      </c>
      <c r="O177" s="105">
        <v>0</v>
      </c>
      <c r="P177" s="105">
        <v>0</v>
      </c>
      <c r="Q177" s="105">
        <v>0</v>
      </c>
      <c r="R177" s="105">
        <v>0</v>
      </c>
      <c r="S177" s="105">
        <v>1</v>
      </c>
      <c r="T177" s="105">
        <v>0</v>
      </c>
      <c r="U177" s="105">
        <v>0</v>
      </c>
      <c r="V177" s="105">
        <v>0</v>
      </c>
      <c r="W177" s="105">
        <v>0</v>
      </c>
      <c r="X177" s="105">
        <v>0</v>
      </c>
      <c r="Y177" s="105">
        <v>0</v>
      </c>
      <c r="Z177" s="105">
        <v>0</v>
      </c>
      <c r="AA177" s="105">
        <v>0</v>
      </c>
      <c r="AB177" s="105">
        <v>0</v>
      </c>
      <c r="AC177" s="105">
        <v>0</v>
      </c>
      <c r="AD177" s="105"/>
      <c r="AE177" s="105"/>
      <c r="AF177" s="104"/>
      <c r="AG177" s="103">
        <f t="shared" si="23"/>
        <v>3</v>
      </c>
      <c r="AH177" s="98" t="s">
        <v>48</v>
      </c>
    </row>
    <row r="178" spans="1:34" ht="19.5" thickBot="1" x14ac:dyDescent="0.3">
      <c r="A178" s="313" t="s">
        <v>49</v>
      </c>
      <c r="B178" s="278">
        <v>1</v>
      </c>
      <c r="C178" s="101">
        <v>1</v>
      </c>
      <c r="D178" s="101">
        <v>2</v>
      </c>
      <c r="E178" s="101">
        <v>2</v>
      </c>
      <c r="F178" s="101">
        <v>1</v>
      </c>
      <c r="G178" s="101">
        <v>4</v>
      </c>
      <c r="H178" s="101">
        <v>4</v>
      </c>
      <c r="I178" s="101">
        <v>2</v>
      </c>
      <c r="J178" s="101">
        <v>1</v>
      </c>
      <c r="K178" s="101">
        <v>1</v>
      </c>
      <c r="L178" s="101">
        <v>0</v>
      </c>
      <c r="M178" s="101">
        <v>2</v>
      </c>
      <c r="N178" s="101">
        <v>3</v>
      </c>
      <c r="O178" s="101">
        <v>3</v>
      </c>
      <c r="P178" s="101">
        <v>3</v>
      </c>
      <c r="Q178" s="101">
        <v>1</v>
      </c>
      <c r="R178" s="101">
        <v>1</v>
      </c>
      <c r="S178" s="101">
        <v>3</v>
      </c>
      <c r="T178" s="101">
        <v>1</v>
      </c>
      <c r="U178" s="101">
        <v>3</v>
      </c>
      <c r="V178" s="101">
        <v>2</v>
      </c>
      <c r="W178" s="101">
        <v>4</v>
      </c>
      <c r="X178" s="101">
        <v>3</v>
      </c>
      <c r="Y178" s="101">
        <v>2</v>
      </c>
      <c r="Z178" s="101">
        <v>1</v>
      </c>
      <c r="AA178" s="101">
        <v>1</v>
      </c>
      <c r="AB178" s="101">
        <v>0</v>
      </c>
      <c r="AC178" s="101">
        <v>1</v>
      </c>
      <c r="AD178" s="101"/>
      <c r="AE178" s="101"/>
      <c r="AF178" s="100"/>
      <c r="AG178" s="99">
        <f t="shared" si="23"/>
        <v>53</v>
      </c>
      <c r="AH178" s="98" t="s">
        <v>48</v>
      </c>
    </row>
    <row r="179" spans="1:34" ht="18.75" x14ac:dyDescent="0.25">
      <c r="A179" s="341" t="s">
        <v>47</v>
      </c>
      <c r="B179" s="279"/>
      <c r="C179" s="96">
        <v>0</v>
      </c>
      <c r="D179" s="96"/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  <c r="AA179" s="96"/>
      <c r="AB179" s="96"/>
      <c r="AC179" s="96"/>
      <c r="AD179" s="96"/>
      <c r="AE179" s="96"/>
      <c r="AF179" s="95"/>
      <c r="AG179" s="94">
        <f t="shared" ref="AG179:AG210" si="29">SUM(B179:AF179)</f>
        <v>0</v>
      </c>
    </row>
    <row r="180" spans="1:34" ht="19.5" thickBot="1" x14ac:dyDescent="0.3">
      <c r="A180" s="342" t="s">
        <v>46</v>
      </c>
      <c r="B180" s="280"/>
      <c r="C180" s="92">
        <v>0</v>
      </c>
      <c r="D180" s="92"/>
      <c r="E180" s="92"/>
      <c r="F180" s="92"/>
      <c r="G180" s="92"/>
      <c r="H180" s="92"/>
      <c r="I180" s="92"/>
      <c r="J180" s="92"/>
      <c r="K180" s="92"/>
      <c r="L180" s="92"/>
      <c r="M180" s="92"/>
      <c r="N180" s="92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92"/>
      <c r="AA180" s="92"/>
      <c r="AB180" s="92"/>
      <c r="AC180" s="92"/>
      <c r="AD180" s="92"/>
      <c r="AE180" s="92"/>
      <c r="AF180" s="91"/>
      <c r="AG180" s="90">
        <f t="shared" si="29"/>
        <v>0</v>
      </c>
    </row>
    <row r="181" spans="1:34" ht="19.5" thickBot="1" x14ac:dyDescent="0.3">
      <c r="A181" s="343" t="s">
        <v>45</v>
      </c>
      <c r="B181" s="281">
        <f t="shared" ref="B181:AF181" si="30">SUM(B182:B207)</f>
        <v>86</v>
      </c>
      <c r="C181" s="88">
        <f t="shared" si="30"/>
        <v>72</v>
      </c>
      <c r="D181" s="88">
        <f t="shared" si="30"/>
        <v>81</v>
      </c>
      <c r="E181" s="88">
        <f t="shared" si="30"/>
        <v>77</v>
      </c>
      <c r="F181" s="88">
        <f t="shared" si="30"/>
        <v>66</v>
      </c>
      <c r="G181" s="88">
        <f t="shared" si="30"/>
        <v>67</v>
      </c>
      <c r="H181" s="88">
        <f t="shared" si="30"/>
        <v>73</v>
      </c>
      <c r="I181" s="88">
        <f>SUM(I182:I207)</f>
        <v>100</v>
      </c>
      <c r="J181" s="88">
        <f t="shared" si="30"/>
        <v>80</v>
      </c>
      <c r="K181" s="88">
        <f t="shared" si="30"/>
        <v>57</v>
      </c>
      <c r="L181" s="88">
        <f t="shared" si="30"/>
        <v>74</v>
      </c>
      <c r="M181" s="88">
        <f t="shared" si="30"/>
        <v>85</v>
      </c>
      <c r="N181" s="88">
        <f t="shared" si="30"/>
        <v>70</v>
      </c>
      <c r="O181" s="88">
        <f t="shared" si="30"/>
        <v>52</v>
      </c>
      <c r="P181" s="88">
        <f t="shared" si="30"/>
        <v>73</v>
      </c>
      <c r="Q181" s="88">
        <f t="shared" si="30"/>
        <v>77</v>
      </c>
      <c r="R181" s="88">
        <f t="shared" si="30"/>
        <v>65</v>
      </c>
      <c r="S181" s="88">
        <f t="shared" si="30"/>
        <v>79</v>
      </c>
      <c r="T181" s="88">
        <f t="shared" si="30"/>
        <v>52</v>
      </c>
      <c r="U181" s="88">
        <f t="shared" si="30"/>
        <v>52</v>
      </c>
      <c r="V181" s="88">
        <f t="shared" si="30"/>
        <v>53</v>
      </c>
      <c r="W181" s="88">
        <f t="shared" si="30"/>
        <v>70</v>
      </c>
      <c r="X181" s="88">
        <f t="shared" si="30"/>
        <v>68</v>
      </c>
      <c r="Y181" s="88">
        <f t="shared" si="30"/>
        <v>63</v>
      </c>
      <c r="Z181" s="88">
        <f t="shared" si="30"/>
        <v>51</v>
      </c>
      <c r="AA181" s="88">
        <f t="shared" si="30"/>
        <v>58</v>
      </c>
      <c r="AB181" s="88">
        <f t="shared" si="30"/>
        <v>52</v>
      </c>
      <c r="AC181" s="88">
        <f t="shared" si="30"/>
        <v>43</v>
      </c>
      <c r="AD181" s="88">
        <f t="shared" si="30"/>
        <v>0</v>
      </c>
      <c r="AE181" s="88">
        <f t="shared" si="30"/>
        <v>0</v>
      </c>
      <c r="AF181" s="87">
        <f t="shared" si="30"/>
        <v>0</v>
      </c>
      <c r="AG181" s="86">
        <f t="shared" si="29"/>
        <v>1896</v>
      </c>
      <c r="AH181" s="85"/>
    </row>
    <row r="182" spans="1:34" ht="18.75" x14ac:dyDescent="0.25">
      <c r="A182" s="76" t="s">
        <v>44</v>
      </c>
      <c r="B182" s="282">
        <v>7</v>
      </c>
      <c r="C182" s="84">
        <v>6</v>
      </c>
      <c r="D182" s="84">
        <v>7</v>
      </c>
      <c r="E182" s="84">
        <v>5</v>
      </c>
      <c r="F182" s="84">
        <v>3</v>
      </c>
      <c r="G182" s="84">
        <v>4</v>
      </c>
      <c r="H182" s="84">
        <v>6</v>
      </c>
      <c r="I182" s="84">
        <v>7</v>
      </c>
      <c r="J182" s="84">
        <v>6</v>
      </c>
      <c r="K182" s="84">
        <v>1</v>
      </c>
      <c r="L182" s="84">
        <v>2</v>
      </c>
      <c r="M182" s="84">
        <v>5</v>
      </c>
      <c r="N182" s="83">
        <v>7</v>
      </c>
      <c r="O182" s="83">
        <v>7</v>
      </c>
      <c r="P182" s="83">
        <v>3</v>
      </c>
      <c r="Q182" s="83">
        <v>5</v>
      </c>
      <c r="R182" s="83">
        <v>2</v>
      </c>
      <c r="S182" s="83">
        <v>9</v>
      </c>
      <c r="T182" s="83">
        <v>8</v>
      </c>
      <c r="U182" s="83">
        <v>7</v>
      </c>
      <c r="V182" s="83">
        <v>8</v>
      </c>
      <c r="W182" s="83">
        <v>2</v>
      </c>
      <c r="X182" s="83">
        <v>5</v>
      </c>
      <c r="Y182" s="83">
        <v>5</v>
      </c>
      <c r="Z182" s="83">
        <v>5</v>
      </c>
      <c r="AA182" s="83">
        <v>7</v>
      </c>
      <c r="AB182" s="83">
        <v>4</v>
      </c>
      <c r="AC182" s="83">
        <v>7</v>
      </c>
      <c r="AD182" s="83"/>
      <c r="AE182" s="83"/>
      <c r="AF182" s="82"/>
      <c r="AG182" s="11">
        <f t="shared" si="29"/>
        <v>150</v>
      </c>
    </row>
    <row r="183" spans="1:34" ht="18.75" x14ac:dyDescent="0.25">
      <c r="A183" s="76" t="s">
        <v>43</v>
      </c>
      <c r="B183" s="283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  <c r="AA183" s="68"/>
      <c r="AB183" s="68"/>
      <c r="AC183" s="68"/>
      <c r="AD183" s="68"/>
      <c r="AE183" s="68"/>
      <c r="AF183" s="67"/>
      <c r="AG183" s="64">
        <f t="shared" si="29"/>
        <v>0</v>
      </c>
    </row>
    <row r="184" spans="1:34" ht="18.75" x14ac:dyDescent="0.25">
      <c r="A184" s="76" t="s">
        <v>42</v>
      </c>
      <c r="B184" s="283"/>
      <c r="C184" s="69">
        <v>2</v>
      </c>
      <c r="D184" s="69">
        <v>1</v>
      </c>
      <c r="E184" s="69">
        <v>1</v>
      </c>
      <c r="F184" s="69">
        <v>3</v>
      </c>
      <c r="G184" s="69"/>
      <c r="H184" s="69"/>
      <c r="I184" s="69">
        <v>2</v>
      </c>
      <c r="J184" s="69">
        <v>3</v>
      </c>
      <c r="K184" s="69"/>
      <c r="L184" s="69">
        <v>1</v>
      </c>
      <c r="M184" s="69">
        <v>3</v>
      </c>
      <c r="N184" s="68"/>
      <c r="O184" s="68"/>
      <c r="P184" s="68"/>
      <c r="Q184" s="68"/>
      <c r="R184" s="68">
        <v>2</v>
      </c>
      <c r="S184" s="68">
        <v>4</v>
      </c>
      <c r="T184" s="68">
        <v>1</v>
      </c>
      <c r="U184" s="68"/>
      <c r="V184" s="68"/>
      <c r="W184" s="68"/>
      <c r="X184" s="68"/>
      <c r="Y184" s="68"/>
      <c r="Z184" s="68"/>
      <c r="AA184" s="68">
        <v>1</v>
      </c>
      <c r="AB184" s="68"/>
      <c r="AC184" s="68"/>
      <c r="AD184" s="68"/>
      <c r="AE184" s="68"/>
      <c r="AF184" s="67"/>
      <c r="AG184" s="64">
        <f t="shared" si="29"/>
        <v>24</v>
      </c>
    </row>
    <row r="185" spans="1:34" ht="18.75" x14ac:dyDescent="0.25">
      <c r="A185" s="76" t="s">
        <v>41</v>
      </c>
      <c r="B185" s="283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  <c r="AB185" s="68"/>
      <c r="AC185" s="68"/>
      <c r="AD185" s="68"/>
      <c r="AE185" s="68"/>
      <c r="AF185" s="67"/>
      <c r="AG185" s="64">
        <f t="shared" si="29"/>
        <v>0</v>
      </c>
    </row>
    <row r="186" spans="1:34" s="77" customFormat="1" ht="18.75" x14ac:dyDescent="0.25">
      <c r="A186" s="81" t="s">
        <v>40</v>
      </c>
      <c r="B186" s="284">
        <v>74</v>
      </c>
      <c r="C186" s="80">
        <v>64</v>
      </c>
      <c r="D186" s="80">
        <v>73</v>
      </c>
      <c r="E186" s="80">
        <v>71</v>
      </c>
      <c r="F186" s="80">
        <v>58</v>
      </c>
      <c r="G186" s="80">
        <v>61</v>
      </c>
      <c r="H186" s="80">
        <v>65</v>
      </c>
      <c r="I186" s="80">
        <v>88</v>
      </c>
      <c r="J186" s="80">
        <v>70</v>
      </c>
      <c r="K186" s="80">
        <v>55</v>
      </c>
      <c r="L186" s="80">
        <v>70</v>
      </c>
      <c r="M186" s="80">
        <v>75</v>
      </c>
      <c r="N186" s="79">
        <v>59</v>
      </c>
      <c r="O186" s="79">
        <v>44</v>
      </c>
      <c r="P186" s="79">
        <v>67</v>
      </c>
      <c r="Q186" s="79">
        <v>70</v>
      </c>
      <c r="R186" s="79">
        <v>60</v>
      </c>
      <c r="S186" s="79">
        <v>64</v>
      </c>
      <c r="T186" s="79">
        <v>42</v>
      </c>
      <c r="U186" s="79">
        <v>40</v>
      </c>
      <c r="V186" s="79">
        <v>44</v>
      </c>
      <c r="W186" s="79">
        <v>66</v>
      </c>
      <c r="X186" s="79">
        <v>62</v>
      </c>
      <c r="Y186" s="79">
        <v>57</v>
      </c>
      <c r="Z186" s="79">
        <v>45</v>
      </c>
      <c r="AA186" s="79">
        <v>48</v>
      </c>
      <c r="AB186" s="79">
        <v>45</v>
      </c>
      <c r="AC186" s="79">
        <v>34</v>
      </c>
      <c r="AD186" s="79"/>
      <c r="AE186" s="79"/>
      <c r="AF186" s="78"/>
      <c r="AG186" s="21">
        <f t="shared" si="29"/>
        <v>1671</v>
      </c>
    </row>
    <row r="187" spans="1:34" ht="18.75" x14ac:dyDescent="0.25">
      <c r="A187" s="76" t="s">
        <v>39</v>
      </c>
      <c r="B187" s="283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  <c r="AA187" s="68"/>
      <c r="AB187" s="68"/>
      <c r="AC187" s="68"/>
      <c r="AD187" s="68"/>
      <c r="AE187" s="68"/>
      <c r="AF187" s="67"/>
      <c r="AG187" s="64">
        <f t="shared" si="29"/>
        <v>0</v>
      </c>
    </row>
    <row r="188" spans="1:34" ht="18.75" x14ac:dyDescent="0.25">
      <c r="A188" s="76" t="s">
        <v>38</v>
      </c>
      <c r="B188" s="283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  <c r="AA188" s="68"/>
      <c r="AB188" s="68"/>
      <c r="AC188" s="68"/>
      <c r="AD188" s="68"/>
      <c r="AE188" s="68"/>
      <c r="AF188" s="67"/>
      <c r="AG188" s="64">
        <f t="shared" si="29"/>
        <v>0</v>
      </c>
    </row>
    <row r="189" spans="1:34" ht="18.75" x14ac:dyDescent="0.25">
      <c r="A189" s="76" t="s">
        <v>37</v>
      </c>
      <c r="B189" s="283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  <c r="AA189" s="68"/>
      <c r="AB189" s="68"/>
      <c r="AC189" s="68"/>
      <c r="AD189" s="68"/>
      <c r="AE189" s="68"/>
      <c r="AF189" s="67"/>
      <c r="AG189" s="64">
        <f t="shared" si="29"/>
        <v>0</v>
      </c>
    </row>
    <row r="190" spans="1:34" ht="18.75" x14ac:dyDescent="0.25">
      <c r="A190" s="76" t="s">
        <v>36</v>
      </c>
      <c r="B190" s="283">
        <v>2</v>
      </c>
      <c r="C190" s="69"/>
      <c r="D190" s="69"/>
      <c r="E190" s="69"/>
      <c r="F190" s="69"/>
      <c r="G190" s="69"/>
      <c r="H190" s="69"/>
      <c r="I190" s="69">
        <v>1</v>
      </c>
      <c r="J190" s="69">
        <v>1</v>
      </c>
      <c r="K190" s="69"/>
      <c r="L190" s="69"/>
      <c r="M190" s="69">
        <v>1</v>
      </c>
      <c r="N190" s="68">
        <v>1</v>
      </c>
      <c r="O190" s="68"/>
      <c r="P190" s="68"/>
      <c r="Q190" s="68"/>
      <c r="R190" s="68"/>
      <c r="S190" s="68"/>
      <c r="T190" s="68"/>
      <c r="U190" s="68">
        <v>1</v>
      </c>
      <c r="V190" s="68"/>
      <c r="W190" s="68">
        <v>1</v>
      </c>
      <c r="X190" s="68"/>
      <c r="Y190" s="68"/>
      <c r="Z190" s="68"/>
      <c r="AA190" s="68"/>
      <c r="AB190" s="68">
        <v>1</v>
      </c>
      <c r="AC190" s="68"/>
      <c r="AD190" s="68"/>
      <c r="AE190" s="68"/>
      <c r="AF190" s="67"/>
      <c r="AG190" s="64">
        <f t="shared" si="29"/>
        <v>9</v>
      </c>
    </row>
    <row r="191" spans="1:34" ht="18.75" x14ac:dyDescent="0.25">
      <c r="A191" s="66" t="s">
        <v>35</v>
      </c>
      <c r="B191" s="283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  <c r="AA191" s="68"/>
      <c r="AB191" s="68"/>
      <c r="AC191" s="68"/>
      <c r="AD191" s="68"/>
      <c r="AE191" s="68"/>
      <c r="AF191" s="67"/>
      <c r="AG191" s="64">
        <f t="shared" si="29"/>
        <v>0</v>
      </c>
    </row>
    <row r="192" spans="1:34" ht="18.75" x14ac:dyDescent="0.25">
      <c r="A192" s="66" t="s">
        <v>34</v>
      </c>
      <c r="B192" s="283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8">
        <v>1</v>
      </c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  <c r="AA192" s="68"/>
      <c r="AB192" s="68"/>
      <c r="AC192" s="68"/>
      <c r="AD192" s="68"/>
      <c r="AE192" s="68"/>
      <c r="AF192" s="67"/>
      <c r="AG192" s="64">
        <f t="shared" si="29"/>
        <v>1</v>
      </c>
    </row>
    <row r="193" spans="1:34" ht="18.75" x14ac:dyDescent="0.25">
      <c r="A193" s="66" t="s">
        <v>33</v>
      </c>
      <c r="B193" s="283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  <c r="AA193" s="68"/>
      <c r="AB193" s="68"/>
      <c r="AC193" s="68"/>
      <c r="AD193" s="68"/>
      <c r="AE193" s="68"/>
      <c r="AF193" s="67"/>
      <c r="AG193" s="64">
        <f t="shared" si="29"/>
        <v>0</v>
      </c>
    </row>
    <row r="194" spans="1:34" ht="18.75" x14ac:dyDescent="0.25">
      <c r="A194" s="66" t="s">
        <v>32</v>
      </c>
      <c r="B194" s="283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  <c r="AA194" s="68"/>
      <c r="AB194" s="68"/>
      <c r="AC194" s="68"/>
      <c r="AD194" s="68"/>
      <c r="AE194" s="68"/>
      <c r="AF194" s="67"/>
      <c r="AG194" s="64">
        <f t="shared" si="29"/>
        <v>0</v>
      </c>
    </row>
    <row r="195" spans="1:34" ht="18.75" x14ac:dyDescent="0.25">
      <c r="A195" s="75" t="s">
        <v>31</v>
      </c>
      <c r="B195" s="285">
        <v>1</v>
      </c>
      <c r="C195" s="74"/>
      <c r="D195" s="74"/>
      <c r="E195" s="74"/>
      <c r="F195" s="74"/>
      <c r="G195" s="74">
        <v>2</v>
      </c>
      <c r="H195" s="74">
        <v>2</v>
      </c>
      <c r="I195" s="74">
        <v>1</v>
      </c>
      <c r="J195" s="74"/>
      <c r="K195" s="74"/>
      <c r="L195" s="74"/>
      <c r="M195" s="74">
        <v>1</v>
      </c>
      <c r="N195" s="73">
        <v>2</v>
      </c>
      <c r="O195" s="73">
        <v>1</v>
      </c>
      <c r="P195" s="219">
        <v>2</v>
      </c>
      <c r="Q195" s="73"/>
      <c r="R195" s="73">
        <v>1</v>
      </c>
      <c r="S195" s="73">
        <v>1</v>
      </c>
      <c r="T195" s="73"/>
      <c r="U195" s="73">
        <v>2</v>
      </c>
      <c r="V195" s="73"/>
      <c r="W195" s="73"/>
      <c r="X195" s="73"/>
      <c r="Y195" s="73"/>
      <c r="Z195" s="73">
        <v>1</v>
      </c>
      <c r="AA195" s="73">
        <v>2</v>
      </c>
      <c r="AB195" s="73">
        <v>1</v>
      </c>
      <c r="AC195" s="73">
        <v>1</v>
      </c>
      <c r="AD195" s="73"/>
      <c r="AE195" s="73"/>
      <c r="AF195" s="72"/>
      <c r="AG195" s="71">
        <f t="shared" si="29"/>
        <v>21</v>
      </c>
    </row>
    <row r="196" spans="1:34" ht="18.75" x14ac:dyDescent="0.25">
      <c r="A196" s="70" t="s">
        <v>30</v>
      </c>
      <c r="B196" s="283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  <c r="AB196" s="68"/>
      <c r="AC196" s="68"/>
      <c r="AD196" s="68"/>
      <c r="AE196" s="68"/>
      <c r="AF196" s="67"/>
      <c r="AG196" s="64">
        <f t="shared" si="29"/>
        <v>0</v>
      </c>
    </row>
    <row r="197" spans="1:34" ht="18.75" x14ac:dyDescent="0.25">
      <c r="A197" s="70" t="s">
        <v>29</v>
      </c>
      <c r="B197" s="283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  <c r="AA197" s="68"/>
      <c r="AB197" s="68"/>
      <c r="AC197" s="68"/>
      <c r="AD197" s="68"/>
      <c r="AE197" s="68"/>
      <c r="AF197" s="67"/>
      <c r="AG197" s="64">
        <f t="shared" si="29"/>
        <v>0</v>
      </c>
    </row>
    <row r="198" spans="1:34" ht="18.75" x14ac:dyDescent="0.25">
      <c r="A198" s="70" t="s">
        <v>28</v>
      </c>
      <c r="B198" s="283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  <c r="AA198" s="68"/>
      <c r="AB198" s="68"/>
      <c r="AC198" s="68"/>
      <c r="AD198" s="68"/>
      <c r="AE198" s="68"/>
      <c r="AF198" s="67"/>
      <c r="AG198" s="64">
        <f t="shared" si="29"/>
        <v>0</v>
      </c>
    </row>
    <row r="199" spans="1:34" ht="18.75" x14ac:dyDescent="0.25">
      <c r="A199" s="70" t="s">
        <v>27</v>
      </c>
      <c r="B199" s="283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8"/>
      <c r="O199" s="68"/>
      <c r="P199" s="68"/>
      <c r="Q199" s="68"/>
      <c r="R199" s="68"/>
      <c r="S199" s="68"/>
      <c r="T199" s="68"/>
      <c r="U199" s="68"/>
      <c r="V199" s="68">
        <v>1</v>
      </c>
      <c r="W199" s="68"/>
      <c r="X199" s="68"/>
      <c r="Y199" s="68"/>
      <c r="Z199" s="68"/>
      <c r="AA199" s="68"/>
      <c r="AB199" s="68"/>
      <c r="AC199" s="68"/>
      <c r="AD199" s="68"/>
      <c r="AE199" s="68"/>
      <c r="AF199" s="67"/>
      <c r="AG199" s="64">
        <f t="shared" si="29"/>
        <v>1</v>
      </c>
    </row>
    <row r="200" spans="1:34" ht="18.75" x14ac:dyDescent="0.25">
      <c r="A200" s="70" t="s">
        <v>26</v>
      </c>
      <c r="B200" s="283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  <c r="AA200" s="68"/>
      <c r="AB200" s="68"/>
      <c r="AC200" s="68"/>
      <c r="AD200" s="68"/>
      <c r="AE200" s="68"/>
      <c r="AF200" s="67"/>
      <c r="AG200" s="64">
        <f t="shared" si="29"/>
        <v>0</v>
      </c>
    </row>
    <row r="201" spans="1:34" ht="18.75" x14ac:dyDescent="0.25">
      <c r="A201" s="70" t="s">
        <v>25</v>
      </c>
      <c r="B201" s="283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  <c r="AA201" s="68"/>
      <c r="AB201" s="68"/>
      <c r="AC201" s="68"/>
      <c r="AD201" s="68"/>
      <c r="AE201" s="68"/>
      <c r="AF201" s="67"/>
      <c r="AG201" s="64">
        <f t="shared" si="29"/>
        <v>0</v>
      </c>
    </row>
    <row r="202" spans="1:34" ht="18.75" x14ac:dyDescent="0.25">
      <c r="A202" s="66" t="s">
        <v>24</v>
      </c>
      <c r="B202" s="283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  <c r="AA202" s="68"/>
      <c r="AB202" s="68"/>
      <c r="AC202" s="68"/>
      <c r="AD202" s="68"/>
      <c r="AE202" s="68"/>
      <c r="AF202" s="67"/>
      <c r="AG202" s="64">
        <f t="shared" si="29"/>
        <v>0</v>
      </c>
    </row>
    <row r="203" spans="1:34" ht="18.75" x14ac:dyDescent="0.25">
      <c r="A203" s="66" t="s">
        <v>23</v>
      </c>
      <c r="B203" s="283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  <c r="AA203" s="68"/>
      <c r="AB203" s="68"/>
      <c r="AC203" s="68"/>
      <c r="AD203" s="68"/>
      <c r="AE203" s="68"/>
      <c r="AF203" s="67"/>
      <c r="AG203" s="64">
        <f t="shared" si="29"/>
        <v>0</v>
      </c>
    </row>
    <row r="204" spans="1:34" ht="18.75" x14ac:dyDescent="0.25">
      <c r="A204" s="66" t="s">
        <v>22</v>
      </c>
      <c r="B204" s="283"/>
      <c r="C204" s="69"/>
      <c r="D204" s="69"/>
      <c r="E204" s="69"/>
      <c r="F204" s="69"/>
      <c r="G204" s="69"/>
      <c r="H204" s="69"/>
      <c r="I204" s="69">
        <v>1</v>
      </c>
      <c r="J204" s="69"/>
      <c r="K204" s="69"/>
      <c r="L204" s="69"/>
      <c r="M204" s="69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>
        <v>1</v>
      </c>
      <c r="Y204" s="68"/>
      <c r="Z204" s="68"/>
      <c r="AA204" s="68"/>
      <c r="AB204" s="68"/>
      <c r="AC204" s="68"/>
      <c r="AD204" s="68"/>
      <c r="AE204" s="68"/>
      <c r="AF204" s="67"/>
      <c r="AG204" s="64">
        <f t="shared" si="29"/>
        <v>2</v>
      </c>
    </row>
    <row r="205" spans="1:34" ht="18.75" x14ac:dyDescent="0.25">
      <c r="A205" s="66" t="s">
        <v>21</v>
      </c>
      <c r="B205" s="286">
        <v>2</v>
      </c>
      <c r="C205" s="62"/>
      <c r="D205" s="62"/>
      <c r="E205" s="62"/>
      <c r="F205" s="62">
        <v>2</v>
      </c>
      <c r="G205" s="62"/>
      <c r="H205" s="62"/>
      <c r="I205" s="62"/>
      <c r="J205" s="62"/>
      <c r="K205" s="62"/>
      <c r="L205" s="62"/>
      <c r="M205" s="62"/>
      <c r="N205" s="61"/>
      <c r="O205" s="61"/>
      <c r="P205" s="61"/>
      <c r="Q205" s="61">
        <v>2</v>
      </c>
      <c r="R205" s="61"/>
      <c r="S205" s="61">
        <v>1</v>
      </c>
      <c r="T205" s="61"/>
      <c r="U205" s="61">
        <v>2</v>
      </c>
      <c r="V205" s="61"/>
      <c r="W205" s="61">
        <v>1</v>
      </c>
      <c r="X205" s="61"/>
      <c r="Y205" s="61">
        <v>1</v>
      </c>
      <c r="Z205" s="61"/>
      <c r="AA205" s="61"/>
      <c r="AB205" s="61">
        <v>1</v>
      </c>
      <c r="AC205" s="61">
        <v>1</v>
      </c>
      <c r="AD205" s="61"/>
      <c r="AE205" s="61"/>
      <c r="AF205" s="60"/>
      <c r="AG205" s="64">
        <f t="shared" si="29"/>
        <v>13</v>
      </c>
    </row>
    <row r="206" spans="1:34" ht="18.75" x14ac:dyDescent="0.25">
      <c r="A206" s="65" t="s">
        <v>20</v>
      </c>
      <c r="B206" s="286"/>
      <c r="C206" s="62"/>
      <c r="D206" s="62"/>
      <c r="E206" s="62"/>
      <c r="F206" s="62"/>
      <c r="G206" s="62"/>
      <c r="H206" s="62"/>
      <c r="I206" s="62"/>
      <c r="J206" s="62"/>
      <c r="K206" s="62">
        <v>1</v>
      </c>
      <c r="L206" s="62">
        <v>1</v>
      </c>
      <c r="M206" s="62"/>
      <c r="N206" s="61"/>
      <c r="O206" s="61"/>
      <c r="P206" s="61">
        <v>1</v>
      </c>
      <c r="Q206" s="61"/>
      <c r="R206" s="61"/>
      <c r="S206" s="61"/>
      <c r="T206" s="61">
        <v>1</v>
      </c>
      <c r="U206" s="61"/>
      <c r="V206" s="61"/>
      <c r="W206" s="61"/>
      <c r="X206" s="61"/>
      <c r="Y206" s="61"/>
      <c r="Z206" s="61"/>
      <c r="AA206" s="61"/>
      <c r="AB206" s="61"/>
      <c r="AC206" s="61"/>
      <c r="AD206" s="61"/>
      <c r="AE206" s="61"/>
      <c r="AF206" s="60"/>
      <c r="AG206" s="64">
        <f t="shared" si="29"/>
        <v>4</v>
      </c>
    </row>
    <row r="207" spans="1:34" ht="19.5" thickBot="1" x14ac:dyDescent="0.3">
      <c r="A207" s="63" t="s">
        <v>19</v>
      </c>
      <c r="B207" s="286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  <c r="AB207" s="61"/>
      <c r="AC207" s="61"/>
      <c r="AD207" s="61"/>
      <c r="AE207" s="61"/>
      <c r="AF207" s="60"/>
      <c r="AG207" s="10">
        <f t="shared" si="29"/>
        <v>0</v>
      </c>
    </row>
    <row r="208" spans="1:34" ht="19.5" thickBot="1" x14ac:dyDescent="0.3">
      <c r="A208" s="59" t="s">
        <v>18</v>
      </c>
      <c r="B208" s="287">
        <f t="shared" ref="B208:AF208" si="31">SUM(B209:B213)</f>
        <v>179</v>
      </c>
      <c r="C208" s="57">
        <f t="shared" si="31"/>
        <v>162</v>
      </c>
      <c r="D208" s="57">
        <f t="shared" si="31"/>
        <v>147</v>
      </c>
      <c r="E208" s="57">
        <f t="shared" si="31"/>
        <v>135</v>
      </c>
      <c r="F208" s="57">
        <f t="shared" si="31"/>
        <v>139</v>
      </c>
      <c r="G208" s="57">
        <f t="shared" si="31"/>
        <v>144</v>
      </c>
      <c r="H208" s="57">
        <f t="shared" si="31"/>
        <v>148</v>
      </c>
      <c r="I208" s="57">
        <f t="shared" si="31"/>
        <v>204</v>
      </c>
      <c r="J208" s="57">
        <f t="shared" si="31"/>
        <v>164</v>
      </c>
      <c r="K208" s="57">
        <f t="shared" si="31"/>
        <v>160</v>
      </c>
      <c r="L208" s="57">
        <f t="shared" si="31"/>
        <v>160</v>
      </c>
      <c r="M208" s="57">
        <f t="shared" si="31"/>
        <v>171</v>
      </c>
      <c r="N208" s="56">
        <f t="shared" si="31"/>
        <v>147</v>
      </c>
      <c r="O208" s="56">
        <f t="shared" si="31"/>
        <v>133</v>
      </c>
      <c r="P208" s="56">
        <f t="shared" si="31"/>
        <v>164</v>
      </c>
      <c r="Q208" s="56">
        <f t="shared" si="31"/>
        <v>165</v>
      </c>
      <c r="R208" s="56">
        <f t="shared" si="31"/>
        <v>139</v>
      </c>
      <c r="S208" s="56">
        <f t="shared" si="31"/>
        <v>164</v>
      </c>
      <c r="T208" s="56">
        <f t="shared" si="31"/>
        <v>133</v>
      </c>
      <c r="U208" s="56">
        <f t="shared" si="31"/>
        <v>146</v>
      </c>
      <c r="V208" s="56">
        <f t="shared" si="31"/>
        <v>128</v>
      </c>
      <c r="W208" s="56">
        <f t="shared" si="31"/>
        <v>143</v>
      </c>
      <c r="X208" s="56">
        <f t="shared" si="31"/>
        <v>140</v>
      </c>
      <c r="Y208" s="56">
        <f t="shared" si="31"/>
        <v>128</v>
      </c>
      <c r="Z208" s="56">
        <f t="shared" si="31"/>
        <v>124</v>
      </c>
      <c r="AA208" s="56">
        <f t="shared" si="31"/>
        <v>127</v>
      </c>
      <c r="AB208" s="56">
        <f t="shared" si="31"/>
        <v>139</v>
      </c>
      <c r="AC208" s="56">
        <f t="shared" si="31"/>
        <v>126</v>
      </c>
      <c r="AD208" s="56">
        <f t="shared" si="31"/>
        <v>0</v>
      </c>
      <c r="AE208" s="56">
        <f t="shared" si="31"/>
        <v>0</v>
      </c>
      <c r="AF208" s="55">
        <f t="shared" si="31"/>
        <v>0</v>
      </c>
      <c r="AG208" s="54">
        <f t="shared" si="29"/>
        <v>4159</v>
      </c>
      <c r="AH208" s="53" t="str">
        <f>IF(AG208&lt;&gt;AG93,"X","")</f>
        <v/>
      </c>
    </row>
    <row r="209" spans="1:34" ht="18.75" x14ac:dyDescent="0.25">
      <c r="A209" s="344" t="s">
        <v>17</v>
      </c>
      <c r="B209" s="288"/>
      <c r="C209" s="51"/>
      <c r="D209" s="51"/>
      <c r="E209" s="51"/>
      <c r="F209" s="51"/>
      <c r="G209" s="51">
        <v>1</v>
      </c>
      <c r="H209" s="51"/>
      <c r="I209" s="51"/>
      <c r="J209" s="51"/>
      <c r="K209" s="51"/>
      <c r="L209" s="51"/>
      <c r="M209" s="51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  <c r="AA209" s="50"/>
      <c r="AB209" s="50"/>
      <c r="AC209" s="50"/>
      <c r="AD209" s="50"/>
      <c r="AE209" s="50"/>
      <c r="AF209" s="49"/>
      <c r="AG209" s="48">
        <f t="shared" si="29"/>
        <v>1</v>
      </c>
    </row>
    <row r="210" spans="1:34" ht="18.75" x14ac:dyDescent="0.25">
      <c r="A210" s="345" t="s">
        <v>16</v>
      </c>
      <c r="B210" s="289"/>
      <c r="C210" s="46"/>
      <c r="D210" s="46"/>
      <c r="E210" s="46"/>
      <c r="F210" s="46"/>
      <c r="G210" s="46">
        <v>2</v>
      </c>
      <c r="H210" s="46">
        <v>1</v>
      </c>
      <c r="I210" s="46">
        <v>2</v>
      </c>
      <c r="J210" s="46"/>
      <c r="K210" s="46">
        <v>2</v>
      </c>
      <c r="L210" s="46">
        <v>2</v>
      </c>
      <c r="M210" s="46">
        <v>2</v>
      </c>
      <c r="N210" s="45">
        <v>4</v>
      </c>
      <c r="O210" s="45">
        <v>1</v>
      </c>
      <c r="P210" s="45"/>
      <c r="Q210" s="45"/>
      <c r="R210" s="45"/>
      <c r="S210" s="45">
        <v>1</v>
      </c>
      <c r="T210" s="45">
        <v>3</v>
      </c>
      <c r="U210" s="45"/>
      <c r="V210" s="45">
        <v>1</v>
      </c>
      <c r="W210" s="45"/>
      <c r="X210" s="45">
        <v>1</v>
      </c>
      <c r="Y210" s="45">
        <v>2</v>
      </c>
      <c r="Z210" s="45"/>
      <c r="AA210" s="45"/>
      <c r="AB210" s="45"/>
      <c r="AC210" s="45">
        <v>1</v>
      </c>
      <c r="AD210" s="45"/>
      <c r="AE210" s="45"/>
      <c r="AF210" s="44"/>
      <c r="AG210" s="43">
        <f t="shared" si="29"/>
        <v>25</v>
      </c>
    </row>
    <row r="211" spans="1:34" ht="18.75" x14ac:dyDescent="0.25">
      <c r="A211" s="345" t="s">
        <v>15</v>
      </c>
      <c r="B211" s="289">
        <v>16</v>
      </c>
      <c r="C211" s="46">
        <v>17</v>
      </c>
      <c r="D211" s="46">
        <v>16</v>
      </c>
      <c r="E211" s="46">
        <v>14</v>
      </c>
      <c r="F211" s="46">
        <v>9</v>
      </c>
      <c r="G211" s="46">
        <v>23</v>
      </c>
      <c r="H211" s="46">
        <v>14</v>
      </c>
      <c r="I211" s="46">
        <v>17</v>
      </c>
      <c r="J211" s="46">
        <v>18</v>
      </c>
      <c r="K211" s="46">
        <v>23</v>
      </c>
      <c r="L211" s="46">
        <v>13</v>
      </c>
      <c r="M211" s="46">
        <v>12</v>
      </c>
      <c r="N211" s="45">
        <v>17</v>
      </c>
      <c r="O211" s="45">
        <v>18</v>
      </c>
      <c r="P211" s="45">
        <v>11</v>
      </c>
      <c r="Q211" s="45">
        <v>16</v>
      </c>
      <c r="R211" s="45">
        <v>9</v>
      </c>
      <c r="S211" s="45">
        <v>14</v>
      </c>
      <c r="T211" s="45">
        <v>12</v>
      </c>
      <c r="U211" s="45">
        <v>15</v>
      </c>
      <c r="V211" s="45">
        <v>18</v>
      </c>
      <c r="W211" s="45">
        <v>10</v>
      </c>
      <c r="X211" s="45">
        <v>14</v>
      </c>
      <c r="Y211" s="45">
        <v>13</v>
      </c>
      <c r="Z211" s="45">
        <v>9</v>
      </c>
      <c r="AA211" s="45">
        <v>14</v>
      </c>
      <c r="AB211" s="45">
        <v>8</v>
      </c>
      <c r="AC211" s="45">
        <v>14</v>
      </c>
      <c r="AD211" s="45"/>
      <c r="AE211" s="45"/>
      <c r="AF211" s="44"/>
      <c r="AG211" s="43">
        <f t="shared" ref="AG211:AG223" si="32">SUM(B211:AF211)</f>
        <v>404</v>
      </c>
    </row>
    <row r="212" spans="1:34" ht="18.75" x14ac:dyDescent="0.25">
      <c r="A212" s="345" t="s">
        <v>14</v>
      </c>
      <c r="B212" s="289">
        <v>134</v>
      </c>
      <c r="C212" s="46">
        <v>109</v>
      </c>
      <c r="D212" s="46">
        <v>114</v>
      </c>
      <c r="E212" s="46">
        <v>92</v>
      </c>
      <c r="F212" s="46">
        <v>98</v>
      </c>
      <c r="G212" s="46">
        <v>98</v>
      </c>
      <c r="H212" s="46">
        <v>115</v>
      </c>
      <c r="I212" s="46">
        <v>138</v>
      </c>
      <c r="J212" s="46">
        <v>117</v>
      </c>
      <c r="K212" s="46">
        <v>108</v>
      </c>
      <c r="L212" s="46">
        <v>116</v>
      </c>
      <c r="M212" s="46">
        <v>125</v>
      </c>
      <c r="N212" s="45">
        <v>102</v>
      </c>
      <c r="O212" s="45">
        <v>93</v>
      </c>
      <c r="P212" s="45">
        <v>119</v>
      </c>
      <c r="Q212" s="45">
        <v>116</v>
      </c>
      <c r="R212" s="45">
        <v>77</v>
      </c>
      <c r="S212" s="45">
        <v>118</v>
      </c>
      <c r="T212" s="45">
        <v>82</v>
      </c>
      <c r="U212" s="45">
        <v>97</v>
      </c>
      <c r="V212" s="45">
        <v>68</v>
      </c>
      <c r="W212" s="45">
        <v>99</v>
      </c>
      <c r="X212" s="45">
        <v>91</v>
      </c>
      <c r="Y212" s="45">
        <v>79</v>
      </c>
      <c r="Z212" s="45">
        <v>65</v>
      </c>
      <c r="AA212" s="45">
        <v>80</v>
      </c>
      <c r="AB212" s="45">
        <v>102</v>
      </c>
      <c r="AC212" s="45">
        <v>93</v>
      </c>
      <c r="AD212" s="45"/>
      <c r="AE212" s="45"/>
      <c r="AF212" s="44"/>
      <c r="AG212" s="43">
        <f t="shared" si="32"/>
        <v>2845</v>
      </c>
    </row>
    <row r="213" spans="1:34" ht="19.5" thickBot="1" x14ac:dyDescent="0.3">
      <c r="A213" s="346" t="s">
        <v>13</v>
      </c>
      <c r="B213" s="290">
        <v>29</v>
      </c>
      <c r="C213" s="41">
        <v>36</v>
      </c>
      <c r="D213" s="41">
        <v>17</v>
      </c>
      <c r="E213" s="41">
        <v>29</v>
      </c>
      <c r="F213" s="41">
        <v>32</v>
      </c>
      <c r="G213" s="41">
        <v>20</v>
      </c>
      <c r="H213" s="41">
        <v>18</v>
      </c>
      <c r="I213" s="41">
        <v>47</v>
      </c>
      <c r="J213" s="41">
        <v>29</v>
      </c>
      <c r="K213" s="41">
        <v>27</v>
      </c>
      <c r="L213" s="41">
        <v>29</v>
      </c>
      <c r="M213" s="41">
        <v>32</v>
      </c>
      <c r="N213" s="40">
        <v>24</v>
      </c>
      <c r="O213" s="40">
        <v>21</v>
      </c>
      <c r="P213" s="40">
        <v>34</v>
      </c>
      <c r="Q213" s="40">
        <v>33</v>
      </c>
      <c r="R213" s="40">
        <v>53</v>
      </c>
      <c r="S213" s="40">
        <v>31</v>
      </c>
      <c r="T213" s="40">
        <v>36</v>
      </c>
      <c r="U213" s="40">
        <v>34</v>
      </c>
      <c r="V213" s="40">
        <v>41</v>
      </c>
      <c r="W213" s="40">
        <v>34</v>
      </c>
      <c r="X213" s="40">
        <v>34</v>
      </c>
      <c r="Y213" s="40">
        <v>34</v>
      </c>
      <c r="Z213" s="40">
        <v>50</v>
      </c>
      <c r="AA213" s="40">
        <v>33</v>
      </c>
      <c r="AB213" s="40">
        <v>29</v>
      </c>
      <c r="AC213" s="40">
        <v>18</v>
      </c>
      <c r="AD213" s="40"/>
      <c r="AE213" s="40"/>
      <c r="AF213" s="39"/>
      <c r="AG213" s="38">
        <f t="shared" si="32"/>
        <v>884</v>
      </c>
    </row>
    <row r="214" spans="1:34" ht="19.5" thickBot="1" x14ac:dyDescent="0.3">
      <c r="A214" s="333" t="s">
        <v>12</v>
      </c>
      <c r="B214" s="291">
        <f t="shared" ref="B214:AF214" si="33">SUM(B215:B221)</f>
        <v>101</v>
      </c>
      <c r="C214" s="36">
        <f t="shared" si="33"/>
        <v>57</v>
      </c>
      <c r="D214" s="36">
        <f t="shared" si="33"/>
        <v>71</v>
      </c>
      <c r="E214" s="36">
        <f t="shared" si="33"/>
        <v>70</v>
      </c>
      <c r="F214" s="36">
        <f t="shared" si="33"/>
        <v>55</v>
      </c>
      <c r="G214" s="36">
        <f t="shared" si="33"/>
        <v>52</v>
      </c>
      <c r="H214" s="36">
        <f t="shared" si="33"/>
        <v>52</v>
      </c>
      <c r="I214" s="36">
        <f t="shared" si="33"/>
        <v>73</v>
      </c>
      <c r="J214" s="36">
        <f t="shared" si="33"/>
        <v>57</v>
      </c>
      <c r="K214" s="36">
        <f t="shared" si="33"/>
        <v>48</v>
      </c>
      <c r="L214" s="36">
        <f t="shared" si="33"/>
        <v>67</v>
      </c>
      <c r="M214" s="36">
        <f t="shared" si="33"/>
        <v>74</v>
      </c>
      <c r="N214" s="35">
        <f t="shared" si="33"/>
        <v>45</v>
      </c>
      <c r="O214" s="35">
        <f t="shared" si="33"/>
        <v>40</v>
      </c>
      <c r="P214" s="35">
        <f t="shared" si="33"/>
        <v>68</v>
      </c>
      <c r="Q214" s="35">
        <f t="shared" si="33"/>
        <v>68</v>
      </c>
      <c r="R214" s="35">
        <f t="shared" si="33"/>
        <v>65</v>
      </c>
      <c r="S214" s="35">
        <f t="shared" si="33"/>
        <v>58</v>
      </c>
      <c r="T214" s="35">
        <f t="shared" si="33"/>
        <v>47</v>
      </c>
      <c r="U214" s="35">
        <f t="shared" si="33"/>
        <v>35</v>
      </c>
      <c r="V214" s="35">
        <f t="shared" si="33"/>
        <v>47</v>
      </c>
      <c r="W214" s="35">
        <f t="shared" si="33"/>
        <v>74</v>
      </c>
      <c r="X214" s="35">
        <f t="shared" si="33"/>
        <v>62</v>
      </c>
      <c r="Y214" s="35">
        <f t="shared" si="33"/>
        <v>52</v>
      </c>
      <c r="Z214" s="35">
        <f t="shared" si="33"/>
        <v>42</v>
      </c>
      <c r="AA214" s="35">
        <f t="shared" si="33"/>
        <v>42</v>
      </c>
      <c r="AB214" s="35">
        <f t="shared" si="33"/>
        <v>38</v>
      </c>
      <c r="AC214" s="35">
        <f t="shared" si="33"/>
        <v>32</v>
      </c>
      <c r="AD214" s="35">
        <f t="shared" si="33"/>
        <v>0</v>
      </c>
      <c r="AE214" s="35">
        <f t="shared" si="33"/>
        <v>0</v>
      </c>
      <c r="AF214" s="34">
        <f t="shared" si="33"/>
        <v>0</v>
      </c>
      <c r="AG214" s="33">
        <f t="shared" si="32"/>
        <v>1592</v>
      </c>
    </row>
    <row r="215" spans="1:34" ht="18.75" x14ac:dyDescent="0.25">
      <c r="A215" s="81" t="s">
        <v>11</v>
      </c>
      <c r="B215" s="292">
        <v>88</v>
      </c>
      <c r="C215" s="31">
        <v>43</v>
      </c>
      <c r="D215" s="31">
        <v>55</v>
      </c>
      <c r="E215" s="31">
        <v>61</v>
      </c>
      <c r="F215" s="31">
        <v>46</v>
      </c>
      <c r="G215" s="31">
        <v>35</v>
      </c>
      <c r="H215" s="31">
        <v>37</v>
      </c>
      <c r="I215" s="31">
        <v>56</v>
      </c>
      <c r="J215" s="31">
        <v>37</v>
      </c>
      <c r="K215" s="31">
        <v>29</v>
      </c>
      <c r="L215" s="31">
        <v>53</v>
      </c>
      <c r="M215" s="31">
        <v>60</v>
      </c>
      <c r="N215" s="30">
        <v>32</v>
      </c>
      <c r="O215" s="30">
        <v>22</v>
      </c>
      <c r="P215" s="30">
        <v>48</v>
      </c>
      <c r="Q215" s="30">
        <v>60</v>
      </c>
      <c r="R215" s="30">
        <v>50</v>
      </c>
      <c r="S215" s="30">
        <v>50</v>
      </c>
      <c r="T215" s="30">
        <v>42</v>
      </c>
      <c r="U215" s="30">
        <v>24</v>
      </c>
      <c r="V215" s="30">
        <v>39</v>
      </c>
      <c r="W215" s="30">
        <v>62</v>
      </c>
      <c r="X215" s="30">
        <v>53</v>
      </c>
      <c r="Y215" s="30">
        <v>42</v>
      </c>
      <c r="Z215" s="30">
        <v>33</v>
      </c>
      <c r="AA215" s="30">
        <v>34</v>
      </c>
      <c r="AB215" s="30">
        <v>26</v>
      </c>
      <c r="AC215" s="30">
        <v>27</v>
      </c>
      <c r="AD215" s="30"/>
      <c r="AE215" s="30"/>
      <c r="AF215" s="29"/>
      <c r="AG215" s="28">
        <f t="shared" si="32"/>
        <v>1244</v>
      </c>
    </row>
    <row r="216" spans="1:34" ht="18.75" x14ac:dyDescent="0.25">
      <c r="A216" s="347" t="s">
        <v>10</v>
      </c>
      <c r="B216" s="293"/>
      <c r="C216" s="25"/>
      <c r="D216" s="25"/>
      <c r="E216" s="25"/>
      <c r="F216" s="25"/>
      <c r="G216" s="25">
        <v>1</v>
      </c>
      <c r="H216" s="25"/>
      <c r="I216" s="25">
        <v>1</v>
      </c>
      <c r="J216" s="25"/>
      <c r="K216" s="25"/>
      <c r="L216" s="25">
        <v>1</v>
      </c>
      <c r="M216" s="25"/>
      <c r="N216" s="24"/>
      <c r="O216" s="24">
        <v>1</v>
      </c>
      <c r="P216" s="24"/>
      <c r="Q216" s="24"/>
      <c r="R216" s="24"/>
      <c r="S216" s="24"/>
      <c r="T216" s="24">
        <v>1</v>
      </c>
      <c r="U216" s="24"/>
      <c r="V216" s="24">
        <v>1</v>
      </c>
      <c r="W216" s="24"/>
      <c r="X216" s="24"/>
      <c r="Y216" s="24"/>
      <c r="Z216" s="24"/>
      <c r="AA216" s="24"/>
      <c r="AB216" s="24"/>
      <c r="AC216" s="24"/>
      <c r="AD216" s="24"/>
      <c r="AE216" s="24"/>
      <c r="AF216" s="23"/>
      <c r="AG216" s="21">
        <f t="shared" si="32"/>
        <v>6</v>
      </c>
    </row>
    <row r="217" spans="1:34" ht="18.75" x14ac:dyDescent="0.25">
      <c r="A217" s="348" t="s">
        <v>9</v>
      </c>
      <c r="B217" s="293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4"/>
      <c r="O217" s="24"/>
      <c r="P217" s="24"/>
      <c r="Q217" s="24"/>
      <c r="R217" s="24"/>
      <c r="S217" s="24"/>
      <c r="T217" s="24"/>
      <c r="U217" s="24"/>
      <c r="V217" s="24"/>
      <c r="W217" s="24">
        <v>1</v>
      </c>
      <c r="X217" s="24"/>
      <c r="Y217" s="24"/>
      <c r="Z217" s="24"/>
      <c r="AA217" s="24"/>
      <c r="AB217" s="24"/>
      <c r="AC217" s="24"/>
      <c r="AD217" s="24"/>
      <c r="AE217" s="24"/>
      <c r="AF217" s="23"/>
      <c r="AG217" s="21">
        <f t="shared" si="32"/>
        <v>1</v>
      </c>
    </row>
    <row r="218" spans="1:34" ht="18.75" x14ac:dyDescent="0.25">
      <c r="A218" s="348" t="s">
        <v>150</v>
      </c>
      <c r="B218" s="293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3"/>
      <c r="AG218" s="21">
        <f t="shared" si="32"/>
        <v>0</v>
      </c>
    </row>
    <row r="219" spans="1:34" ht="18.75" x14ac:dyDescent="0.25">
      <c r="A219" s="348" t="s">
        <v>154</v>
      </c>
      <c r="B219" s="293"/>
      <c r="C219" s="25"/>
      <c r="D219" s="25"/>
      <c r="E219" s="25">
        <v>1</v>
      </c>
      <c r="F219" s="25"/>
      <c r="G219" s="25"/>
      <c r="H219" s="25"/>
      <c r="I219" s="25"/>
      <c r="J219" s="25"/>
      <c r="K219" s="25"/>
      <c r="L219" s="25"/>
      <c r="M219" s="25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3"/>
      <c r="AG219" s="21">
        <f t="shared" si="32"/>
        <v>1</v>
      </c>
    </row>
    <row r="220" spans="1:34" ht="18.75" x14ac:dyDescent="0.25">
      <c r="A220" s="348" t="s">
        <v>8</v>
      </c>
      <c r="B220" s="293"/>
      <c r="C220" s="25"/>
      <c r="D220" s="25"/>
      <c r="E220" s="25"/>
      <c r="F220" s="25"/>
      <c r="G220" s="25"/>
      <c r="H220" s="25"/>
      <c r="I220" s="25"/>
      <c r="J220" s="25"/>
      <c r="K220" s="25">
        <v>4</v>
      </c>
      <c r="L220" s="25"/>
      <c r="M220" s="25">
        <v>1</v>
      </c>
      <c r="N220" s="24"/>
      <c r="O220" s="24"/>
      <c r="P220" s="24"/>
      <c r="Q220" s="24"/>
      <c r="R220" s="24"/>
      <c r="S220" s="24"/>
      <c r="T220" s="24"/>
      <c r="U220" s="24"/>
      <c r="V220" s="24"/>
      <c r="W220" s="24">
        <v>2</v>
      </c>
      <c r="X220" s="24"/>
      <c r="Y220" s="24"/>
      <c r="Z220" s="24"/>
      <c r="AA220" s="24"/>
      <c r="AB220" s="24"/>
      <c r="AC220" s="24"/>
      <c r="AD220" s="24"/>
      <c r="AE220" s="24"/>
      <c r="AF220" s="23"/>
      <c r="AG220" s="21">
        <f t="shared" si="32"/>
        <v>7</v>
      </c>
    </row>
    <row r="221" spans="1:34" ht="19.5" thickBot="1" x14ac:dyDescent="0.3">
      <c r="A221" s="358" t="s">
        <v>7</v>
      </c>
      <c r="B221" s="356">
        <v>13</v>
      </c>
      <c r="C221" s="16">
        <v>14</v>
      </c>
      <c r="D221" s="16">
        <v>16</v>
      </c>
      <c r="E221" s="16">
        <v>8</v>
      </c>
      <c r="F221" s="16">
        <v>9</v>
      </c>
      <c r="G221" s="16">
        <v>16</v>
      </c>
      <c r="H221" s="16">
        <v>15</v>
      </c>
      <c r="I221" s="16">
        <v>16</v>
      </c>
      <c r="J221" s="16">
        <v>20</v>
      </c>
      <c r="K221" s="16">
        <v>15</v>
      </c>
      <c r="L221" s="16">
        <v>13</v>
      </c>
      <c r="M221" s="16">
        <v>13</v>
      </c>
      <c r="N221" s="15">
        <v>13</v>
      </c>
      <c r="O221" s="15">
        <v>17</v>
      </c>
      <c r="P221" s="15">
        <v>20</v>
      </c>
      <c r="Q221" s="15">
        <v>8</v>
      </c>
      <c r="R221" s="15">
        <v>15</v>
      </c>
      <c r="S221" s="15">
        <v>8</v>
      </c>
      <c r="T221" s="15">
        <v>4</v>
      </c>
      <c r="U221" s="15">
        <v>11</v>
      </c>
      <c r="V221" s="15">
        <v>7</v>
      </c>
      <c r="W221" s="15">
        <v>9</v>
      </c>
      <c r="X221" s="15">
        <v>9</v>
      </c>
      <c r="Y221" s="15">
        <v>10</v>
      </c>
      <c r="Z221" s="15">
        <v>9</v>
      </c>
      <c r="AA221" s="15">
        <v>8</v>
      </c>
      <c r="AB221" s="15">
        <v>12</v>
      </c>
      <c r="AC221" s="15">
        <v>5</v>
      </c>
      <c r="AD221" s="15"/>
      <c r="AE221" s="15"/>
      <c r="AF221" s="22"/>
      <c r="AG221" s="21">
        <f t="shared" si="32"/>
        <v>333</v>
      </c>
    </row>
    <row r="222" spans="1:34" ht="18.75" x14ac:dyDescent="0.25">
      <c r="A222" s="332" t="s">
        <v>6</v>
      </c>
      <c r="B222" s="357">
        <v>101</v>
      </c>
      <c r="C222" s="19">
        <v>57</v>
      </c>
      <c r="D222" s="19">
        <v>71</v>
      </c>
      <c r="E222" s="19">
        <v>70</v>
      </c>
      <c r="F222" s="19">
        <v>55</v>
      </c>
      <c r="G222" s="19">
        <v>52</v>
      </c>
      <c r="H222" s="19">
        <v>52</v>
      </c>
      <c r="I222" s="19">
        <v>73</v>
      </c>
      <c r="J222" s="19">
        <v>57</v>
      </c>
      <c r="K222" s="19">
        <v>48</v>
      </c>
      <c r="L222" s="19">
        <v>67</v>
      </c>
      <c r="M222" s="19">
        <v>74</v>
      </c>
      <c r="N222" s="18">
        <v>45</v>
      </c>
      <c r="O222" s="18">
        <v>40</v>
      </c>
      <c r="P222" s="18">
        <v>68</v>
      </c>
      <c r="Q222" s="18">
        <v>68</v>
      </c>
      <c r="R222" s="18">
        <v>65</v>
      </c>
      <c r="S222" s="18">
        <v>58</v>
      </c>
      <c r="T222" s="18">
        <v>47</v>
      </c>
      <c r="U222" s="18">
        <v>35</v>
      </c>
      <c r="V222" s="18">
        <v>47</v>
      </c>
      <c r="W222" s="18">
        <v>74</v>
      </c>
      <c r="X222" s="18">
        <v>62</v>
      </c>
      <c r="Y222" s="18">
        <v>52</v>
      </c>
      <c r="Z222" s="18">
        <v>42</v>
      </c>
      <c r="AA222" s="18">
        <v>41</v>
      </c>
      <c r="AB222" s="18">
        <v>38</v>
      </c>
      <c r="AC222" s="18">
        <v>32</v>
      </c>
      <c r="AD222" s="18"/>
      <c r="AE222" s="18"/>
      <c r="AF222" s="17"/>
      <c r="AG222" s="7">
        <f t="shared" si="32"/>
        <v>1591</v>
      </c>
    </row>
    <row r="223" spans="1:34" ht="19.5" thickBot="1" x14ac:dyDescent="0.3">
      <c r="A223" s="358" t="s">
        <v>5</v>
      </c>
      <c r="B223" s="356">
        <f t="shared" ref="B223:AF223" si="34">+B214-B222</f>
        <v>0</v>
      </c>
      <c r="C223" s="16">
        <f t="shared" si="34"/>
        <v>0</v>
      </c>
      <c r="D223" s="16">
        <f t="shared" si="34"/>
        <v>0</v>
      </c>
      <c r="E223" s="16">
        <f t="shared" si="34"/>
        <v>0</v>
      </c>
      <c r="F223" s="16">
        <f t="shared" si="34"/>
        <v>0</v>
      </c>
      <c r="G223" s="16">
        <f t="shared" si="34"/>
        <v>0</v>
      </c>
      <c r="H223" s="16">
        <f t="shared" si="34"/>
        <v>0</v>
      </c>
      <c r="I223" s="16">
        <f t="shared" si="34"/>
        <v>0</v>
      </c>
      <c r="J223" s="16">
        <f t="shared" si="34"/>
        <v>0</v>
      </c>
      <c r="K223" s="16">
        <f t="shared" si="34"/>
        <v>0</v>
      </c>
      <c r="L223" s="16">
        <f t="shared" si="34"/>
        <v>0</v>
      </c>
      <c r="M223" s="16">
        <f t="shared" si="34"/>
        <v>0</v>
      </c>
      <c r="N223" s="15">
        <f t="shared" si="34"/>
        <v>0</v>
      </c>
      <c r="O223" s="15">
        <f t="shared" si="34"/>
        <v>0</v>
      </c>
      <c r="P223" s="15">
        <f t="shared" si="34"/>
        <v>0</v>
      </c>
      <c r="Q223" s="15">
        <f t="shared" si="34"/>
        <v>0</v>
      </c>
      <c r="R223" s="15">
        <f t="shared" si="34"/>
        <v>0</v>
      </c>
      <c r="S223" s="15">
        <f t="shared" si="34"/>
        <v>0</v>
      </c>
      <c r="T223" s="15">
        <f t="shared" si="34"/>
        <v>0</v>
      </c>
      <c r="U223" s="15">
        <f t="shared" si="34"/>
        <v>0</v>
      </c>
      <c r="V223" s="15">
        <f t="shared" si="34"/>
        <v>0</v>
      </c>
      <c r="W223" s="15">
        <f t="shared" si="34"/>
        <v>0</v>
      </c>
      <c r="X223" s="15">
        <f t="shared" si="34"/>
        <v>0</v>
      </c>
      <c r="Y223" s="15">
        <f t="shared" si="34"/>
        <v>0</v>
      </c>
      <c r="Z223" s="15">
        <f t="shared" si="34"/>
        <v>0</v>
      </c>
      <c r="AA223" s="15">
        <f t="shared" si="34"/>
        <v>1</v>
      </c>
      <c r="AB223" s="15">
        <f t="shared" si="34"/>
        <v>0</v>
      </c>
      <c r="AC223" s="15">
        <f t="shared" si="34"/>
        <v>0</v>
      </c>
      <c r="AD223" s="15">
        <f t="shared" si="34"/>
        <v>0</v>
      </c>
      <c r="AE223" s="15">
        <f t="shared" si="34"/>
        <v>0</v>
      </c>
      <c r="AF223" s="14">
        <f t="shared" si="34"/>
        <v>0</v>
      </c>
      <c r="AG223" s="13">
        <f t="shared" si="32"/>
        <v>1</v>
      </c>
    </row>
    <row r="224" spans="1:34" ht="18.75" x14ac:dyDescent="0.25">
      <c r="A224" s="351" t="s">
        <v>4</v>
      </c>
      <c r="B224" s="265">
        <v>15</v>
      </c>
      <c r="C224" s="8">
        <v>10</v>
      </c>
      <c r="D224" s="8">
        <v>5</v>
      </c>
      <c r="E224" s="8">
        <v>5</v>
      </c>
      <c r="F224" s="8">
        <v>11</v>
      </c>
      <c r="G224" s="8">
        <v>11</v>
      </c>
      <c r="H224" s="8">
        <v>0</v>
      </c>
      <c r="I224" s="8">
        <v>17</v>
      </c>
      <c r="J224" s="8">
        <v>8</v>
      </c>
      <c r="K224" s="8">
        <v>11</v>
      </c>
      <c r="L224" s="8">
        <v>11</v>
      </c>
      <c r="M224" s="8">
        <v>13</v>
      </c>
      <c r="N224" s="8">
        <v>9</v>
      </c>
      <c r="O224" s="8">
        <v>15</v>
      </c>
      <c r="P224" s="8">
        <v>13</v>
      </c>
      <c r="Q224" s="8">
        <v>3</v>
      </c>
      <c r="R224" s="8">
        <v>7</v>
      </c>
      <c r="S224" s="8">
        <v>10</v>
      </c>
      <c r="T224" s="8">
        <v>10</v>
      </c>
      <c r="U224" s="8">
        <v>7</v>
      </c>
      <c r="V224" s="8">
        <v>9</v>
      </c>
      <c r="W224" s="8">
        <v>12</v>
      </c>
      <c r="X224" s="8">
        <v>7</v>
      </c>
      <c r="Y224" s="8">
        <v>15</v>
      </c>
      <c r="Z224" s="8">
        <v>10</v>
      </c>
      <c r="AA224" s="8">
        <v>6</v>
      </c>
      <c r="AB224" s="8">
        <v>2</v>
      </c>
      <c r="AC224" s="8">
        <v>4</v>
      </c>
      <c r="AD224" s="8">
        <f t="shared" ref="AD224:AF224" si="35">SUM(AD225:AD227)</f>
        <v>0</v>
      </c>
      <c r="AE224" s="8">
        <f t="shared" si="35"/>
        <v>0</v>
      </c>
      <c r="AF224" s="8">
        <f t="shared" si="35"/>
        <v>0</v>
      </c>
      <c r="AG224" s="7">
        <f t="shared" ref="AG224:AG227" si="36">SUM(B224:AF224)</f>
        <v>256</v>
      </c>
      <c r="AH224" s="406" t="s">
        <v>3</v>
      </c>
    </row>
    <row r="225" spans="1:34" ht="18.75" x14ac:dyDescent="0.25">
      <c r="A225" s="352" t="s">
        <v>2</v>
      </c>
      <c r="B225" s="5">
        <v>9</v>
      </c>
      <c r="C225" s="3">
        <v>8</v>
      </c>
      <c r="D225" s="3">
        <v>3</v>
      </c>
      <c r="E225" s="3">
        <v>3</v>
      </c>
      <c r="F225" s="3">
        <v>7</v>
      </c>
      <c r="G225" s="3">
        <v>7</v>
      </c>
      <c r="H225" s="3">
        <v>0</v>
      </c>
      <c r="I225" s="3">
        <v>12</v>
      </c>
      <c r="J225" s="3">
        <v>5</v>
      </c>
      <c r="K225" s="3">
        <v>6</v>
      </c>
      <c r="L225" s="3">
        <v>7</v>
      </c>
      <c r="M225" s="3">
        <v>5</v>
      </c>
      <c r="N225" s="5">
        <v>2</v>
      </c>
      <c r="O225" s="3">
        <v>6</v>
      </c>
      <c r="P225" s="3">
        <v>8</v>
      </c>
      <c r="Q225" s="3">
        <v>0</v>
      </c>
      <c r="R225" s="3">
        <v>4</v>
      </c>
      <c r="S225" s="3">
        <v>7</v>
      </c>
      <c r="T225" s="3">
        <v>2</v>
      </c>
      <c r="U225" s="3">
        <v>3</v>
      </c>
      <c r="V225" s="3">
        <v>0</v>
      </c>
      <c r="W225" s="3">
        <v>7</v>
      </c>
      <c r="X225" s="3">
        <v>4</v>
      </c>
      <c r="Y225" s="3">
        <v>8</v>
      </c>
      <c r="Z225" s="4">
        <v>4</v>
      </c>
      <c r="AA225" s="3">
        <v>3</v>
      </c>
      <c r="AB225" s="3">
        <v>0</v>
      </c>
      <c r="AC225" s="3">
        <v>1</v>
      </c>
      <c r="AD225" s="3"/>
      <c r="AE225" s="3"/>
      <c r="AF225" s="2"/>
      <c r="AG225" s="1">
        <f t="shared" si="36"/>
        <v>131</v>
      </c>
      <c r="AH225" s="407"/>
    </row>
    <row r="226" spans="1:34" ht="18.75" x14ac:dyDescent="0.25">
      <c r="A226" s="352" t="s">
        <v>1</v>
      </c>
      <c r="B226" s="5">
        <v>6</v>
      </c>
      <c r="C226" s="3">
        <v>2</v>
      </c>
      <c r="D226" s="3">
        <v>2</v>
      </c>
      <c r="E226" s="3">
        <v>2</v>
      </c>
      <c r="F226" s="3">
        <v>4</v>
      </c>
      <c r="G226" s="3">
        <v>4</v>
      </c>
      <c r="H226" s="3">
        <v>0</v>
      </c>
      <c r="I226" s="3">
        <v>5</v>
      </c>
      <c r="J226" s="3">
        <v>3</v>
      </c>
      <c r="K226" s="3">
        <v>5</v>
      </c>
      <c r="L226" s="3">
        <v>4</v>
      </c>
      <c r="M226" s="3">
        <v>8</v>
      </c>
      <c r="N226" s="5">
        <v>7</v>
      </c>
      <c r="O226" s="3">
        <v>9</v>
      </c>
      <c r="P226" s="3">
        <v>5</v>
      </c>
      <c r="Q226" s="3">
        <v>3</v>
      </c>
      <c r="R226" s="3">
        <v>3</v>
      </c>
      <c r="S226" s="3">
        <v>3</v>
      </c>
      <c r="T226" s="3">
        <v>8</v>
      </c>
      <c r="U226" s="3">
        <v>4</v>
      </c>
      <c r="V226" s="3">
        <v>9</v>
      </c>
      <c r="W226" s="3">
        <v>5</v>
      </c>
      <c r="X226" s="3">
        <v>3</v>
      </c>
      <c r="Y226" s="3">
        <v>7</v>
      </c>
      <c r="Z226" s="4">
        <v>6</v>
      </c>
      <c r="AA226" s="3">
        <v>3</v>
      </c>
      <c r="AB226" s="3">
        <v>2</v>
      </c>
      <c r="AC226" s="3">
        <v>3</v>
      </c>
      <c r="AD226" s="3"/>
      <c r="AE226" s="3"/>
      <c r="AF226" s="2"/>
      <c r="AG226" s="1">
        <f t="shared" si="36"/>
        <v>125</v>
      </c>
      <c r="AH226" s="407"/>
    </row>
    <row r="227" spans="1:34" ht="19.5" thickBot="1" x14ac:dyDescent="0.3">
      <c r="A227" s="353" t="s">
        <v>0</v>
      </c>
      <c r="B227" s="297"/>
      <c r="C227" s="240"/>
      <c r="D227" s="240"/>
      <c r="E227" s="240"/>
      <c r="F227" s="240"/>
      <c r="G227" s="240"/>
      <c r="H227" s="240"/>
      <c r="I227" s="240"/>
      <c r="J227" s="240"/>
      <c r="K227" s="241"/>
      <c r="L227" s="241"/>
      <c r="M227" s="241"/>
      <c r="N227" s="242"/>
      <c r="O227" s="243"/>
      <c r="P227" s="243"/>
      <c r="Q227" s="243"/>
      <c r="R227" s="243"/>
      <c r="S227" s="243"/>
      <c r="T227" s="243"/>
      <c r="U227" s="243"/>
      <c r="V227" s="243"/>
      <c r="W227" s="243"/>
      <c r="X227" s="243"/>
      <c r="Y227" s="243"/>
      <c r="Z227" s="243"/>
      <c r="AA227" s="243"/>
      <c r="AB227" s="243"/>
      <c r="AC227" s="243"/>
      <c r="AD227" s="243"/>
      <c r="AE227" s="243"/>
      <c r="AF227" s="244"/>
      <c r="AG227" s="10">
        <f t="shared" si="36"/>
        <v>0</v>
      </c>
      <c r="AH227" s="408"/>
    </row>
    <row r="247" ht="18.75" customHeight="1" x14ac:dyDescent="0.25"/>
    <row r="248" ht="18.75" customHeight="1" x14ac:dyDescent="0.25"/>
    <row r="249" ht="18.75" customHeight="1" x14ac:dyDescent="0.25"/>
    <row r="250" ht="18.75" customHeight="1" x14ac:dyDescent="0.25"/>
    <row r="251" ht="18.75" customHeight="1" x14ac:dyDescent="0.25"/>
    <row r="252" ht="18.75" customHeight="1" x14ac:dyDescent="0.25"/>
    <row r="253" ht="18.75" customHeight="1" x14ac:dyDescent="0.25"/>
    <row r="254" ht="18.75" customHeight="1" x14ac:dyDescent="0.25"/>
    <row r="255" ht="18.75" customHeight="1" x14ac:dyDescent="0.25"/>
    <row r="256" ht="18.75" customHeight="1" x14ac:dyDescent="0.25"/>
    <row r="257" ht="18.75" customHeight="1" x14ac:dyDescent="0.25"/>
    <row r="258" ht="19.5" customHeight="1" x14ac:dyDescent="0.25"/>
    <row r="260" ht="18.75" customHeight="1" x14ac:dyDescent="0.25"/>
    <row r="263" ht="18.75" customHeight="1" x14ac:dyDescent="0.25"/>
  </sheetData>
  <dataConsolidate link="1"/>
  <mergeCells count="3">
    <mergeCell ref="A1:AG1"/>
    <mergeCell ref="AI84:AI86"/>
    <mergeCell ref="AH224:AH227"/>
  </mergeCells>
  <conditionalFormatting sqref="B29:AF52">
    <cfRule type="cellIs" dxfId="110" priority="6" operator="lessThan">
      <formula>0</formula>
    </cfRule>
  </conditionalFormatting>
  <conditionalFormatting sqref="D54:D77">
    <cfRule type="cellIs" dxfId="109" priority="2" operator="lessThan">
      <formula>0</formula>
    </cfRule>
  </conditionalFormatting>
  <conditionalFormatting sqref="G54:G77">
    <cfRule type="cellIs" dxfId="108" priority="1" operator="lessThan">
      <formula>0</formula>
    </cfRule>
  </conditionalFormatting>
  <conditionalFormatting sqref="AH81">
    <cfRule type="cellIs" dxfId="107" priority="4" operator="equal">
      <formula>"*"</formula>
    </cfRule>
  </conditionalFormatting>
  <conditionalFormatting sqref="AH84 AH87">
    <cfRule type="cellIs" dxfId="106" priority="5" operator="equal">
      <formula>"*"</formula>
    </cfRule>
  </conditionalFormatting>
  <conditionalFormatting sqref="AH93">
    <cfRule type="cellIs" dxfId="105" priority="10" operator="equal">
      <formula>"*"</formula>
    </cfRule>
  </conditionalFormatting>
  <conditionalFormatting sqref="AH130">
    <cfRule type="cellIs" dxfId="104" priority="8" operator="equal">
      <formula>"*"</formula>
    </cfRule>
  </conditionalFormatting>
  <conditionalFormatting sqref="AH144:AH145">
    <cfRule type="cellIs" dxfId="103" priority="9" operator="equal">
      <formula>"*"</formula>
    </cfRule>
  </conditionalFormatting>
  <conditionalFormatting sqref="AH181">
    <cfRule type="cellIs" dxfId="102" priority="7" operator="equal">
      <formula>"*"</formula>
    </cfRule>
  </conditionalFormatting>
  <conditionalFormatting sqref="AH208">
    <cfRule type="cellIs" dxfId="101" priority="3" operator="equal">
      <formula>"X"</formula>
    </cfRule>
  </conditionalFormatting>
  <dataValidations disablePrompts="1" count="1">
    <dataValidation type="whole" allowBlank="1" showInputMessage="1" showErrorMessage="1" errorTitle="ERROR" error="Por favor ingrese solo Números" sqref="A98:A99 A101:A115" xr:uid="{00000000-0002-0000-0200-000000000000}">
      <formula1>0</formula1>
      <formula2>1000000000</formula2>
    </dataValidation>
  </dataValidations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2B98E-03AC-4DA4-B75C-DAA175534E4F}">
  <sheetPr codeName="Hoja5"/>
  <dimension ref="A1:AI263"/>
  <sheetViews>
    <sheetView zoomScale="80" zoomScaleNormal="80" workbookViewId="0">
      <pane xSplit="1" ySplit="3" topLeftCell="B4" activePane="bottomRight" state="frozen"/>
      <selection activeCell="AG3" sqref="AG3"/>
      <selection pane="topRight" activeCell="AG3" sqref="AG3"/>
      <selection pane="bottomLeft" activeCell="AG3" sqref="AG3"/>
      <selection pane="bottomRight" activeCell="B4" sqref="B4"/>
    </sheetView>
  </sheetViews>
  <sheetFormatPr baseColWidth="10" defaultRowHeight="15" x14ac:dyDescent="0.25"/>
  <cols>
    <col min="1" max="1" width="34.7109375" customWidth="1"/>
    <col min="2" max="13" width="8.28515625" customWidth="1"/>
    <col min="14" max="14" width="10.140625" customWidth="1"/>
    <col min="15" max="27" width="8.28515625" customWidth="1"/>
    <col min="28" max="28" width="9.7109375" customWidth="1"/>
    <col min="29" max="32" width="8.28515625" customWidth="1"/>
    <col min="33" max="33" width="11.140625" customWidth="1"/>
    <col min="34" max="34" width="12.42578125" customWidth="1"/>
  </cols>
  <sheetData>
    <row r="1" spans="1:33" ht="21.75" thickBot="1" x14ac:dyDescent="0.3">
      <c r="A1" s="400"/>
      <c r="B1" s="401"/>
      <c r="C1" s="401"/>
      <c r="D1" s="401"/>
      <c r="E1" s="401"/>
      <c r="F1" s="401"/>
      <c r="G1" s="401"/>
      <c r="H1" s="401"/>
      <c r="I1" s="401"/>
      <c r="J1" s="401"/>
      <c r="K1" s="401"/>
      <c r="L1" s="401"/>
      <c r="M1" s="401"/>
      <c r="N1" s="401"/>
      <c r="O1" s="401"/>
      <c r="P1" s="401"/>
      <c r="Q1" s="401"/>
      <c r="R1" s="401"/>
      <c r="S1" s="401"/>
      <c r="T1" s="401"/>
      <c r="U1" s="401"/>
      <c r="V1" s="401"/>
      <c r="W1" s="401"/>
      <c r="X1" s="401"/>
      <c r="Y1" s="401"/>
      <c r="Z1" s="401"/>
      <c r="AA1" s="401"/>
      <c r="AB1" s="401"/>
      <c r="AC1" s="401"/>
      <c r="AD1" s="401"/>
      <c r="AE1" s="401"/>
      <c r="AF1" s="401"/>
      <c r="AG1" s="402"/>
    </row>
    <row r="2" spans="1:33" ht="21.75" thickBot="1" x14ac:dyDescent="0.3">
      <c r="A2" s="298" t="s">
        <v>153</v>
      </c>
      <c r="B2" s="246">
        <v>1</v>
      </c>
      <c r="C2" s="215">
        <f t="shared" ref="C2:AA2" si="0">+B2+1</f>
        <v>2</v>
      </c>
      <c r="D2" s="215">
        <f t="shared" si="0"/>
        <v>3</v>
      </c>
      <c r="E2" s="215">
        <f t="shared" si="0"/>
        <v>4</v>
      </c>
      <c r="F2" s="215">
        <f t="shared" si="0"/>
        <v>5</v>
      </c>
      <c r="G2" s="217">
        <f t="shared" si="0"/>
        <v>6</v>
      </c>
      <c r="H2" s="217">
        <f t="shared" si="0"/>
        <v>7</v>
      </c>
      <c r="I2" s="215">
        <f t="shared" si="0"/>
        <v>8</v>
      </c>
      <c r="J2" s="215">
        <f t="shared" si="0"/>
        <v>9</v>
      </c>
      <c r="K2" s="215">
        <f t="shared" si="0"/>
        <v>10</v>
      </c>
      <c r="L2" s="215">
        <f t="shared" si="0"/>
        <v>11</v>
      </c>
      <c r="M2" s="215">
        <f t="shared" si="0"/>
        <v>12</v>
      </c>
      <c r="N2" s="217">
        <f t="shared" si="0"/>
        <v>13</v>
      </c>
      <c r="O2" s="217">
        <f t="shared" si="0"/>
        <v>14</v>
      </c>
      <c r="P2" s="215">
        <f t="shared" si="0"/>
        <v>15</v>
      </c>
      <c r="Q2" s="215">
        <f t="shared" si="0"/>
        <v>16</v>
      </c>
      <c r="R2" s="215">
        <f t="shared" si="0"/>
        <v>17</v>
      </c>
      <c r="S2" s="215">
        <f t="shared" si="0"/>
        <v>18</v>
      </c>
      <c r="T2" s="215">
        <f t="shared" si="0"/>
        <v>19</v>
      </c>
      <c r="U2" s="217">
        <f t="shared" si="0"/>
        <v>20</v>
      </c>
      <c r="V2" s="217">
        <f t="shared" si="0"/>
        <v>21</v>
      </c>
      <c r="W2" s="215">
        <f t="shared" si="0"/>
        <v>22</v>
      </c>
      <c r="X2" s="215">
        <f t="shared" si="0"/>
        <v>23</v>
      </c>
      <c r="Y2" s="215">
        <f t="shared" si="0"/>
        <v>24</v>
      </c>
      <c r="Z2" s="215">
        <f t="shared" si="0"/>
        <v>25</v>
      </c>
      <c r="AA2" s="215">
        <f t="shared" si="0"/>
        <v>26</v>
      </c>
      <c r="AB2" s="217">
        <v>27</v>
      </c>
      <c r="AC2" s="217">
        <f>+AB2+1</f>
        <v>28</v>
      </c>
      <c r="AD2" s="215">
        <v>29</v>
      </c>
      <c r="AE2" s="215">
        <v>30</v>
      </c>
      <c r="AF2" s="215">
        <v>31</v>
      </c>
      <c r="AG2" s="214" t="s">
        <v>148</v>
      </c>
    </row>
    <row r="3" spans="1:33" ht="19.5" thickBot="1" x14ac:dyDescent="0.3">
      <c r="A3" s="299" t="s">
        <v>147</v>
      </c>
      <c r="B3" s="247">
        <f t="shared" ref="B3:AF3" si="1">SUM(B4:B27)</f>
        <v>177</v>
      </c>
      <c r="C3" s="120">
        <f t="shared" si="1"/>
        <v>126</v>
      </c>
      <c r="D3" s="120">
        <f t="shared" si="1"/>
        <v>157</v>
      </c>
      <c r="E3" s="120">
        <f t="shared" si="1"/>
        <v>142</v>
      </c>
      <c r="F3" s="120">
        <f t="shared" si="1"/>
        <v>126</v>
      </c>
      <c r="G3" s="120">
        <f t="shared" si="1"/>
        <v>156</v>
      </c>
      <c r="H3" s="120">
        <f t="shared" si="1"/>
        <v>165</v>
      </c>
      <c r="I3" s="120">
        <f t="shared" si="1"/>
        <v>155</v>
      </c>
      <c r="J3" s="120">
        <f t="shared" si="1"/>
        <v>154</v>
      </c>
      <c r="K3" s="120">
        <f t="shared" si="1"/>
        <v>155</v>
      </c>
      <c r="L3" s="120">
        <f t="shared" si="1"/>
        <v>156</v>
      </c>
      <c r="M3" s="120">
        <f t="shared" si="1"/>
        <v>149</v>
      </c>
      <c r="N3" s="120">
        <f t="shared" si="1"/>
        <v>172</v>
      </c>
      <c r="O3" s="120">
        <f t="shared" si="1"/>
        <v>163</v>
      </c>
      <c r="P3" s="120">
        <f t="shared" si="1"/>
        <v>148</v>
      </c>
      <c r="Q3" s="120">
        <f t="shared" si="1"/>
        <v>159</v>
      </c>
      <c r="R3" s="120">
        <f t="shared" si="1"/>
        <v>148</v>
      </c>
      <c r="S3" s="120">
        <f t="shared" si="1"/>
        <v>128</v>
      </c>
      <c r="T3" s="120">
        <f t="shared" si="1"/>
        <v>124</v>
      </c>
      <c r="U3" s="120">
        <f t="shared" si="1"/>
        <v>173</v>
      </c>
      <c r="V3" s="120">
        <f t="shared" si="1"/>
        <v>147</v>
      </c>
      <c r="W3" s="120">
        <f t="shared" si="1"/>
        <v>199</v>
      </c>
      <c r="X3" s="120">
        <f t="shared" si="1"/>
        <v>162</v>
      </c>
      <c r="Y3" s="120">
        <f t="shared" si="1"/>
        <v>143</v>
      </c>
      <c r="Z3" s="120">
        <f t="shared" si="1"/>
        <v>160</v>
      </c>
      <c r="AA3" s="120">
        <f t="shared" si="1"/>
        <v>170</v>
      </c>
      <c r="AB3" s="120">
        <f t="shared" si="1"/>
        <v>115</v>
      </c>
      <c r="AC3" s="120">
        <f t="shared" si="1"/>
        <v>165</v>
      </c>
      <c r="AD3" s="120">
        <f t="shared" si="1"/>
        <v>171</v>
      </c>
      <c r="AE3" s="120">
        <f t="shared" si="1"/>
        <v>122</v>
      </c>
      <c r="AF3" s="120">
        <f t="shared" si="1"/>
        <v>125</v>
      </c>
      <c r="AG3" s="118">
        <f t="shared" ref="AG3:AG66" si="2">SUM(B3:AF3)</f>
        <v>4712</v>
      </c>
    </row>
    <row r="4" spans="1:33" ht="18.75" x14ac:dyDescent="0.25">
      <c r="A4" s="300" t="s">
        <v>144</v>
      </c>
      <c r="B4" s="248">
        <v>3</v>
      </c>
      <c r="C4" s="199">
        <v>2</v>
      </c>
      <c r="D4" s="199">
        <v>4</v>
      </c>
      <c r="E4" s="199">
        <v>1</v>
      </c>
      <c r="F4" s="199">
        <v>1</v>
      </c>
      <c r="G4" s="199">
        <v>4</v>
      </c>
      <c r="H4" s="199">
        <v>3</v>
      </c>
      <c r="I4" s="199">
        <v>4</v>
      </c>
      <c r="J4" s="199"/>
      <c r="K4" s="199">
        <v>2</v>
      </c>
      <c r="L4" s="199">
        <v>1</v>
      </c>
      <c r="M4" s="199">
        <v>1</v>
      </c>
      <c r="N4" s="199">
        <v>4</v>
      </c>
      <c r="O4" s="199">
        <v>1</v>
      </c>
      <c r="P4" s="199">
        <v>4</v>
      </c>
      <c r="Q4" s="199">
        <v>2</v>
      </c>
      <c r="R4" s="199">
        <v>2</v>
      </c>
      <c r="S4" s="199">
        <v>6</v>
      </c>
      <c r="T4" s="199">
        <v>2</v>
      </c>
      <c r="U4" s="199">
        <v>4</v>
      </c>
      <c r="V4" s="199">
        <v>1</v>
      </c>
      <c r="W4" s="199">
        <v>5</v>
      </c>
      <c r="X4" s="199">
        <v>1</v>
      </c>
      <c r="Y4" s="199">
        <v>1</v>
      </c>
      <c r="Z4" s="199">
        <v>1</v>
      </c>
      <c r="AA4" s="199">
        <v>5</v>
      </c>
      <c r="AB4" s="199"/>
      <c r="AC4" s="199">
        <v>3</v>
      </c>
      <c r="AD4" s="199">
        <v>6</v>
      </c>
      <c r="AE4" s="199">
        <v>2</v>
      </c>
      <c r="AF4" s="206">
        <v>1</v>
      </c>
      <c r="AG4" s="134">
        <f t="shared" si="2"/>
        <v>77</v>
      </c>
    </row>
    <row r="5" spans="1:33" ht="18.75" x14ac:dyDescent="0.25">
      <c r="A5" s="301" t="s">
        <v>143</v>
      </c>
      <c r="B5" s="249">
        <v>6</v>
      </c>
      <c r="C5" s="162">
        <v>1</v>
      </c>
      <c r="D5" s="162">
        <v>3</v>
      </c>
      <c r="E5" s="162">
        <v>7</v>
      </c>
      <c r="F5" s="162">
        <v>3</v>
      </c>
      <c r="G5" s="162">
        <v>2</v>
      </c>
      <c r="H5" s="162">
        <v>4</v>
      </c>
      <c r="I5" s="162">
        <v>6</v>
      </c>
      <c r="J5" s="162">
        <v>6</v>
      </c>
      <c r="K5" s="162">
        <v>2</v>
      </c>
      <c r="L5" s="162">
        <v>3</v>
      </c>
      <c r="M5" s="162">
        <v>3</v>
      </c>
      <c r="N5" s="162">
        <v>4</v>
      </c>
      <c r="O5" s="162">
        <v>2</v>
      </c>
      <c r="P5" s="162">
        <v>6</v>
      </c>
      <c r="Q5" s="162">
        <v>7</v>
      </c>
      <c r="R5" s="162">
        <v>4</v>
      </c>
      <c r="S5" s="162">
        <v>4</v>
      </c>
      <c r="T5" s="162">
        <v>4</v>
      </c>
      <c r="U5" s="162">
        <v>10</v>
      </c>
      <c r="V5" s="162">
        <v>1</v>
      </c>
      <c r="W5" s="162">
        <v>7</v>
      </c>
      <c r="X5" s="162">
        <v>4</v>
      </c>
      <c r="Y5" s="162">
        <v>4</v>
      </c>
      <c r="Z5" s="162">
        <v>9</v>
      </c>
      <c r="AA5" s="162">
        <v>4</v>
      </c>
      <c r="AB5" s="162">
        <v>6</v>
      </c>
      <c r="AC5" s="162">
        <v>5</v>
      </c>
      <c r="AD5" s="162">
        <v>3</v>
      </c>
      <c r="AE5" s="162">
        <v>6</v>
      </c>
      <c r="AF5" s="161">
        <v>1</v>
      </c>
      <c r="AG5" s="64">
        <f t="shared" si="2"/>
        <v>137</v>
      </c>
    </row>
    <row r="6" spans="1:33" ht="18.75" x14ac:dyDescent="0.25">
      <c r="A6" s="301" t="s">
        <v>142</v>
      </c>
      <c r="B6" s="249">
        <v>6</v>
      </c>
      <c r="C6" s="162">
        <v>2</v>
      </c>
      <c r="D6" s="162">
        <v>2</v>
      </c>
      <c r="E6" s="162">
        <v>3</v>
      </c>
      <c r="F6" s="162">
        <v>3</v>
      </c>
      <c r="G6" s="162">
        <v>12</v>
      </c>
      <c r="H6" s="162">
        <v>16</v>
      </c>
      <c r="I6" s="162">
        <v>9</v>
      </c>
      <c r="J6" s="162">
        <v>4</v>
      </c>
      <c r="K6" s="162">
        <v>4</v>
      </c>
      <c r="L6" s="162">
        <v>5</v>
      </c>
      <c r="M6" s="162">
        <v>5</v>
      </c>
      <c r="N6" s="162">
        <v>5</v>
      </c>
      <c r="O6" s="162">
        <v>11</v>
      </c>
      <c r="P6" s="162">
        <v>5</v>
      </c>
      <c r="Q6" s="162">
        <v>5</v>
      </c>
      <c r="R6" s="162">
        <v>1</v>
      </c>
      <c r="S6" s="162">
        <v>9</v>
      </c>
      <c r="T6" s="162">
        <v>3</v>
      </c>
      <c r="U6" s="162">
        <v>10</v>
      </c>
      <c r="V6" s="162">
        <v>5</v>
      </c>
      <c r="W6" s="162">
        <v>10</v>
      </c>
      <c r="X6" s="162">
        <v>3</v>
      </c>
      <c r="Y6" s="162">
        <v>4</v>
      </c>
      <c r="Z6" s="162">
        <v>7</v>
      </c>
      <c r="AA6" s="162">
        <v>8</v>
      </c>
      <c r="AB6" s="162">
        <v>6</v>
      </c>
      <c r="AC6" s="162">
        <v>7</v>
      </c>
      <c r="AD6" s="162">
        <v>10</v>
      </c>
      <c r="AE6" s="162">
        <v>4</v>
      </c>
      <c r="AF6" s="161">
        <v>5</v>
      </c>
      <c r="AG6" s="64">
        <f t="shared" si="2"/>
        <v>189</v>
      </c>
    </row>
    <row r="7" spans="1:33" ht="18.75" x14ac:dyDescent="0.25">
      <c r="A7" s="301" t="s">
        <v>141</v>
      </c>
      <c r="B7" s="249">
        <v>5</v>
      </c>
      <c r="C7" s="162">
        <v>4</v>
      </c>
      <c r="D7" s="162">
        <v>2</v>
      </c>
      <c r="E7" s="162">
        <v>6</v>
      </c>
      <c r="F7" s="162">
        <v>2</v>
      </c>
      <c r="G7" s="162">
        <v>15</v>
      </c>
      <c r="H7" s="162">
        <v>11</v>
      </c>
      <c r="I7" s="162">
        <v>7</v>
      </c>
      <c r="J7" s="162">
        <v>6</v>
      </c>
      <c r="K7" s="162">
        <v>2</v>
      </c>
      <c r="L7" s="162">
        <v>1</v>
      </c>
      <c r="M7" s="162">
        <v>1</v>
      </c>
      <c r="N7" s="162">
        <v>10</v>
      </c>
      <c r="O7" s="162">
        <v>8</v>
      </c>
      <c r="P7" s="162">
        <v>3</v>
      </c>
      <c r="Q7" s="162">
        <v>6</v>
      </c>
      <c r="R7" s="162">
        <v>1</v>
      </c>
      <c r="S7" s="162">
        <v>2</v>
      </c>
      <c r="T7" s="162">
        <v>7</v>
      </c>
      <c r="U7" s="162">
        <v>14</v>
      </c>
      <c r="V7" s="162">
        <v>5</v>
      </c>
      <c r="W7" s="162">
        <v>9</v>
      </c>
      <c r="X7" s="162">
        <v>10</v>
      </c>
      <c r="Y7" s="162">
        <v>9</v>
      </c>
      <c r="Z7" s="162">
        <v>10</v>
      </c>
      <c r="AA7" s="162">
        <v>10</v>
      </c>
      <c r="AB7" s="162">
        <v>4</v>
      </c>
      <c r="AC7" s="162">
        <v>7</v>
      </c>
      <c r="AD7" s="162">
        <v>16</v>
      </c>
      <c r="AE7" s="162">
        <v>5</v>
      </c>
      <c r="AF7" s="161">
        <v>6</v>
      </c>
      <c r="AG7" s="64">
        <f t="shared" si="2"/>
        <v>204</v>
      </c>
    </row>
    <row r="8" spans="1:33" ht="18.75" x14ac:dyDescent="0.25">
      <c r="A8" s="301" t="s">
        <v>140</v>
      </c>
      <c r="B8" s="249">
        <v>7</v>
      </c>
      <c r="C8" s="162">
        <v>2</v>
      </c>
      <c r="D8" s="162">
        <v>7</v>
      </c>
      <c r="E8" s="162">
        <v>3</v>
      </c>
      <c r="F8" s="162">
        <v>2</v>
      </c>
      <c r="G8" s="162">
        <v>8</v>
      </c>
      <c r="H8" s="162">
        <v>14</v>
      </c>
      <c r="I8" s="162">
        <v>2</v>
      </c>
      <c r="J8" s="162">
        <v>3</v>
      </c>
      <c r="K8" s="162">
        <v>1</v>
      </c>
      <c r="L8" s="162">
        <v>10</v>
      </c>
      <c r="M8" s="162">
        <v>3</v>
      </c>
      <c r="N8" s="162">
        <v>13</v>
      </c>
      <c r="O8" s="162">
        <v>12</v>
      </c>
      <c r="P8" s="162">
        <v>5</v>
      </c>
      <c r="Q8" s="162">
        <v>9</v>
      </c>
      <c r="R8" s="162">
        <v>6</v>
      </c>
      <c r="S8" s="162">
        <v>9</v>
      </c>
      <c r="T8" s="162">
        <v>3</v>
      </c>
      <c r="U8" s="162">
        <v>12</v>
      </c>
      <c r="V8" s="162">
        <v>14</v>
      </c>
      <c r="W8" s="162">
        <v>9</v>
      </c>
      <c r="X8" s="162">
        <v>9</v>
      </c>
      <c r="Y8" s="162">
        <v>5</v>
      </c>
      <c r="Z8" s="162">
        <v>8</v>
      </c>
      <c r="AA8" s="162">
        <v>8</v>
      </c>
      <c r="AB8" s="162">
        <v>9</v>
      </c>
      <c r="AC8" s="162">
        <v>7</v>
      </c>
      <c r="AD8" s="162">
        <v>4</v>
      </c>
      <c r="AE8" s="162">
        <v>7</v>
      </c>
      <c r="AF8" s="161">
        <v>2</v>
      </c>
      <c r="AG8" s="64">
        <f t="shared" si="2"/>
        <v>213</v>
      </c>
    </row>
    <row r="9" spans="1:33" ht="18.75" x14ac:dyDescent="0.25">
      <c r="A9" s="301" t="s">
        <v>139</v>
      </c>
      <c r="B9" s="249">
        <v>2</v>
      </c>
      <c r="C9" s="162">
        <v>1</v>
      </c>
      <c r="D9" s="162">
        <v>2</v>
      </c>
      <c r="E9" s="162">
        <v>3</v>
      </c>
      <c r="F9" s="162">
        <v>3</v>
      </c>
      <c r="G9" s="162">
        <v>15</v>
      </c>
      <c r="H9" s="162">
        <v>4</v>
      </c>
      <c r="I9" s="162">
        <v>1</v>
      </c>
      <c r="J9" s="162">
        <v>3</v>
      </c>
      <c r="K9" s="162">
        <v>4</v>
      </c>
      <c r="L9" s="162">
        <v>1</v>
      </c>
      <c r="M9" s="162"/>
      <c r="N9" s="162">
        <v>18</v>
      </c>
      <c r="O9" s="162">
        <v>15</v>
      </c>
      <c r="P9" s="162"/>
      <c r="Q9" s="162">
        <v>4</v>
      </c>
      <c r="R9" s="162">
        <v>1</v>
      </c>
      <c r="S9" s="162"/>
      <c r="T9" s="162">
        <v>1</v>
      </c>
      <c r="U9" s="162">
        <v>14</v>
      </c>
      <c r="V9" s="162">
        <v>10</v>
      </c>
      <c r="W9" s="162">
        <v>12</v>
      </c>
      <c r="X9" s="162">
        <v>3</v>
      </c>
      <c r="Y9" s="162"/>
      <c r="Z9" s="162">
        <v>8</v>
      </c>
      <c r="AA9" s="162">
        <v>7</v>
      </c>
      <c r="AB9" s="162">
        <v>11</v>
      </c>
      <c r="AC9" s="162">
        <v>11</v>
      </c>
      <c r="AD9" s="162">
        <v>3</v>
      </c>
      <c r="AE9" s="162">
        <v>12</v>
      </c>
      <c r="AF9" s="161">
        <v>4</v>
      </c>
      <c r="AG9" s="64">
        <f t="shared" si="2"/>
        <v>173</v>
      </c>
    </row>
    <row r="10" spans="1:33" ht="18.75" x14ac:dyDescent="0.25">
      <c r="A10" s="301" t="s">
        <v>138</v>
      </c>
      <c r="B10" s="249">
        <v>3</v>
      </c>
      <c r="C10" s="162">
        <v>2</v>
      </c>
      <c r="D10" s="162">
        <v>6</v>
      </c>
      <c r="E10" s="162">
        <v>3</v>
      </c>
      <c r="F10" s="162">
        <v>3</v>
      </c>
      <c r="G10" s="162">
        <v>6</v>
      </c>
      <c r="H10" s="162">
        <v>5</v>
      </c>
      <c r="I10" s="162">
        <v>7</v>
      </c>
      <c r="J10" s="162">
        <v>1</v>
      </c>
      <c r="K10" s="162"/>
      <c r="L10" s="162">
        <v>6</v>
      </c>
      <c r="M10" s="162">
        <v>1</v>
      </c>
      <c r="N10" s="162">
        <v>5</v>
      </c>
      <c r="O10" s="162">
        <v>12</v>
      </c>
      <c r="P10" s="162">
        <v>4</v>
      </c>
      <c r="Q10" s="162">
        <v>6</v>
      </c>
      <c r="R10" s="162">
        <v>1</v>
      </c>
      <c r="S10" s="162">
        <v>6</v>
      </c>
      <c r="T10" s="162">
        <v>5</v>
      </c>
      <c r="U10" s="162">
        <v>15</v>
      </c>
      <c r="V10" s="162">
        <v>5</v>
      </c>
      <c r="W10" s="162">
        <v>2</v>
      </c>
      <c r="X10" s="162">
        <v>6</v>
      </c>
      <c r="Y10" s="162">
        <v>3</v>
      </c>
      <c r="Z10" s="162"/>
      <c r="AA10" s="162">
        <v>4</v>
      </c>
      <c r="AB10" s="162">
        <v>7</v>
      </c>
      <c r="AC10" s="162">
        <v>13</v>
      </c>
      <c r="AD10" s="162">
        <v>7</v>
      </c>
      <c r="AE10" s="162">
        <v>1</v>
      </c>
      <c r="AF10" s="161">
        <v>3</v>
      </c>
      <c r="AG10" s="64">
        <f t="shared" si="2"/>
        <v>148</v>
      </c>
    </row>
    <row r="11" spans="1:33" ht="18.75" x14ac:dyDescent="0.25">
      <c r="A11" s="301" t="s">
        <v>137</v>
      </c>
      <c r="B11" s="249">
        <v>3</v>
      </c>
      <c r="C11" s="162">
        <v>5</v>
      </c>
      <c r="D11" s="162">
        <v>8</v>
      </c>
      <c r="E11" s="162">
        <v>1</v>
      </c>
      <c r="F11" s="162"/>
      <c r="G11" s="162">
        <v>12</v>
      </c>
      <c r="H11" s="162">
        <v>5</v>
      </c>
      <c r="I11" s="162">
        <v>5</v>
      </c>
      <c r="J11" s="162">
        <v>3</v>
      </c>
      <c r="K11" s="162">
        <v>5</v>
      </c>
      <c r="L11" s="162">
        <v>4</v>
      </c>
      <c r="M11" s="162">
        <v>3</v>
      </c>
      <c r="N11" s="162">
        <v>9</v>
      </c>
      <c r="O11" s="162">
        <v>15</v>
      </c>
      <c r="P11" s="162">
        <v>4</v>
      </c>
      <c r="Q11" s="162">
        <v>7</v>
      </c>
      <c r="R11" s="162">
        <v>4</v>
      </c>
      <c r="S11" s="162">
        <v>6</v>
      </c>
      <c r="T11" s="162">
        <v>5</v>
      </c>
      <c r="U11" s="162">
        <v>5</v>
      </c>
      <c r="V11" s="162">
        <v>16</v>
      </c>
      <c r="W11" s="162">
        <v>7</v>
      </c>
      <c r="X11" s="162">
        <v>6</v>
      </c>
      <c r="Y11" s="162">
        <v>4</v>
      </c>
      <c r="Z11" s="162">
        <v>4</v>
      </c>
      <c r="AA11" s="162">
        <v>4</v>
      </c>
      <c r="AB11" s="162">
        <v>4</v>
      </c>
      <c r="AC11" s="162">
        <v>18</v>
      </c>
      <c r="AD11" s="162">
        <v>10</v>
      </c>
      <c r="AE11" s="162">
        <v>7</v>
      </c>
      <c r="AF11" s="161">
        <v>2</v>
      </c>
      <c r="AG11" s="64">
        <f t="shared" si="2"/>
        <v>191</v>
      </c>
    </row>
    <row r="12" spans="1:33" ht="18.75" x14ac:dyDescent="0.25">
      <c r="A12" s="301" t="s">
        <v>136</v>
      </c>
      <c r="B12" s="249">
        <v>5</v>
      </c>
      <c r="C12" s="162">
        <v>3</v>
      </c>
      <c r="D12" s="162">
        <v>2</v>
      </c>
      <c r="E12" s="162">
        <v>4</v>
      </c>
      <c r="F12" s="162">
        <v>12</v>
      </c>
      <c r="G12" s="162">
        <v>8</v>
      </c>
      <c r="H12" s="162">
        <v>11</v>
      </c>
      <c r="I12" s="162">
        <v>4</v>
      </c>
      <c r="J12" s="162">
        <v>5</v>
      </c>
      <c r="K12" s="162">
        <v>8</v>
      </c>
      <c r="L12" s="162">
        <v>4</v>
      </c>
      <c r="M12" s="162">
        <v>3</v>
      </c>
      <c r="N12" s="162">
        <v>17</v>
      </c>
      <c r="O12" s="162">
        <v>12</v>
      </c>
      <c r="P12" s="162">
        <v>8</v>
      </c>
      <c r="Q12" s="162">
        <v>1</v>
      </c>
      <c r="R12" s="162">
        <v>6</v>
      </c>
      <c r="S12" s="162">
        <v>1</v>
      </c>
      <c r="T12" s="162">
        <v>6</v>
      </c>
      <c r="U12" s="162">
        <v>16</v>
      </c>
      <c r="V12" s="162">
        <v>15</v>
      </c>
      <c r="W12" s="162">
        <v>9</v>
      </c>
      <c r="X12" s="162">
        <v>10</v>
      </c>
      <c r="Y12" s="162">
        <v>8</v>
      </c>
      <c r="Z12" s="162">
        <v>10</v>
      </c>
      <c r="AA12" s="162">
        <v>9</v>
      </c>
      <c r="AB12" s="162">
        <v>10</v>
      </c>
      <c r="AC12" s="162">
        <v>19</v>
      </c>
      <c r="AD12" s="162">
        <v>4</v>
      </c>
      <c r="AE12" s="162">
        <v>7</v>
      </c>
      <c r="AF12" s="161">
        <v>9</v>
      </c>
      <c r="AG12" s="64">
        <f t="shared" si="2"/>
        <v>246</v>
      </c>
    </row>
    <row r="13" spans="1:33" ht="18.75" x14ac:dyDescent="0.25">
      <c r="A13" s="301" t="s">
        <v>135</v>
      </c>
      <c r="B13" s="249">
        <v>36</v>
      </c>
      <c r="C13" s="162">
        <v>30</v>
      </c>
      <c r="D13" s="162">
        <v>38</v>
      </c>
      <c r="E13" s="162">
        <v>32</v>
      </c>
      <c r="F13" s="162">
        <v>33</v>
      </c>
      <c r="G13" s="162">
        <v>18</v>
      </c>
      <c r="H13" s="162">
        <v>13</v>
      </c>
      <c r="I13" s="162">
        <v>36</v>
      </c>
      <c r="J13" s="162">
        <v>43</v>
      </c>
      <c r="K13" s="162">
        <v>43</v>
      </c>
      <c r="L13" s="162">
        <v>44</v>
      </c>
      <c r="M13" s="162">
        <v>41</v>
      </c>
      <c r="N13" s="162">
        <v>11</v>
      </c>
      <c r="O13" s="162">
        <v>17</v>
      </c>
      <c r="P13" s="162">
        <v>38</v>
      </c>
      <c r="Q13" s="162">
        <v>34</v>
      </c>
      <c r="R13" s="162">
        <v>49</v>
      </c>
      <c r="S13" s="162">
        <v>37</v>
      </c>
      <c r="T13" s="162">
        <v>29</v>
      </c>
      <c r="U13" s="162">
        <v>18</v>
      </c>
      <c r="V13" s="162">
        <v>13</v>
      </c>
      <c r="W13" s="162">
        <v>47</v>
      </c>
      <c r="X13" s="162">
        <v>34</v>
      </c>
      <c r="Y13" s="162">
        <v>33</v>
      </c>
      <c r="Z13" s="162">
        <v>45</v>
      </c>
      <c r="AA13" s="162">
        <v>44</v>
      </c>
      <c r="AB13" s="162">
        <v>10</v>
      </c>
      <c r="AC13" s="162">
        <v>11</v>
      </c>
      <c r="AD13" s="162">
        <v>32</v>
      </c>
      <c r="AE13" s="162">
        <v>32</v>
      </c>
      <c r="AF13" s="161">
        <v>29</v>
      </c>
      <c r="AG13" s="64">
        <f t="shared" si="2"/>
        <v>970</v>
      </c>
    </row>
    <row r="14" spans="1:33" ht="18.75" x14ac:dyDescent="0.25">
      <c r="A14" s="301" t="s">
        <v>134</v>
      </c>
      <c r="B14" s="249">
        <v>14</v>
      </c>
      <c r="C14" s="162">
        <v>14</v>
      </c>
      <c r="D14" s="162">
        <v>12</v>
      </c>
      <c r="E14" s="162">
        <v>14</v>
      </c>
      <c r="F14" s="162">
        <v>6</v>
      </c>
      <c r="G14" s="162">
        <v>4</v>
      </c>
      <c r="H14" s="162">
        <v>12</v>
      </c>
      <c r="I14" s="162">
        <v>13</v>
      </c>
      <c r="J14" s="162">
        <v>12</v>
      </c>
      <c r="K14" s="162">
        <v>18</v>
      </c>
      <c r="L14" s="162">
        <v>16</v>
      </c>
      <c r="M14" s="162">
        <v>25</v>
      </c>
      <c r="N14" s="162">
        <v>13</v>
      </c>
      <c r="O14" s="162">
        <v>7</v>
      </c>
      <c r="P14" s="162">
        <v>12</v>
      </c>
      <c r="Q14" s="162">
        <v>19</v>
      </c>
      <c r="R14" s="162">
        <v>10</v>
      </c>
      <c r="S14" s="162">
        <v>9</v>
      </c>
      <c r="T14" s="162">
        <v>13</v>
      </c>
      <c r="U14" s="162">
        <v>11</v>
      </c>
      <c r="V14" s="162">
        <v>9</v>
      </c>
      <c r="W14" s="162">
        <v>17</v>
      </c>
      <c r="X14" s="162">
        <v>18</v>
      </c>
      <c r="Y14" s="162">
        <v>17</v>
      </c>
      <c r="Z14" s="162">
        <v>12</v>
      </c>
      <c r="AA14" s="162">
        <v>20</v>
      </c>
      <c r="AB14" s="162">
        <v>9</v>
      </c>
      <c r="AC14" s="162">
        <v>6</v>
      </c>
      <c r="AD14" s="162">
        <v>19</v>
      </c>
      <c r="AE14" s="162">
        <v>4</v>
      </c>
      <c r="AF14" s="161">
        <v>14</v>
      </c>
      <c r="AG14" s="64">
        <f t="shared" si="2"/>
        <v>399</v>
      </c>
    </row>
    <row r="15" spans="1:33" ht="18.75" x14ac:dyDescent="0.25">
      <c r="A15" s="301" t="s">
        <v>133</v>
      </c>
      <c r="B15" s="249">
        <v>20</v>
      </c>
      <c r="C15" s="162">
        <v>17</v>
      </c>
      <c r="D15" s="162">
        <v>18</v>
      </c>
      <c r="E15" s="162">
        <v>11</v>
      </c>
      <c r="F15" s="162">
        <v>12</v>
      </c>
      <c r="G15" s="162">
        <v>6</v>
      </c>
      <c r="H15" s="162">
        <v>13</v>
      </c>
      <c r="I15" s="162">
        <v>13</v>
      </c>
      <c r="J15" s="162">
        <v>15</v>
      </c>
      <c r="K15" s="162">
        <v>13</v>
      </c>
      <c r="L15" s="162">
        <v>8</v>
      </c>
      <c r="M15" s="162">
        <v>12</v>
      </c>
      <c r="N15" s="162">
        <v>14</v>
      </c>
      <c r="O15" s="162">
        <v>10</v>
      </c>
      <c r="P15" s="162">
        <v>7</v>
      </c>
      <c r="Q15" s="162">
        <v>13</v>
      </c>
      <c r="R15" s="162">
        <v>14</v>
      </c>
      <c r="S15" s="162">
        <v>12</v>
      </c>
      <c r="T15" s="162">
        <v>5</v>
      </c>
      <c r="U15" s="162">
        <v>11</v>
      </c>
      <c r="V15" s="162">
        <v>5</v>
      </c>
      <c r="W15" s="162">
        <v>9</v>
      </c>
      <c r="X15" s="162">
        <v>13</v>
      </c>
      <c r="Y15" s="162">
        <v>11</v>
      </c>
      <c r="Z15" s="162">
        <v>10</v>
      </c>
      <c r="AA15" s="162">
        <v>7</v>
      </c>
      <c r="AB15" s="162">
        <v>6</v>
      </c>
      <c r="AC15" s="162">
        <v>15</v>
      </c>
      <c r="AD15" s="162">
        <v>16</v>
      </c>
      <c r="AE15" s="162">
        <v>6</v>
      </c>
      <c r="AF15" s="161">
        <v>14</v>
      </c>
      <c r="AG15" s="64">
        <f t="shared" si="2"/>
        <v>356</v>
      </c>
    </row>
    <row r="16" spans="1:33" ht="18.75" x14ac:dyDescent="0.25">
      <c r="A16" s="301" t="s">
        <v>132</v>
      </c>
      <c r="B16" s="249">
        <v>25</v>
      </c>
      <c r="C16" s="162">
        <v>18</v>
      </c>
      <c r="D16" s="162">
        <v>7</v>
      </c>
      <c r="E16" s="162">
        <v>13</v>
      </c>
      <c r="F16" s="162">
        <v>5</v>
      </c>
      <c r="G16" s="162">
        <v>10</v>
      </c>
      <c r="H16" s="162">
        <v>11</v>
      </c>
      <c r="I16" s="162">
        <v>13</v>
      </c>
      <c r="J16" s="162">
        <v>11</v>
      </c>
      <c r="K16" s="162">
        <v>12</v>
      </c>
      <c r="L16" s="162">
        <v>13</v>
      </c>
      <c r="M16" s="162">
        <v>10</v>
      </c>
      <c r="N16" s="162">
        <v>9</v>
      </c>
      <c r="O16" s="162">
        <v>13</v>
      </c>
      <c r="P16" s="162">
        <v>16</v>
      </c>
      <c r="Q16" s="162">
        <v>11</v>
      </c>
      <c r="R16" s="162">
        <v>10</v>
      </c>
      <c r="S16" s="162">
        <v>17</v>
      </c>
      <c r="T16" s="162">
        <v>8</v>
      </c>
      <c r="U16" s="162">
        <v>10</v>
      </c>
      <c r="V16" s="162">
        <v>8</v>
      </c>
      <c r="W16" s="162">
        <v>13</v>
      </c>
      <c r="X16" s="162">
        <v>9</v>
      </c>
      <c r="Y16" s="162">
        <v>8</v>
      </c>
      <c r="Z16" s="162">
        <v>10</v>
      </c>
      <c r="AA16" s="162">
        <v>13</v>
      </c>
      <c r="AB16" s="162">
        <v>5</v>
      </c>
      <c r="AC16" s="162">
        <v>10</v>
      </c>
      <c r="AD16" s="162">
        <v>8</v>
      </c>
      <c r="AE16" s="162">
        <v>7</v>
      </c>
      <c r="AF16" s="161">
        <v>10</v>
      </c>
      <c r="AG16" s="64">
        <f t="shared" si="2"/>
        <v>343</v>
      </c>
    </row>
    <row r="17" spans="1:33" ht="18.75" x14ac:dyDescent="0.25">
      <c r="A17" s="301" t="s">
        <v>131</v>
      </c>
      <c r="B17" s="249">
        <v>11</v>
      </c>
      <c r="C17" s="162">
        <v>6</v>
      </c>
      <c r="D17" s="162">
        <v>7</v>
      </c>
      <c r="E17" s="162">
        <v>12</v>
      </c>
      <c r="F17" s="162">
        <v>10</v>
      </c>
      <c r="G17" s="162">
        <v>6</v>
      </c>
      <c r="H17" s="162">
        <v>12</v>
      </c>
      <c r="I17" s="162">
        <v>10</v>
      </c>
      <c r="J17" s="162">
        <v>14</v>
      </c>
      <c r="K17" s="162">
        <v>13</v>
      </c>
      <c r="L17" s="162">
        <v>9</v>
      </c>
      <c r="M17" s="162">
        <v>16</v>
      </c>
      <c r="N17" s="162">
        <v>9</v>
      </c>
      <c r="O17" s="162">
        <v>14</v>
      </c>
      <c r="P17" s="162">
        <v>10</v>
      </c>
      <c r="Q17" s="162">
        <v>11</v>
      </c>
      <c r="R17" s="162">
        <v>13</v>
      </c>
      <c r="S17" s="162">
        <v>4</v>
      </c>
      <c r="T17" s="162">
        <v>8</v>
      </c>
      <c r="U17" s="162">
        <v>5</v>
      </c>
      <c r="V17" s="162">
        <v>12</v>
      </c>
      <c r="W17" s="162">
        <v>13</v>
      </c>
      <c r="X17" s="162">
        <v>8</v>
      </c>
      <c r="Y17" s="162">
        <v>19</v>
      </c>
      <c r="Z17" s="162">
        <v>5</v>
      </c>
      <c r="AA17" s="162">
        <v>5</v>
      </c>
      <c r="AB17" s="162">
        <v>4</v>
      </c>
      <c r="AC17" s="162">
        <v>8</v>
      </c>
      <c r="AD17" s="162">
        <v>14</v>
      </c>
      <c r="AE17" s="162">
        <v>9</v>
      </c>
      <c r="AF17" s="161">
        <v>9</v>
      </c>
      <c r="AG17" s="64">
        <f t="shared" si="2"/>
        <v>306</v>
      </c>
    </row>
    <row r="18" spans="1:33" ht="18.75" x14ac:dyDescent="0.25">
      <c r="A18" s="301" t="s">
        <v>130</v>
      </c>
      <c r="B18" s="249">
        <v>10</v>
      </c>
      <c r="C18" s="162">
        <v>8</v>
      </c>
      <c r="D18" s="162">
        <v>13</v>
      </c>
      <c r="E18" s="162">
        <v>14</v>
      </c>
      <c r="F18" s="162">
        <v>11</v>
      </c>
      <c r="G18" s="162">
        <v>11</v>
      </c>
      <c r="H18" s="162">
        <v>8</v>
      </c>
      <c r="I18" s="162">
        <v>13</v>
      </c>
      <c r="J18" s="162">
        <v>8</v>
      </c>
      <c r="K18" s="162">
        <v>2</v>
      </c>
      <c r="L18" s="162">
        <v>12</v>
      </c>
      <c r="M18" s="162">
        <v>6</v>
      </c>
      <c r="N18" s="162">
        <v>13</v>
      </c>
      <c r="O18" s="162">
        <v>5</v>
      </c>
      <c r="P18" s="162">
        <v>6</v>
      </c>
      <c r="Q18" s="162">
        <v>7</v>
      </c>
      <c r="R18" s="162">
        <v>6</v>
      </c>
      <c r="S18" s="162">
        <v>4</v>
      </c>
      <c r="T18" s="162">
        <v>6</v>
      </c>
      <c r="U18" s="162">
        <v>4</v>
      </c>
      <c r="V18" s="162">
        <v>13</v>
      </c>
      <c r="W18" s="162">
        <v>10</v>
      </c>
      <c r="X18" s="162">
        <v>12</v>
      </c>
      <c r="Y18" s="162">
        <v>7</v>
      </c>
      <c r="Z18" s="162">
        <v>6</v>
      </c>
      <c r="AA18" s="162">
        <v>7</v>
      </c>
      <c r="AB18" s="162">
        <v>7</v>
      </c>
      <c r="AC18" s="162">
        <v>5</v>
      </c>
      <c r="AD18" s="162">
        <v>6</v>
      </c>
      <c r="AE18" s="162">
        <v>2</v>
      </c>
      <c r="AF18" s="161">
        <v>4</v>
      </c>
      <c r="AG18" s="64">
        <f t="shared" si="2"/>
        <v>246</v>
      </c>
    </row>
    <row r="19" spans="1:33" ht="18.75" x14ac:dyDescent="0.25">
      <c r="A19" s="301" t="s">
        <v>129</v>
      </c>
      <c r="B19" s="249">
        <v>10</v>
      </c>
      <c r="C19" s="162">
        <v>2</v>
      </c>
      <c r="D19" s="162">
        <v>10</v>
      </c>
      <c r="E19" s="162">
        <v>3</v>
      </c>
      <c r="F19" s="162">
        <v>2</v>
      </c>
      <c r="G19" s="162">
        <v>7</v>
      </c>
      <c r="H19" s="162">
        <v>7</v>
      </c>
      <c r="I19" s="162">
        <v>3</v>
      </c>
      <c r="J19" s="162">
        <v>5</v>
      </c>
      <c r="K19" s="162">
        <v>12</v>
      </c>
      <c r="L19" s="162">
        <v>2</v>
      </c>
      <c r="M19" s="162">
        <v>8</v>
      </c>
      <c r="N19" s="162">
        <v>4</v>
      </c>
      <c r="O19" s="162">
        <v>2</v>
      </c>
      <c r="P19" s="162">
        <v>2</v>
      </c>
      <c r="Q19" s="162">
        <v>7</v>
      </c>
      <c r="R19" s="162">
        <v>11</v>
      </c>
      <c r="S19" s="162"/>
      <c r="T19" s="162">
        <v>3</v>
      </c>
      <c r="U19" s="162">
        <v>2</v>
      </c>
      <c r="V19" s="162">
        <v>2</v>
      </c>
      <c r="W19" s="162">
        <v>5</v>
      </c>
      <c r="X19" s="162">
        <v>4</v>
      </c>
      <c r="Y19" s="162">
        <v>2</v>
      </c>
      <c r="Z19" s="162">
        <v>3</v>
      </c>
      <c r="AA19" s="162">
        <v>2</v>
      </c>
      <c r="AB19" s="162">
        <v>2</v>
      </c>
      <c r="AC19" s="162">
        <v>4</v>
      </c>
      <c r="AD19" s="162">
        <v>5</v>
      </c>
      <c r="AE19" s="162">
        <v>8</v>
      </c>
      <c r="AF19" s="161">
        <v>5</v>
      </c>
      <c r="AG19" s="64">
        <f t="shared" si="2"/>
        <v>144</v>
      </c>
    </row>
    <row r="20" spans="1:33" ht="18.75" x14ac:dyDescent="0.25">
      <c r="A20" s="301" t="s">
        <v>128</v>
      </c>
      <c r="B20" s="249">
        <v>5</v>
      </c>
      <c r="C20" s="162">
        <v>3</v>
      </c>
      <c r="D20" s="162">
        <v>3</v>
      </c>
      <c r="E20" s="162">
        <v>2</v>
      </c>
      <c r="F20" s="162">
        <v>1</v>
      </c>
      <c r="G20" s="162">
        <v>2</v>
      </c>
      <c r="H20" s="162">
        <v>3</v>
      </c>
      <c r="I20" s="162">
        <v>5</v>
      </c>
      <c r="J20" s="162">
        <v>3</v>
      </c>
      <c r="K20" s="162">
        <v>5</v>
      </c>
      <c r="L20" s="162">
        <v>11</v>
      </c>
      <c r="M20" s="162">
        <v>3</v>
      </c>
      <c r="N20" s="162">
        <v>4</v>
      </c>
      <c r="O20" s="162">
        <v>1</v>
      </c>
      <c r="P20" s="162">
        <v>5</v>
      </c>
      <c r="Q20" s="162">
        <v>3</v>
      </c>
      <c r="R20" s="162">
        <v>2</v>
      </c>
      <c r="S20" s="162"/>
      <c r="T20" s="162">
        <v>6</v>
      </c>
      <c r="U20" s="162">
        <v>5</v>
      </c>
      <c r="V20" s="162">
        <v>2</v>
      </c>
      <c r="W20" s="162">
        <v>5</v>
      </c>
      <c r="X20" s="162">
        <v>6</v>
      </c>
      <c r="Y20" s="162">
        <v>3</v>
      </c>
      <c r="Z20" s="162">
        <v>8</v>
      </c>
      <c r="AA20" s="162">
        <v>5</v>
      </c>
      <c r="AB20" s="162">
        <v>5</v>
      </c>
      <c r="AC20" s="162">
        <v>3</v>
      </c>
      <c r="AD20" s="162">
        <v>2</v>
      </c>
      <c r="AE20" s="162">
        <v>1</v>
      </c>
      <c r="AF20" s="161">
        <v>1</v>
      </c>
      <c r="AG20" s="64">
        <f t="shared" si="2"/>
        <v>113</v>
      </c>
    </row>
    <row r="21" spans="1:33" ht="18.75" x14ac:dyDescent="0.25">
      <c r="A21" s="301" t="s">
        <v>127</v>
      </c>
      <c r="B21" s="249">
        <v>1</v>
      </c>
      <c r="C21" s="162">
        <v>2</v>
      </c>
      <c r="D21" s="162">
        <v>5</v>
      </c>
      <c r="E21" s="162">
        <v>4</v>
      </c>
      <c r="F21" s="162">
        <v>6</v>
      </c>
      <c r="G21" s="162">
        <v>4</v>
      </c>
      <c r="H21" s="162">
        <v>5</v>
      </c>
      <c r="I21" s="162">
        <v>1</v>
      </c>
      <c r="J21" s="162">
        <v>4</v>
      </c>
      <c r="K21" s="162">
        <v>1</v>
      </c>
      <c r="L21" s="162">
        <v>1</v>
      </c>
      <c r="M21" s="162">
        <v>1</v>
      </c>
      <c r="N21" s="162">
        <v>4</v>
      </c>
      <c r="O21" s="162">
        <v>1</v>
      </c>
      <c r="P21" s="162">
        <v>4</v>
      </c>
      <c r="Q21" s="162">
        <v>5</v>
      </c>
      <c r="R21" s="162">
        <v>4</v>
      </c>
      <c r="S21" s="162">
        <v>1</v>
      </c>
      <c r="T21" s="162">
        <v>3</v>
      </c>
      <c r="U21" s="162">
        <v>1</v>
      </c>
      <c r="V21" s="162">
        <v>7</v>
      </c>
      <c r="W21" s="162">
        <v>1</v>
      </c>
      <c r="X21" s="162">
        <v>3</v>
      </c>
      <c r="Y21" s="162">
        <v>1</v>
      </c>
      <c r="Z21" s="162"/>
      <c r="AA21" s="162"/>
      <c r="AB21" s="162"/>
      <c r="AC21" s="162">
        <v>5</v>
      </c>
      <c r="AD21" s="162">
        <v>4</v>
      </c>
      <c r="AE21" s="162"/>
      <c r="AF21" s="161">
        <v>2</v>
      </c>
      <c r="AG21" s="64">
        <f t="shared" si="2"/>
        <v>81</v>
      </c>
    </row>
    <row r="22" spans="1:33" ht="18.75" x14ac:dyDescent="0.25">
      <c r="A22" s="301" t="s">
        <v>126</v>
      </c>
      <c r="B22" s="249">
        <v>1</v>
      </c>
      <c r="C22" s="162">
        <v>1</v>
      </c>
      <c r="D22" s="162">
        <v>1</v>
      </c>
      <c r="E22" s="162">
        <v>4</v>
      </c>
      <c r="F22" s="162">
        <v>5</v>
      </c>
      <c r="G22" s="162">
        <v>3</v>
      </c>
      <c r="H22" s="162">
        <v>3</v>
      </c>
      <c r="I22" s="162"/>
      <c r="J22" s="162">
        <v>2</v>
      </c>
      <c r="K22" s="162">
        <v>1</v>
      </c>
      <c r="L22" s="162">
        <v>2</v>
      </c>
      <c r="M22" s="162">
        <v>1</v>
      </c>
      <c r="N22" s="162">
        <v>2</v>
      </c>
      <c r="O22" s="162"/>
      <c r="P22" s="162"/>
      <c r="Q22" s="162"/>
      <c r="R22" s="162">
        <v>1</v>
      </c>
      <c r="S22" s="162"/>
      <c r="T22" s="162">
        <v>3</v>
      </c>
      <c r="U22" s="162">
        <v>2</v>
      </c>
      <c r="V22" s="162">
        <v>1</v>
      </c>
      <c r="W22" s="162">
        <v>2</v>
      </c>
      <c r="X22" s="162"/>
      <c r="Y22" s="162">
        <v>2</v>
      </c>
      <c r="Z22" s="162"/>
      <c r="AA22" s="162">
        <v>2</v>
      </c>
      <c r="AB22" s="162">
        <v>3</v>
      </c>
      <c r="AC22" s="162">
        <v>2</v>
      </c>
      <c r="AD22" s="162">
        <v>1</v>
      </c>
      <c r="AE22" s="162">
        <v>1</v>
      </c>
      <c r="AF22" s="161">
        <v>2</v>
      </c>
      <c r="AG22" s="64">
        <f t="shared" si="2"/>
        <v>48</v>
      </c>
    </row>
    <row r="23" spans="1:33" ht="18.75" x14ac:dyDescent="0.25">
      <c r="A23" s="301" t="s">
        <v>125</v>
      </c>
      <c r="B23" s="249">
        <v>1</v>
      </c>
      <c r="C23" s="162">
        <v>1</v>
      </c>
      <c r="D23" s="162">
        <v>3</v>
      </c>
      <c r="E23" s="162"/>
      <c r="F23" s="162">
        <v>4</v>
      </c>
      <c r="G23" s="162">
        <v>1</v>
      </c>
      <c r="H23" s="162">
        <v>1</v>
      </c>
      <c r="I23" s="162"/>
      <c r="J23" s="162">
        <v>2</v>
      </c>
      <c r="K23" s="162">
        <v>2</v>
      </c>
      <c r="L23" s="162"/>
      <c r="M23" s="162">
        <v>1</v>
      </c>
      <c r="N23" s="162"/>
      <c r="O23" s="162">
        <v>1</v>
      </c>
      <c r="P23" s="162">
        <v>4</v>
      </c>
      <c r="Q23" s="162">
        <v>1</v>
      </c>
      <c r="R23" s="162">
        <v>1</v>
      </c>
      <c r="S23" s="162"/>
      <c r="T23" s="162">
        <v>1</v>
      </c>
      <c r="U23" s="162">
        <v>3</v>
      </c>
      <c r="V23" s="162">
        <v>3</v>
      </c>
      <c r="W23" s="162">
        <v>4</v>
      </c>
      <c r="X23" s="162"/>
      <c r="Y23" s="162">
        <v>1</v>
      </c>
      <c r="Z23" s="162"/>
      <c r="AA23" s="162">
        <v>2</v>
      </c>
      <c r="AB23" s="162">
        <v>2</v>
      </c>
      <c r="AC23" s="162"/>
      <c r="AD23" s="162"/>
      <c r="AE23" s="162"/>
      <c r="AF23" s="161"/>
      <c r="AG23" s="64">
        <f t="shared" si="2"/>
        <v>39</v>
      </c>
    </row>
    <row r="24" spans="1:33" ht="18.75" x14ac:dyDescent="0.25">
      <c r="A24" s="301" t="s">
        <v>124</v>
      </c>
      <c r="B24" s="249"/>
      <c r="C24" s="162"/>
      <c r="D24" s="162">
        <v>3</v>
      </c>
      <c r="E24" s="162">
        <v>1</v>
      </c>
      <c r="F24" s="162"/>
      <c r="G24" s="162"/>
      <c r="H24" s="162"/>
      <c r="I24" s="162">
        <v>1</v>
      </c>
      <c r="J24" s="162">
        <v>2</v>
      </c>
      <c r="K24" s="162"/>
      <c r="L24" s="162"/>
      <c r="M24" s="162">
        <v>2</v>
      </c>
      <c r="N24" s="162"/>
      <c r="O24" s="162">
        <v>1</v>
      </c>
      <c r="P24" s="162">
        <v>2</v>
      </c>
      <c r="Q24" s="162"/>
      <c r="R24" s="162"/>
      <c r="S24" s="162"/>
      <c r="T24" s="162">
        <v>2</v>
      </c>
      <c r="U24" s="162"/>
      <c r="V24" s="162"/>
      <c r="W24" s="162"/>
      <c r="X24" s="162">
        <v>1</v>
      </c>
      <c r="Y24" s="162">
        <v>1</v>
      </c>
      <c r="Z24" s="162"/>
      <c r="AA24" s="162"/>
      <c r="AB24" s="162">
        <v>1</v>
      </c>
      <c r="AC24" s="162"/>
      <c r="AD24" s="162"/>
      <c r="AE24" s="162"/>
      <c r="AF24" s="161"/>
      <c r="AG24" s="64">
        <f t="shared" si="2"/>
        <v>17</v>
      </c>
    </row>
    <row r="25" spans="1:33" ht="18.75" x14ac:dyDescent="0.25">
      <c r="A25" s="301" t="s">
        <v>123</v>
      </c>
      <c r="B25" s="249">
        <v>2</v>
      </c>
      <c r="C25" s="162"/>
      <c r="D25" s="162"/>
      <c r="E25" s="162">
        <v>1</v>
      </c>
      <c r="F25" s="162"/>
      <c r="G25" s="162"/>
      <c r="H25" s="162">
        <v>1</v>
      </c>
      <c r="I25" s="162">
        <v>2</v>
      </c>
      <c r="J25" s="162">
        <v>2</v>
      </c>
      <c r="K25" s="162"/>
      <c r="L25" s="162">
        <v>1</v>
      </c>
      <c r="M25" s="162">
        <v>2</v>
      </c>
      <c r="N25" s="162">
        <v>4</v>
      </c>
      <c r="O25" s="162">
        <v>1</v>
      </c>
      <c r="P25" s="162"/>
      <c r="Q25" s="162"/>
      <c r="R25" s="162">
        <v>1</v>
      </c>
      <c r="S25" s="162">
        <v>1</v>
      </c>
      <c r="T25" s="162">
        <v>1</v>
      </c>
      <c r="U25" s="162"/>
      <c r="V25" s="162"/>
      <c r="W25" s="162"/>
      <c r="X25" s="162">
        <v>1</v>
      </c>
      <c r="Y25" s="162"/>
      <c r="Z25" s="162"/>
      <c r="AA25" s="162">
        <v>1</v>
      </c>
      <c r="AB25" s="162">
        <v>1</v>
      </c>
      <c r="AC25" s="162">
        <v>3</v>
      </c>
      <c r="AD25" s="162"/>
      <c r="AE25" s="162"/>
      <c r="AF25" s="161">
        <v>2</v>
      </c>
      <c r="AG25" s="64">
        <f t="shared" si="2"/>
        <v>27</v>
      </c>
    </row>
    <row r="26" spans="1:33" ht="18.75" x14ac:dyDescent="0.25">
      <c r="A26" s="301" t="s">
        <v>122</v>
      </c>
      <c r="B26" s="249">
        <v>1</v>
      </c>
      <c r="C26" s="162">
        <v>1</v>
      </c>
      <c r="D26" s="162">
        <v>1</v>
      </c>
      <c r="E26" s="162"/>
      <c r="F26" s="162">
        <v>1</v>
      </c>
      <c r="G26" s="162"/>
      <c r="H26" s="162">
        <v>3</v>
      </c>
      <c r="I26" s="162"/>
      <c r="J26" s="162"/>
      <c r="K26" s="162">
        <v>4</v>
      </c>
      <c r="L26" s="162"/>
      <c r="M26" s="162"/>
      <c r="N26" s="162"/>
      <c r="O26" s="162">
        <v>2</v>
      </c>
      <c r="P26" s="162">
        <v>1</v>
      </c>
      <c r="Q26" s="162">
        <v>1</v>
      </c>
      <c r="R26" s="162"/>
      <c r="S26" s="162"/>
      <c r="T26" s="162"/>
      <c r="U26" s="162">
        <v>1</v>
      </c>
      <c r="V26" s="162"/>
      <c r="W26" s="162">
        <v>1</v>
      </c>
      <c r="X26" s="162">
        <v>1</v>
      </c>
      <c r="Y26" s="162"/>
      <c r="Z26" s="162">
        <v>1</v>
      </c>
      <c r="AA26" s="162"/>
      <c r="AB26" s="162"/>
      <c r="AC26" s="162">
        <v>2</v>
      </c>
      <c r="AD26" s="162"/>
      <c r="AE26" s="162"/>
      <c r="AF26" s="161"/>
      <c r="AG26" s="64">
        <f t="shared" si="2"/>
        <v>21</v>
      </c>
    </row>
    <row r="27" spans="1:33" ht="19.5" thickBot="1" x14ac:dyDescent="0.3">
      <c r="A27" s="302" t="s">
        <v>121</v>
      </c>
      <c r="B27" s="250"/>
      <c r="C27" s="212">
        <v>1</v>
      </c>
      <c r="D27" s="212"/>
      <c r="E27" s="212"/>
      <c r="F27" s="212">
        <v>1</v>
      </c>
      <c r="G27" s="212">
        <v>2</v>
      </c>
      <c r="H27" s="212"/>
      <c r="I27" s="212"/>
      <c r="J27" s="212"/>
      <c r="K27" s="212">
        <v>1</v>
      </c>
      <c r="L27" s="212">
        <v>2</v>
      </c>
      <c r="M27" s="212">
        <v>1</v>
      </c>
      <c r="N27" s="212"/>
      <c r="O27" s="212"/>
      <c r="P27" s="212">
        <v>2</v>
      </c>
      <c r="Q27" s="212"/>
      <c r="R27" s="212"/>
      <c r="S27" s="212"/>
      <c r="T27" s="212"/>
      <c r="U27" s="212"/>
      <c r="V27" s="212"/>
      <c r="W27" s="212">
        <v>2</v>
      </c>
      <c r="X27" s="212"/>
      <c r="Y27" s="212"/>
      <c r="Z27" s="212">
        <v>3</v>
      </c>
      <c r="AA27" s="212">
        <v>3</v>
      </c>
      <c r="AB27" s="212">
        <v>3</v>
      </c>
      <c r="AC27" s="212">
        <v>1</v>
      </c>
      <c r="AD27" s="212">
        <v>1</v>
      </c>
      <c r="AE27" s="212">
        <v>1</v>
      </c>
      <c r="AF27" s="211"/>
      <c r="AG27" s="64">
        <f t="shared" si="2"/>
        <v>24</v>
      </c>
    </row>
    <row r="28" spans="1:33" ht="18.75" x14ac:dyDescent="0.25">
      <c r="A28" s="303" t="s">
        <v>146</v>
      </c>
      <c r="B28" s="251">
        <f t="shared" ref="B28:AF28" si="3">SUM(B29:B52)</f>
        <v>160</v>
      </c>
      <c r="C28" s="209">
        <f t="shared" si="3"/>
        <v>118</v>
      </c>
      <c r="D28" s="209">
        <f t="shared" si="3"/>
        <v>151</v>
      </c>
      <c r="E28" s="209">
        <f t="shared" si="3"/>
        <v>130</v>
      </c>
      <c r="F28" s="209">
        <f t="shared" si="3"/>
        <v>124</v>
      </c>
      <c r="G28" s="209">
        <f t="shared" si="3"/>
        <v>149</v>
      </c>
      <c r="H28" s="209">
        <f t="shared" si="3"/>
        <v>158</v>
      </c>
      <c r="I28" s="209">
        <f t="shared" si="3"/>
        <v>150</v>
      </c>
      <c r="J28" s="209">
        <f t="shared" si="3"/>
        <v>139</v>
      </c>
      <c r="K28" s="209">
        <f t="shared" si="3"/>
        <v>147</v>
      </c>
      <c r="L28" s="209">
        <f t="shared" si="3"/>
        <v>143</v>
      </c>
      <c r="M28" s="209">
        <f t="shared" si="3"/>
        <v>137</v>
      </c>
      <c r="N28" s="209">
        <f t="shared" si="3"/>
        <v>167</v>
      </c>
      <c r="O28" s="209">
        <f t="shared" si="3"/>
        <v>159</v>
      </c>
      <c r="P28" s="209">
        <f t="shared" si="3"/>
        <v>140</v>
      </c>
      <c r="Q28" s="209">
        <f t="shared" si="3"/>
        <v>151</v>
      </c>
      <c r="R28" s="209">
        <f t="shared" si="3"/>
        <v>136</v>
      </c>
      <c r="S28" s="209">
        <f t="shared" si="3"/>
        <v>124</v>
      </c>
      <c r="T28" s="209">
        <f t="shared" si="3"/>
        <v>121</v>
      </c>
      <c r="U28" s="209">
        <f t="shared" si="3"/>
        <v>164</v>
      </c>
      <c r="V28" s="209">
        <f t="shared" si="3"/>
        <v>143</v>
      </c>
      <c r="W28" s="209">
        <f t="shared" si="3"/>
        <v>171</v>
      </c>
      <c r="X28" s="209">
        <f t="shared" si="3"/>
        <v>152</v>
      </c>
      <c r="Y28" s="209">
        <f t="shared" si="3"/>
        <v>133</v>
      </c>
      <c r="Z28" s="209">
        <f t="shared" si="3"/>
        <v>155</v>
      </c>
      <c r="AA28" s="209">
        <f t="shared" si="3"/>
        <v>153</v>
      </c>
      <c r="AB28" s="209">
        <f t="shared" si="3"/>
        <v>114</v>
      </c>
      <c r="AC28" s="209">
        <f t="shared" si="3"/>
        <v>158</v>
      </c>
      <c r="AD28" s="209">
        <f t="shared" si="3"/>
        <v>162</v>
      </c>
      <c r="AE28" s="209">
        <f t="shared" si="3"/>
        <v>120</v>
      </c>
      <c r="AF28" s="209">
        <f t="shared" si="3"/>
        <v>119</v>
      </c>
      <c r="AG28" s="164">
        <f t="shared" si="2"/>
        <v>4448</v>
      </c>
    </row>
    <row r="29" spans="1:33" ht="18.75" x14ac:dyDescent="0.25">
      <c r="A29" s="301" t="s">
        <v>144</v>
      </c>
      <c r="B29" s="249"/>
      <c r="C29" s="162">
        <v>1</v>
      </c>
      <c r="D29" s="162">
        <v>3</v>
      </c>
      <c r="E29" s="162">
        <v>1</v>
      </c>
      <c r="F29" s="162"/>
      <c r="G29" s="162"/>
      <c r="H29" s="162"/>
      <c r="I29" s="162">
        <v>2</v>
      </c>
      <c r="J29" s="162"/>
      <c r="K29" s="162">
        <v>1</v>
      </c>
      <c r="L29" s="162">
        <v>2</v>
      </c>
      <c r="M29" s="162">
        <v>1</v>
      </c>
      <c r="N29" s="162">
        <v>1</v>
      </c>
      <c r="O29" s="162"/>
      <c r="P29" s="162">
        <v>1</v>
      </c>
      <c r="Q29" s="162"/>
      <c r="R29" s="162">
        <v>1</v>
      </c>
      <c r="S29" s="162">
        <v>3</v>
      </c>
      <c r="T29" s="162">
        <v>2</v>
      </c>
      <c r="U29" s="162">
        <v>1</v>
      </c>
      <c r="V29" s="162">
        <v>1</v>
      </c>
      <c r="W29" s="162">
        <v>2</v>
      </c>
      <c r="X29" s="162">
        <v>1</v>
      </c>
      <c r="Y29" s="162"/>
      <c r="Z29" s="162"/>
      <c r="AA29" s="162">
        <v>2</v>
      </c>
      <c r="AB29" s="162">
        <v>1</v>
      </c>
      <c r="AC29" s="162">
        <v>1</v>
      </c>
      <c r="AD29" s="162">
        <v>4</v>
      </c>
      <c r="AE29" s="162">
        <v>1</v>
      </c>
      <c r="AF29" s="161">
        <v>1</v>
      </c>
      <c r="AG29" s="64">
        <f t="shared" si="2"/>
        <v>34</v>
      </c>
    </row>
    <row r="30" spans="1:33" ht="18.75" x14ac:dyDescent="0.25">
      <c r="A30" s="301" t="s">
        <v>143</v>
      </c>
      <c r="B30" s="249">
        <v>5</v>
      </c>
      <c r="C30" s="162">
        <v>1</v>
      </c>
      <c r="D30" s="162">
        <v>3</v>
      </c>
      <c r="E30" s="162">
        <v>2</v>
      </c>
      <c r="F30" s="162">
        <v>4</v>
      </c>
      <c r="G30" s="162">
        <v>5</v>
      </c>
      <c r="H30" s="162">
        <v>6</v>
      </c>
      <c r="I30" s="162">
        <v>6</v>
      </c>
      <c r="J30" s="162">
        <v>3</v>
      </c>
      <c r="K30" s="162">
        <v>3</v>
      </c>
      <c r="L30" s="162">
        <v>3</v>
      </c>
      <c r="M30" s="162">
        <v>4</v>
      </c>
      <c r="N30" s="162">
        <v>4</v>
      </c>
      <c r="O30" s="162">
        <v>2</v>
      </c>
      <c r="P30" s="162">
        <v>5</v>
      </c>
      <c r="Q30" s="162">
        <v>8</v>
      </c>
      <c r="R30" s="162">
        <v>3</v>
      </c>
      <c r="S30" s="162">
        <v>5</v>
      </c>
      <c r="T30" s="162">
        <v>3</v>
      </c>
      <c r="U30" s="162">
        <v>7</v>
      </c>
      <c r="V30" s="162">
        <v>1</v>
      </c>
      <c r="W30" s="162">
        <v>7</v>
      </c>
      <c r="X30" s="162">
        <v>2</v>
      </c>
      <c r="Y30" s="162">
        <v>4</v>
      </c>
      <c r="Z30" s="162">
        <v>8</v>
      </c>
      <c r="AA30" s="162">
        <v>5</v>
      </c>
      <c r="AB30" s="162">
        <v>1</v>
      </c>
      <c r="AC30" s="162">
        <v>5</v>
      </c>
      <c r="AD30" s="162">
        <v>4</v>
      </c>
      <c r="AE30" s="162">
        <v>6</v>
      </c>
      <c r="AF30" s="161"/>
      <c r="AG30" s="64">
        <f t="shared" si="2"/>
        <v>125</v>
      </c>
    </row>
    <row r="31" spans="1:33" ht="18.75" x14ac:dyDescent="0.25">
      <c r="A31" s="301" t="s">
        <v>142</v>
      </c>
      <c r="B31" s="249">
        <v>8</v>
      </c>
      <c r="C31" s="162">
        <v>3</v>
      </c>
      <c r="D31" s="162">
        <v>1</v>
      </c>
      <c r="E31" s="162">
        <v>7</v>
      </c>
      <c r="F31" s="162">
        <v>2</v>
      </c>
      <c r="G31" s="162"/>
      <c r="H31" s="162">
        <v>9</v>
      </c>
      <c r="I31" s="162">
        <v>3</v>
      </c>
      <c r="J31" s="162">
        <v>3</v>
      </c>
      <c r="K31" s="162">
        <v>2</v>
      </c>
      <c r="L31" s="162">
        <v>5</v>
      </c>
      <c r="M31" s="162">
        <v>4</v>
      </c>
      <c r="N31" s="162">
        <v>5</v>
      </c>
      <c r="O31" s="162">
        <v>6</v>
      </c>
      <c r="P31" s="162">
        <v>5</v>
      </c>
      <c r="Q31" s="162">
        <v>3</v>
      </c>
      <c r="R31" s="162">
        <v>2</v>
      </c>
      <c r="S31" s="162">
        <v>7</v>
      </c>
      <c r="T31" s="162">
        <v>4</v>
      </c>
      <c r="U31" s="162">
        <v>7</v>
      </c>
      <c r="V31" s="162">
        <v>1</v>
      </c>
      <c r="W31" s="162">
        <v>4</v>
      </c>
      <c r="X31" s="162">
        <v>6</v>
      </c>
      <c r="Y31" s="162">
        <v>4</v>
      </c>
      <c r="Z31" s="162">
        <v>5</v>
      </c>
      <c r="AA31" s="162">
        <v>3</v>
      </c>
      <c r="AB31" s="162">
        <v>6</v>
      </c>
      <c r="AC31" s="162">
        <v>5</v>
      </c>
      <c r="AD31" s="162">
        <v>7</v>
      </c>
      <c r="AE31" s="162">
        <v>4</v>
      </c>
      <c r="AF31" s="161">
        <v>4</v>
      </c>
      <c r="AG31" s="64">
        <f t="shared" si="2"/>
        <v>135</v>
      </c>
    </row>
    <row r="32" spans="1:33" ht="18.75" x14ac:dyDescent="0.25">
      <c r="A32" s="301" t="s">
        <v>141</v>
      </c>
      <c r="B32" s="249">
        <v>4</v>
      </c>
      <c r="C32" s="162">
        <v>1</v>
      </c>
      <c r="D32" s="162">
        <v>2</v>
      </c>
      <c r="E32" s="162">
        <v>4</v>
      </c>
      <c r="F32" s="162">
        <v>3</v>
      </c>
      <c r="G32" s="162">
        <v>7</v>
      </c>
      <c r="H32" s="162">
        <v>10</v>
      </c>
      <c r="I32" s="162">
        <v>8</v>
      </c>
      <c r="J32" s="162">
        <v>5</v>
      </c>
      <c r="K32" s="162">
        <v>3</v>
      </c>
      <c r="L32" s="162">
        <v>2</v>
      </c>
      <c r="M32" s="162">
        <v>2</v>
      </c>
      <c r="N32" s="162">
        <v>6</v>
      </c>
      <c r="O32" s="162">
        <v>10</v>
      </c>
      <c r="P32" s="162">
        <v>6</v>
      </c>
      <c r="Q32" s="162">
        <v>6</v>
      </c>
      <c r="R32" s="162">
        <v>1</v>
      </c>
      <c r="S32" s="162">
        <v>6</v>
      </c>
      <c r="T32" s="162">
        <v>2</v>
      </c>
      <c r="U32" s="162">
        <v>12</v>
      </c>
      <c r="V32" s="162">
        <v>5</v>
      </c>
      <c r="W32" s="162">
        <v>7</v>
      </c>
      <c r="X32" s="162">
        <v>3</v>
      </c>
      <c r="Y32" s="162">
        <v>3</v>
      </c>
      <c r="Z32" s="162">
        <v>7</v>
      </c>
      <c r="AA32" s="162">
        <v>6</v>
      </c>
      <c r="AB32" s="162">
        <v>8</v>
      </c>
      <c r="AC32" s="162">
        <v>7</v>
      </c>
      <c r="AD32" s="162">
        <v>8</v>
      </c>
      <c r="AE32" s="162">
        <v>4</v>
      </c>
      <c r="AF32" s="161">
        <v>6</v>
      </c>
      <c r="AG32" s="64">
        <f t="shared" si="2"/>
        <v>164</v>
      </c>
    </row>
    <row r="33" spans="1:33" ht="18.75" x14ac:dyDescent="0.25">
      <c r="A33" s="301" t="s">
        <v>140</v>
      </c>
      <c r="B33" s="249">
        <v>5</v>
      </c>
      <c r="C33" s="162">
        <v>3</v>
      </c>
      <c r="D33" s="162">
        <v>3</v>
      </c>
      <c r="E33" s="162">
        <v>6</v>
      </c>
      <c r="F33" s="162"/>
      <c r="G33" s="162">
        <v>11</v>
      </c>
      <c r="H33" s="162">
        <v>11</v>
      </c>
      <c r="I33" s="162">
        <v>7</v>
      </c>
      <c r="J33" s="162">
        <v>6</v>
      </c>
      <c r="K33" s="162">
        <v>2</v>
      </c>
      <c r="L33" s="162">
        <v>6</v>
      </c>
      <c r="M33" s="162">
        <v>3</v>
      </c>
      <c r="N33" s="162">
        <v>12</v>
      </c>
      <c r="O33" s="162">
        <v>8</v>
      </c>
      <c r="P33" s="162">
        <v>4</v>
      </c>
      <c r="Q33" s="162">
        <v>6</v>
      </c>
      <c r="R33" s="162">
        <v>3</v>
      </c>
      <c r="S33" s="162">
        <v>4</v>
      </c>
      <c r="T33" s="162">
        <v>7</v>
      </c>
      <c r="U33" s="162">
        <v>10</v>
      </c>
      <c r="V33" s="162">
        <v>8</v>
      </c>
      <c r="W33" s="162">
        <v>7</v>
      </c>
      <c r="X33" s="162">
        <v>7</v>
      </c>
      <c r="Y33" s="162">
        <v>6</v>
      </c>
      <c r="Z33" s="162">
        <v>9</v>
      </c>
      <c r="AA33" s="162">
        <v>5</v>
      </c>
      <c r="AB33" s="162">
        <v>5</v>
      </c>
      <c r="AC33" s="162">
        <v>9</v>
      </c>
      <c r="AD33" s="162">
        <v>8</v>
      </c>
      <c r="AE33" s="162">
        <v>6</v>
      </c>
      <c r="AF33" s="161">
        <v>3</v>
      </c>
      <c r="AG33" s="64">
        <f t="shared" si="2"/>
        <v>190</v>
      </c>
    </row>
    <row r="34" spans="1:33" ht="18.75" x14ac:dyDescent="0.25">
      <c r="A34" s="301" t="s">
        <v>139</v>
      </c>
      <c r="B34" s="249">
        <v>4</v>
      </c>
      <c r="C34" s="162">
        <v>2</v>
      </c>
      <c r="D34" s="162">
        <v>6</v>
      </c>
      <c r="E34" s="162">
        <v>2</v>
      </c>
      <c r="F34" s="162">
        <v>4</v>
      </c>
      <c r="G34" s="162">
        <v>10</v>
      </c>
      <c r="H34" s="162">
        <v>9</v>
      </c>
      <c r="I34" s="162">
        <v>1</v>
      </c>
      <c r="J34" s="162">
        <v>1</v>
      </c>
      <c r="K34" s="162">
        <v>2</v>
      </c>
      <c r="L34" s="162">
        <v>5</v>
      </c>
      <c r="M34" s="162"/>
      <c r="N34" s="162">
        <v>12</v>
      </c>
      <c r="O34" s="162">
        <v>14</v>
      </c>
      <c r="P34" s="162">
        <v>2</v>
      </c>
      <c r="Q34" s="162">
        <v>5</v>
      </c>
      <c r="R34" s="162">
        <v>5</v>
      </c>
      <c r="S34" s="162">
        <v>5</v>
      </c>
      <c r="T34" s="162">
        <v>1</v>
      </c>
      <c r="U34" s="162">
        <v>12</v>
      </c>
      <c r="V34" s="162">
        <v>10</v>
      </c>
      <c r="W34" s="162">
        <v>5</v>
      </c>
      <c r="X34" s="162">
        <v>7</v>
      </c>
      <c r="Y34" s="162">
        <v>3</v>
      </c>
      <c r="Z34" s="162">
        <v>7</v>
      </c>
      <c r="AA34" s="162">
        <v>2</v>
      </c>
      <c r="AB34" s="162">
        <v>13</v>
      </c>
      <c r="AC34" s="162">
        <v>2</v>
      </c>
      <c r="AD34" s="162">
        <v>5</v>
      </c>
      <c r="AE34" s="162">
        <v>5</v>
      </c>
      <c r="AF34" s="161">
        <v>2</v>
      </c>
      <c r="AG34" s="64">
        <f t="shared" si="2"/>
        <v>163</v>
      </c>
    </row>
    <row r="35" spans="1:33" ht="18.75" x14ac:dyDescent="0.25">
      <c r="A35" s="301" t="s">
        <v>138</v>
      </c>
      <c r="B35" s="249">
        <v>3</v>
      </c>
      <c r="C35" s="162">
        <v>3</v>
      </c>
      <c r="D35" s="162">
        <v>4</v>
      </c>
      <c r="E35" s="162">
        <v>2</v>
      </c>
      <c r="F35" s="162">
        <v>4</v>
      </c>
      <c r="G35" s="162">
        <v>12</v>
      </c>
      <c r="H35" s="162">
        <v>8</v>
      </c>
      <c r="I35" s="162">
        <v>5</v>
      </c>
      <c r="J35" s="162">
        <v>3</v>
      </c>
      <c r="K35" s="162">
        <v>2</v>
      </c>
      <c r="L35" s="162">
        <v>3</v>
      </c>
      <c r="M35" s="162">
        <v>1</v>
      </c>
      <c r="N35" s="162">
        <v>12</v>
      </c>
      <c r="O35" s="162">
        <v>12</v>
      </c>
      <c r="P35" s="162">
        <v>2</v>
      </c>
      <c r="Q35" s="162">
        <v>3</v>
      </c>
      <c r="R35" s="162"/>
      <c r="S35" s="162">
        <v>1</v>
      </c>
      <c r="T35" s="162">
        <v>4</v>
      </c>
      <c r="U35" s="162">
        <v>9</v>
      </c>
      <c r="V35" s="162">
        <v>6</v>
      </c>
      <c r="W35" s="162">
        <v>3</v>
      </c>
      <c r="X35" s="162">
        <v>6</v>
      </c>
      <c r="Y35" s="162">
        <v>4</v>
      </c>
      <c r="Z35" s="162">
        <v>5</v>
      </c>
      <c r="AA35" s="162">
        <v>7</v>
      </c>
      <c r="AB35" s="162">
        <v>5</v>
      </c>
      <c r="AC35" s="162">
        <v>9</v>
      </c>
      <c r="AD35" s="162">
        <v>7</v>
      </c>
      <c r="AE35" s="162">
        <v>5</v>
      </c>
      <c r="AF35" s="161">
        <v>5</v>
      </c>
      <c r="AG35" s="64">
        <f t="shared" si="2"/>
        <v>155</v>
      </c>
    </row>
    <row r="36" spans="1:33" ht="18.75" x14ac:dyDescent="0.25">
      <c r="A36" s="301" t="s">
        <v>137</v>
      </c>
      <c r="B36" s="249">
        <v>6</v>
      </c>
      <c r="C36" s="162">
        <v>2</v>
      </c>
      <c r="D36" s="162">
        <v>8</v>
      </c>
      <c r="E36" s="162">
        <v>2</v>
      </c>
      <c r="F36" s="162"/>
      <c r="G36" s="162">
        <v>8</v>
      </c>
      <c r="H36" s="162">
        <v>4</v>
      </c>
      <c r="I36" s="162">
        <v>5</v>
      </c>
      <c r="J36" s="162">
        <v>4</v>
      </c>
      <c r="K36" s="162">
        <v>3</v>
      </c>
      <c r="L36" s="162">
        <v>4</v>
      </c>
      <c r="M36" s="162">
        <v>1</v>
      </c>
      <c r="N36" s="162">
        <v>10</v>
      </c>
      <c r="O36" s="162">
        <v>14</v>
      </c>
      <c r="P36" s="162">
        <v>6</v>
      </c>
      <c r="Q36" s="162">
        <v>7</v>
      </c>
      <c r="R36" s="162">
        <v>4</v>
      </c>
      <c r="S36" s="162">
        <v>8</v>
      </c>
      <c r="T36" s="162">
        <v>5</v>
      </c>
      <c r="U36" s="162">
        <v>13</v>
      </c>
      <c r="V36" s="162">
        <v>13</v>
      </c>
      <c r="W36" s="162">
        <v>6</v>
      </c>
      <c r="X36" s="162">
        <v>7</v>
      </c>
      <c r="Y36" s="162">
        <v>4</v>
      </c>
      <c r="Z36" s="162">
        <v>2</v>
      </c>
      <c r="AA36" s="162">
        <v>7</v>
      </c>
      <c r="AB36" s="162">
        <v>8</v>
      </c>
      <c r="AC36" s="162">
        <v>12</v>
      </c>
      <c r="AD36" s="162">
        <v>7</v>
      </c>
      <c r="AE36" s="162">
        <v>7</v>
      </c>
      <c r="AF36" s="161">
        <v>2</v>
      </c>
      <c r="AG36" s="64">
        <f t="shared" si="2"/>
        <v>189</v>
      </c>
    </row>
    <row r="37" spans="1:33" ht="18.75" x14ac:dyDescent="0.25">
      <c r="A37" s="301" t="s">
        <v>136</v>
      </c>
      <c r="B37" s="249">
        <v>2</v>
      </c>
      <c r="C37" s="162">
        <v>5</v>
      </c>
      <c r="D37" s="162">
        <v>5</v>
      </c>
      <c r="E37" s="162">
        <v>2</v>
      </c>
      <c r="F37" s="162">
        <v>5</v>
      </c>
      <c r="G37" s="162">
        <v>14</v>
      </c>
      <c r="H37" s="162">
        <v>8</v>
      </c>
      <c r="I37" s="162">
        <v>6</v>
      </c>
      <c r="J37" s="162">
        <v>1</v>
      </c>
      <c r="K37" s="162">
        <v>6</v>
      </c>
      <c r="L37" s="162">
        <v>6</v>
      </c>
      <c r="M37" s="162">
        <v>4</v>
      </c>
      <c r="N37" s="162">
        <v>12</v>
      </c>
      <c r="O37" s="162">
        <v>12</v>
      </c>
      <c r="P37" s="162">
        <v>4</v>
      </c>
      <c r="Q37" s="162">
        <v>5</v>
      </c>
      <c r="R37" s="162">
        <v>5</v>
      </c>
      <c r="S37" s="162">
        <v>4</v>
      </c>
      <c r="T37" s="162">
        <v>2</v>
      </c>
      <c r="U37" s="162">
        <v>13</v>
      </c>
      <c r="V37" s="162">
        <v>14</v>
      </c>
      <c r="W37" s="162">
        <v>9</v>
      </c>
      <c r="X37" s="162">
        <v>5</v>
      </c>
      <c r="Y37" s="162">
        <v>3</v>
      </c>
      <c r="Z37" s="162">
        <v>9</v>
      </c>
      <c r="AA37" s="162">
        <v>9</v>
      </c>
      <c r="AB37" s="162">
        <v>7</v>
      </c>
      <c r="AC37" s="162">
        <v>13</v>
      </c>
      <c r="AD37" s="162">
        <v>7</v>
      </c>
      <c r="AE37" s="162">
        <v>9</v>
      </c>
      <c r="AF37" s="161">
        <v>6</v>
      </c>
      <c r="AG37" s="64">
        <f t="shared" si="2"/>
        <v>212</v>
      </c>
    </row>
    <row r="38" spans="1:33" ht="18.75" x14ac:dyDescent="0.25">
      <c r="A38" s="301" t="s">
        <v>135</v>
      </c>
      <c r="B38" s="249">
        <v>6</v>
      </c>
      <c r="C38" s="162">
        <v>5</v>
      </c>
      <c r="D38" s="162">
        <v>8</v>
      </c>
      <c r="E38" s="162">
        <v>4</v>
      </c>
      <c r="F38" s="162">
        <v>4</v>
      </c>
      <c r="G38" s="162">
        <v>11</v>
      </c>
      <c r="H38" s="162">
        <v>13</v>
      </c>
      <c r="I38" s="162">
        <v>4</v>
      </c>
      <c r="J38" s="162">
        <v>8</v>
      </c>
      <c r="K38" s="162">
        <v>6</v>
      </c>
      <c r="L38" s="162">
        <v>5</v>
      </c>
      <c r="M38" s="162">
        <v>9</v>
      </c>
      <c r="N38" s="162">
        <v>15</v>
      </c>
      <c r="O38" s="162">
        <v>14</v>
      </c>
      <c r="P38" s="162">
        <v>8</v>
      </c>
      <c r="Q38" s="162">
        <v>7</v>
      </c>
      <c r="R38" s="162">
        <v>6</v>
      </c>
      <c r="S38" s="162">
        <v>8</v>
      </c>
      <c r="T38" s="162">
        <v>8</v>
      </c>
      <c r="U38" s="162">
        <v>18</v>
      </c>
      <c r="V38" s="162">
        <v>15</v>
      </c>
      <c r="W38" s="162">
        <v>8</v>
      </c>
      <c r="X38" s="162">
        <v>7</v>
      </c>
      <c r="Y38" s="162">
        <v>8</v>
      </c>
      <c r="Z38" s="162">
        <v>13</v>
      </c>
      <c r="AA38" s="162">
        <v>9</v>
      </c>
      <c r="AB38" s="162">
        <v>7</v>
      </c>
      <c r="AC38" s="162">
        <v>14</v>
      </c>
      <c r="AD38" s="162">
        <v>9</v>
      </c>
      <c r="AE38" s="162">
        <v>10</v>
      </c>
      <c r="AF38" s="161">
        <v>7</v>
      </c>
      <c r="AG38" s="64">
        <f t="shared" si="2"/>
        <v>274</v>
      </c>
    </row>
    <row r="39" spans="1:33" ht="18.75" x14ac:dyDescent="0.25">
      <c r="A39" s="301" t="s">
        <v>134</v>
      </c>
      <c r="B39" s="249">
        <v>11</v>
      </c>
      <c r="C39" s="162">
        <v>13</v>
      </c>
      <c r="D39" s="162">
        <v>19</v>
      </c>
      <c r="E39" s="162">
        <v>13</v>
      </c>
      <c r="F39" s="162">
        <v>14</v>
      </c>
      <c r="G39" s="162">
        <v>14</v>
      </c>
      <c r="H39" s="162">
        <v>10</v>
      </c>
      <c r="I39" s="162">
        <v>13</v>
      </c>
      <c r="J39" s="162">
        <v>14</v>
      </c>
      <c r="K39" s="162">
        <v>20</v>
      </c>
      <c r="L39" s="162">
        <v>10</v>
      </c>
      <c r="M39" s="162">
        <v>14</v>
      </c>
      <c r="N39" s="162">
        <v>13</v>
      </c>
      <c r="O39" s="162">
        <v>14</v>
      </c>
      <c r="P39" s="162">
        <v>14</v>
      </c>
      <c r="Q39" s="162">
        <v>22</v>
      </c>
      <c r="R39" s="162">
        <v>14</v>
      </c>
      <c r="S39" s="162">
        <v>10</v>
      </c>
      <c r="T39" s="162">
        <v>17</v>
      </c>
      <c r="U39" s="162">
        <v>16</v>
      </c>
      <c r="V39" s="162">
        <v>13</v>
      </c>
      <c r="W39" s="162">
        <v>16</v>
      </c>
      <c r="X39" s="162">
        <v>16</v>
      </c>
      <c r="Y39" s="162">
        <v>12</v>
      </c>
      <c r="Z39" s="162">
        <v>14</v>
      </c>
      <c r="AA39" s="162">
        <v>17</v>
      </c>
      <c r="AB39" s="162">
        <v>12</v>
      </c>
      <c r="AC39" s="162">
        <v>16</v>
      </c>
      <c r="AD39" s="162">
        <v>18</v>
      </c>
      <c r="AE39" s="162">
        <v>14</v>
      </c>
      <c r="AF39" s="161">
        <v>13</v>
      </c>
      <c r="AG39" s="64">
        <f t="shared" si="2"/>
        <v>446</v>
      </c>
    </row>
    <row r="40" spans="1:33" ht="18.75" x14ac:dyDescent="0.25">
      <c r="A40" s="301" t="s">
        <v>133</v>
      </c>
      <c r="B40" s="249">
        <v>18</v>
      </c>
      <c r="C40" s="162">
        <v>19</v>
      </c>
      <c r="D40" s="162">
        <v>16</v>
      </c>
      <c r="E40" s="162">
        <v>16</v>
      </c>
      <c r="F40" s="162">
        <v>12</v>
      </c>
      <c r="G40" s="162">
        <v>9</v>
      </c>
      <c r="H40" s="162">
        <v>12</v>
      </c>
      <c r="I40" s="162">
        <v>18</v>
      </c>
      <c r="J40" s="162">
        <v>21</v>
      </c>
      <c r="K40" s="162">
        <v>20</v>
      </c>
      <c r="L40" s="162">
        <v>22</v>
      </c>
      <c r="M40" s="162">
        <v>17</v>
      </c>
      <c r="N40" s="162">
        <v>10</v>
      </c>
      <c r="O40" s="162">
        <v>8</v>
      </c>
      <c r="P40" s="162">
        <v>17</v>
      </c>
      <c r="Q40" s="162">
        <v>20</v>
      </c>
      <c r="R40" s="162">
        <v>18</v>
      </c>
      <c r="S40" s="162">
        <v>18</v>
      </c>
      <c r="T40" s="162">
        <v>20</v>
      </c>
      <c r="U40" s="162">
        <v>9</v>
      </c>
      <c r="V40" s="162">
        <v>8</v>
      </c>
      <c r="W40" s="162">
        <v>23</v>
      </c>
      <c r="X40" s="162">
        <v>20</v>
      </c>
      <c r="Y40" s="162">
        <v>21</v>
      </c>
      <c r="Z40" s="162">
        <v>23</v>
      </c>
      <c r="AA40" s="162">
        <v>17</v>
      </c>
      <c r="AB40" s="162">
        <v>7</v>
      </c>
      <c r="AC40" s="162">
        <v>15</v>
      </c>
      <c r="AD40" s="162">
        <v>23</v>
      </c>
      <c r="AE40" s="162">
        <v>16</v>
      </c>
      <c r="AF40" s="161">
        <v>19</v>
      </c>
      <c r="AG40" s="64">
        <f t="shared" si="2"/>
        <v>512</v>
      </c>
    </row>
    <row r="41" spans="1:33" ht="18.75" x14ac:dyDescent="0.25">
      <c r="A41" s="301" t="s">
        <v>132</v>
      </c>
      <c r="B41" s="249">
        <v>21</v>
      </c>
      <c r="C41" s="162">
        <v>18</v>
      </c>
      <c r="D41" s="162">
        <v>17</v>
      </c>
      <c r="E41" s="162">
        <v>18</v>
      </c>
      <c r="F41" s="162">
        <v>18</v>
      </c>
      <c r="G41" s="162">
        <v>8</v>
      </c>
      <c r="H41" s="162">
        <v>9</v>
      </c>
      <c r="I41" s="162">
        <v>20</v>
      </c>
      <c r="J41" s="162">
        <v>12</v>
      </c>
      <c r="K41" s="162">
        <v>20</v>
      </c>
      <c r="L41" s="162">
        <v>23</v>
      </c>
      <c r="M41" s="162">
        <v>23</v>
      </c>
      <c r="N41" s="162">
        <v>10</v>
      </c>
      <c r="O41" s="162">
        <v>12</v>
      </c>
      <c r="P41" s="162">
        <v>12</v>
      </c>
      <c r="Q41" s="162">
        <v>19</v>
      </c>
      <c r="R41" s="162">
        <v>23</v>
      </c>
      <c r="S41" s="162">
        <v>19</v>
      </c>
      <c r="T41" s="162">
        <v>8</v>
      </c>
      <c r="U41" s="162">
        <v>12</v>
      </c>
      <c r="V41" s="162">
        <v>8</v>
      </c>
      <c r="W41" s="162">
        <v>17</v>
      </c>
      <c r="X41" s="162">
        <v>11</v>
      </c>
      <c r="Y41" s="162">
        <v>14</v>
      </c>
      <c r="Z41" s="162">
        <v>19</v>
      </c>
      <c r="AA41" s="162">
        <v>21</v>
      </c>
      <c r="AB41" s="162">
        <v>7</v>
      </c>
      <c r="AC41" s="162">
        <v>15</v>
      </c>
      <c r="AD41" s="162">
        <v>10</v>
      </c>
      <c r="AE41" s="162">
        <v>7</v>
      </c>
      <c r="AF41" s="161">
        <v>17</v>
      </c>
      <c r="AG41" s="64">
        <f t="shared" si="2"/>
        <v>468</v>
      </c>
    </row>
    <row r="42" spans="1:33" ht="18.75" x14ac:dyDescent="0.25">
      <c r="A42" s="301" t="s">
        <v>131</v>
      </c>
      <c r="B42" s="249">
        <v>23</v>
      </c>
      <c r="C42" s="162">
        <v>19</v>
      </c>
      <c r="D42" s="162">
        <v>9</v>
      </c>
      <c r="E42" s="162">
        <v>14</v>
      </c>
      <c r="F42" s="162">
        <v>15</v>
      </c>
      <c r="G42" s="162">
        <v>8</v>
      </c>
      <c r="H42" s="162">
        <v>14</v>
      </c>
      <c r="I42" s="162">
        <v>13</v>
      </c>
      <c r="J42" s="162">
        <v>13</v>
      </c>
      <c r="K42" s="162">
        <v>19</v>
      </c>
      <c r="L42" s="162">
        <v>17</v>
      </c>
      <c r="M42" s="162">
        <v>14</v>
      </c>
      <c r="N42" s="162">
        <v>11</v>
      </c>
      <c r="O42" s="162">
        <v>16</v>
      </c>
      <c r="P42" s="162">
        <v>18</v>
      </c>
      <c r="Q42" s="162">
        <v>12</v>
      </c>
      <c r="R42" s="162">
        <v>14</v>
      </c>
      <c r="S42" s="162">
        <v>14</v>
      </c>
      <c r="T42" s="162">
        <v>11</v>
      </c>
      <c r="U42" s="162">
        <v>6</v>
      </c>
      <c r="V42" s="162">
        <v>9</v>
      </c>
      <c r="W42" s="162">
        <v>17</v>
      </c>
      <c r="X42" s="162">
        <v>19</v>
      </c>
      <c r="Y42" s="162">
        <v>14</v>
      </c>
      <c r="Z42" s="162">
        <v>11</v>
      </c>
      <c r="AA42" s="162">
        <v>13</v>
      </c>
      <c r="AB42" s="162">
        <v>4</v>
      </c>
      <c r="AC42" s="162">
        <v>9</v>
      </c>
      <c r="AD42" s="162">
        <v>12</v>
      </c>
      <c r="AE42" s="162">
        <v>9</v>
      </c>
      <c r="AF42" s="161">
        <v>6</v>
      </c>
      <c r="AG42" s="64">
        <f t="shared" si="2"/>
        <v>403</v>
      </c>
    </row>
    <row r="43" spans="1:33" ht="18.75" x14ac:dyDescent="0.25">
      <c r="A43" s="301" t="s">
        <v>130</v>
      </c>
      <c r="B43" s="249">
        <v>20</v>
      </c>
      <c r="C43" s="162">
        <v>9</v>
      </c>
      <c r="D43" s="162">
        <v>17</v>
      </c>
      <c r="E43" s="162">
        <v>12</v>
      </c>
      <c r="F43" s="162">
        <v>13</v>
      </c>
      <c r="G43" s="162">
        <v>9</v>
      </c>
      <c r="H43" s="162">
        <v>7</v>
      </c>
      <c r="I43" s="162">
        <v>15</v>
      </c>
      <c r="J43" s="162">
        <v>15</v>
      </c>
      <c r="K43" s="162">
        <v>12</v>
      </c>
      <c r="L43" s="162">
        <v>11</v>
      </c>
      <c r="M43" s="162">
        <v>18</v>
      </c>
      <c r="N43" s="162">
        <v>9</v>
      </c>
      <c r="O43" s="162">
        <v>6</v>
      </c>
      <c r="P43" s="162">
        <v>15</v>
      </c>
      <c r="Q43" s="162">
        <v>10</v>
      </c>
      <c r="R43" s="162">
        <v>12</v>
      </c>
      <c r="S43" s="162">
        <v>8</v>
      </c>
      <c r="T43" s="162">
        <v>8</v>
      </c>
      <c r="U43" s="162">
        <v>5</v>
      </c>
      <c r="V43" s="162">
        <v>10</v>
      </c>
      <c r="W43" s="162">
        <v>9</v>
      </c>
      <c r="X43" s="162">
        <v>11</v>
      </c>
      <c r="Y43" s="162">
        <v>13</v>
      </c>
      <c r="Z43" s="162">
        <v>7</v>
      </c>
      <c r="AA43" s="162">
        <v>7</v>
      </c>
      <c r="AB43" s="162">
        <v>6</v>
      </c>
      <c r="AC43" s="162">
        <v>6</v>
      </c>
      <c r="AD43" s="162">
        <v>16</v>
      </c>
      <c r="AE43" s="162">
        <v>6</v>
      </c>
      <c r="AF43" s="161">
        <v>13</v>
      </c>
      <c r="AG43" s="64">
        <f t="shared" si="2"/>
        <v>335</v>
      </c>
    </row>
    <row r="44" spans="1:33" ht="18.75" x14ac:dyDescent="0.25">
      <c r="A44" s="301" t="s">
        <v>129</v>
      </c>
      <c r="B44" s="249">
        <v>8</v>
      </c>
      <c r="C44" s="162">
        <v>4</v>
      </c>
      <c r="D44" s="162">
        <v>11</v>
      </c>
      <c r="E44" s="162">
        <v>5</v>
      </c>
      <c r="F44" s="162">
        <v>8</v>
      </c>
      <c r="G44" s="162">
        <v>10</v>
      </c>
      <c r="H44" s="162">
        <v>8</v>
      </c>
      <c r="I44" s="162">
        <v>11</v>
      </c>
      <c r="J44" s="162">
        <v>12</v>
      </c>
      <c r="K44" s="162">
        <v>12</v>
      </c>
      <c r="L44" s="162">
        <v>4</v>
      </c>
      <c r="M44" s="162">
        <v>11</v>
      </c>
      <c r="N44" s="162">
        <v>8</v>
      </c>
      <c r="O44" s="162">
        <v>4</v>
      </c>
      <c r="P44" s="162">
        <v>3</v>
      </c>
      <c r="Q44" s="162">
        <v>7</v>
      </c>
      <c r="R44" s="162">
        <v>6</v>
      </c>
      <c r="S44" s="162">
        <v>2</v>
      </c>
      <c r="T44" s="162">
        <v>3</v>
      </c>
      <c r="U44" s="162">
        <v>2</v>
      </c>
      <c r="V44" s="162">
        <v>4</v>
      </c>
      <c r="W44" s="162">
        <v>11</v>
      </c>
      <c r="X44" s="162">
        <v>10</v>
      </c>
      <c r="Y44" s="162">
        <v>12</v>
      </c>
      <c r="Z44" s="162">
        <v>5</v>
      </c>
      <c r="AA44" s="162">
        <v>10</v>
      </c>
      <c r="AB44" s="162">
        <v>1</v>
      </c>
      <c r="AC44" s="162">
        <v>3</v>
      </c>
      <c r="AD44" s="162">
        <v>8</v>
      </c>
      <c r="AE44" s="162">
        <v>6</v>
      </c>
      <c r="AF44" s="161">
        <v>6</v>
      </c>
      <c r="AG44" s="64">
        <f t="shared" si="2"/>
        <v>215</v>
      </c>
    </row>
    <row r="45" spans="1:33" ht="18.75" x14ac:dyDescent="0.25">
      <c r="A45" s="301" t="s">
        <v>128</v>
      </c>
      <c r="B45" s="249">
        <v>9</v>
      </c>
      <c r="C45" s="162">
        <v>2</v>
      </c>
      <c r="D45" s="162">
        <v>5</v>
      </c>
      <c r="E45" s="162">
        <v>9</v>
      </c>
      <c r="F45" s="162">
        <v>2</v>
      </c>
      <c r="G45" s="162">
        <v>4</v>
      </c>
      <c r="H45" s="162">
        <v>7</v>
      </c>
      <c r="I45" s="162">
        <v>9</v>
      </c>
      <c r="J45" s="162">
        <v>6</v>
      </c>
      <c r="K45" s="162">
        <v>6</v>
      </c>
      <c r="L45" s="162">
        <v>9</v>
      </c>
      <c r="M45" s="162">
        <v>3</v>
      </c>
      <c r="N45" s="162">
        <v>6</v>
      </c>
      <c r="O45" s="162"/>
      <c r="P45" s="162">
        <v>1</v>
      </c>
      <c r="Q45" s="162">
        <v>5</v>
      </c>
      <c r="R45" s="162">
        <v>8</v>
      </c>
      <c r="S45" s="162"/>
      <c r="T45" s="162">
        <v>6</v>
      </c>
      <c r="U45" s="162">
        <v>3</v>
      </c>
      <c r="V45" s="162"/>
      <c r="W45" s="162">
        <v>4</v>
      </c>
      <c r="X45" s="162">
        <v>8</v>
      </c>
      <c r="Y45" s="162">
        <v>2</v>
      </c>
      <c r="Z45" s="162">
        <v>6</v>
      </c>
      <c r="AA45" s="162">
        <v>5</v>
      </c>
      <c r="AB45" s="162">
        <v>5</v>
      </c>
      <c r="AC45" s="162">
        <v>4</v>
      </c>
      <c r="AD45" s="162">
        <v>3</v>
      </c>
      <c r="AE45" s="162">
        <v>2</v>
      </c>
      <c r="AF45" s="161">
        <v>3</v>
      </c>
      <c r="AG45" s="64">
        <f t="shared" si="2"/>
        <v>142</v>
      </c>
    </row>
    <row r="46" spans="1:33" ht="18.75" x14ac:dyDescent="0.25">
      <c r="A46" s="301" t="s">
        <v>127</v>
      </c>
      <c r="B46" s="249">
        <v>2</v>
      </c>
      <c r="C46" s="162">
        <v>3</v>
      </c>
      <c r="D46" s="162">
        <v>6</v>
      </c>
      <c r="E46" s="162">
        <v>5</v>
      </c>
      <c r="F46" s="162">
        <v>3</v>
      </c>
      <c r="G46" s="162">
        <v>4</v>
      </c>
      <c r="H46" s="162">
        <v>4</v>
      </c>
      <c r="I46" s="162">
        <v>1</v>
      </c>
      <c r="J46" s="162">
        <v>4</v>
      </c>
      <c r="K46" s="162"/>
      <c r="L46" s="162">
        <v>3</v>
      </c>
      <c r="M46" s="162">
        <v>2</v>
      </c>
      <c r="N46" s="162">
        <v>6</v>
      </c>
      <c r="O46" s="162">
        <v>2</v>
      </c>
      <c r="P46" s="162">
        <v>7</v>
      </c>
      <c r="Q46" s="162">
        <v>4</v>
      </c>
      <c r="R46" s="162">
        <v>7</v>
      </c>
      <c r="S46" s="162">
        <v>1</v>
      </c>
      <c r="T46" s="162">
        <v>2</v>
      </c>
      <c r="U46" s="162">
        <v>3</v>
      </c>
      <c r="V46" s="162">
        <v>11</v>
      </c>
      <c r="W46" s="162">
        <v>7</v>
      </c>
      <c r="X46" s="162">
        <v>3</v>
      </c>
      <c r="Y46" s="162">
        <v>2</v>
      </c>
      <c r="Z46" s="162">
        <v>3</v>
      </c>
      <c r="AA46" s="162">
        <v>2</v>
      </c>
      <c r="AB46" s="162">
        <v>2</v>
      </c>
      <c r="AC46" s="162">
        <v>7</v>
      </c>
      <c r="AD46" s="162">
        <v>3</v>
      </c>
      <c r="AE46" s="162">
        <v>1</v>
      </c>
      <c r="AF46" s="161">
        <v>2</v>
      </c>
      <c r="AG46" s="64">
        <f t="shared" si="2"/>
        <v>112</v>
      </c>
    </row>
    <row r="47" spans="1:33" ht="18.75" x14ac:dyDescent="0.25">
      <c r="A47" s="301" t="s">
        <v>126</v>
      </c>
      <c r="B47" s="249"/>
      <c r="C47" s="162">
        <v>2</v>
      </c>
      <c r="D47" s="162">
        <v>1</v>
      </c>
      <c r="E47" s="162">
        <v>4</v>
      </c>
      <c r="F47" s="162">
        <v>6</v>
      </c>
      <c r="G47" s="162">
        <v>3</v>
      </c>
      <c r="H47" s="162">
        <v>4</v>
      </c>
      <c r="I47" s="162"/>
      <c r="J47" s="162">
        <v>2</v>
      </c>
      <c r="K47" s="162">
        <v>2</v>
      </c>
      <c r="L47" s="162">
        <v>2</v>
      </c>
      <c r="M47" s="162">
        <v>1</v>
      </c>
      <c r="N47" s="162">
        <v>1</v>
      </c>
      <c r="O47" s="162"/>
      <c r="P47" s="162">
        <v>1</v>
      </c>
      <c r="Q47" s="162"/>
      <c r="R47" s="162">
        <v>2</v>
      </c>
      <c r="S47" s="162"/>
      <c r="T47" s="162">
        <v>3</v>
      </c>
      <c r="U47" s="162">
        <v>1</v>
      </c>
      <c r="V47" s="162">
        <v>2</v>
      </c>
      <c r="W47" s="162">
        <v>2</v>
      </c>
      <c r="X47" s="162"/>
      <c r="Y47" s="162">
        <v>2</v>
      </c>
      <c r="Z47" s="162"/>
      <c r="AA47" s="162">
        <v>2</v>
      </c>
      <c r="AB47" s="162">
        <v>2</v>
      </c>
      <c r="AC47" s="162">
        <v>2</v>
      </c>
      <c r="AD47" s="162">
        <v>1</v>
      </c>
      <c r="AE47" s="162">
        <v>1</v>
      </c>
      <c r="AF47" s="161">
        <v>1</v>
      </c>
      <c r="AG47" s="64">
        <f t="shared" si="2"/>
        <v>50</v>
      </c>
    </row>
    <row r="48" spans="1:33" ht="18.75" x14ac:dyDescent="0.25">
      <c r="A48" s="301" t="s">
        <v>125</v>
      </c>
      <c r="B48" s="249">
        <v>2</v>
      </c>
      <c r="C48" s="162">
        <v>1</v>
      </c>
      <c r="D48" s="162">
        <v>1</v>
      </c>
      <c r="E48" s="162"/>
      <c r="F48" s="162">
        <v>4</v>
      </c>
      <c r="G48" s="162">
        <v>1</v>
      </c>
      <c r="H48" s="162">
        <v>1</v>
      </c>
      <c r="I48" s="162"/>
      <c r="J48" s="162">
        <v>2</v>
      </c>
      <c r="K48" s="162">
        <v>2</v>
      </c>
      <c r="L48" s="162"/>
      <c r="M48" s="162">
        <v>1</v>
      </c>
      <c r="N48" s="162"/>
      <c r="O48" s="162">
        <v>1</v>
      </c>
      <c r="P48" s="162">
        <v>3</v>
      </c>
      <c r="Q48" s="162">
        <v>1</v>
      </c>
      <c r="R48" s="162">
        <v>1</v>
      </c>
      <c r="S48" s="162"/>
      <c r="T48" s="162">
        <v>2</v>
      </c>
      <c r="U48" s="162">
        <v>1</v>
      </c>
      <c r="V48" s="162">
        <v>3</v>
      </c>
      <c r="W48" s="162">
        <v>5</v>
      </c>
      <c r="X48" s="162"/>
      <c r="Y48" s="162"/>
      <c r="Z48" s="162"/>
      <c r="AA48" s="162">
        <v>2</v>
      </c>
      <c r="AB48" s="162">
        <v>2</v>
      </c>
      <c r="AC48" s="162"/>
      <c r="AD48" s="162">
        <v>1</v>
      </c>
      <c r="AE48" s="162"/>
      <c r="AF48" s="161">
        <v>1</v>
      </c>
      <c r="AG48" s="64">
        <f t="shared" si="2"/>
        <v>38</v>
      </c>
    </row>
    <row r="49" spans="1:33" ht="18.75" x14ac:dyDescent="0.25">
      <c r="A49" s="301" t="s">
        <v>124</v>
      </c>
      <c r="B49" s="249"/>
      <c r="C49" s="162"/>
      <c r="D49" s="162">
        <v>2</v>
      </c>
      <c r="E49" s="162"/>
      <c r="F49" s="162">
        <v>1</v>
      </c>
      <c r="G49" s="162"/>
      <c r="H49" s="162"/>
      <c r="I49" s="162">
        <v>1</v>
      </c>
      <c r="J49" s="162">
        <v>1</v>
      </c>
      <c r="K49" s="162"/>
      <c r="L49" s="162"/>
      <c r="M49" s="162">
        <v>2</v>
      </c>
      <c r="N49" s="162"/>
      <c r="O49" s="162"/>
      <c r="P49" s="162">
        <v>3</v>
      </c>
      <c r="Q49" s="162"/>
      <c r="R49" s="162"/>
      <c r="S49" s="162"/>
      <c r="T49" s="162">
        <v>2</v>
      </c>
      <c r="U49" s="162">
        <v>3</v>
      </c>
      <c r="V49" s="162">
        <v>1</v>
      </c>
      <c r="W49" s="162"/>
      <c r="X49" s="162">
        <v>1</v>
      </c>
      <c r="Y49" s="162">
        <v>2</v>
      </c>
      <c r="Z49" s="162"/>
      <c r="AA49" s="162"/>
      <c r="AB49" s="162">
        <v>2</v>
      </c>
      <c r="AC49" s="162"/>
      <c r="AD49" s="162"/>
      <c r="AE49" s="162"/>
      <c r="AF49" s="161"/>
      <c r="AG49" s="64">
        <f t="shared" si="2"/>
        <v>21</v>
      </c>
    </row>
    <row r="50" spans="1:33" ht="18.75" x14ac:dyDescent="0.25">
      <c r="A50" s="301" t="s">
        <v>123</v>
      </c>
      <c r="B50" s="249">
        <v>1</v>
      </c>
      <c r="C50" s="162"/>
      <c r="D50" s="162">
        <v>3</v>
      </c>
      <c r="E50" s="162">
        <v>2</v>
      </c>
      <c r="F50" s="162"/>
      <c r="G50" s="162"/>
      <c r="H50" s="162"/>
      <c r="I50" s="162">
        <v>2</v>
      </c>
      <c r="J50" s="162">
        <v>3</v>
      </c>
      <c r="K50" s="162"/>
      <c r="L50" s="162"/>
      <c r="M50" s="162">
        <v>2</v>
      </c>
      <c r="N50" s="162">
        <v>4</v>
      </c>
      <c r="O50" s="162">
        <v>2</v>
      </c>
      <c r="P50" s="162"/>
      <c r="Q50" s="162"/>
      <c r="R50" s="162">
        <v>1</v>
      </c>
      <c r="S50" s="162">
        <v>1</v>
      </c>
      <c r="T50" s="162">
        <v>1</v>
      </c>
      <c r="U50" s="162"/>
      <c r="V50" s="162"/>
      <c r="W50" s="162"/>
      <c r="X50" s="162">
        <v>1</v>
      </c>
      <c r="Y50" s="162"/>
      <c r="Z50" s="162"/>
      <c r="AA50" s="162">
        <v>1</v>
      </c>
      <c r="AB50" s="162">
        <v>1</v>
      </c>
      <c r="AC50" s="162">
        <v>1</v>
      </c>
      <c r="AD50" s="162"/>
      <c r="AE50" s="162"/>
      <c r="AF50" s="161">
        <v>2</v>
      </c>
      <c r="AG50" s="64">
        <f t="shared" si="2"/>
        <v>28</v>
      </c>
    </row>
    <row r="51" spans="1:33" ht="18.75" x14ac:dyDescent="0.25">
      <c r="A51" s="301" t="s">
        <v>122</v>
      </c>
      <c r="B51" s="249">
        <v>2</v>
      </c>
      <c r="C51" s="162"/>
      <c r="D51" s="162">
        <v>1</v>
      </c>
      <c r="E51" s="162"/>
      <c r="F51" s="162"/>
      <c r="G51" s="162"/>
      <c r="H51" s="162">
        <v>1</v>
      </c>
      <c r="I51" s="162"/>
      <c r="J51" s="162"/>
      <c r="K51" s="162">
        <v>1</v>
      </c>
      <c r="L51" s="162">
        <v>1</v>
      </c>
      <c r="M51" s="162"/>
      <c r="N51" s="162"/>
      <c r="O51" s="162"/>
      <c r="P51" s="162">
        <v>1</v>
      </c>
      <c r="Q51" s="162">
        <v>1</v>
      </c>
      <c r="R51" s="162"/>
      <c r="S51" s="162"/>
      <c r="T51" s="162"/>
      <c r="U51" s="162">
        <v>1</v>
      </c>
      <c r="V51" s="162"/>
      <c r="W51" s="162"/>
      <c r="X51" s="162">
        <v>1</v>
      </c>
      <c r="Y51" s="162"/>
      <c r="Z51" s="162"/>
      <c r="AA51" s="162"/>
      <c r="AB51" s="162"/>
      <c r="AC51" s="162">
        <v>2</v>
      </c>
      <c r="AD51" s="162"/>
      <c r="AE51" s="162"/>
      <c r="AF51" s="161"/>
      <c r="AG51" s="64">
        <f t="shared" si="2"/>
        <v>12</v>
      </c>
    </row>
    <row r="52" spans="1:33" ht="19.5" thickBot="1" x14ac:dyDescent="0.3">
      <c r="A52" s="304" t="s">
        <v>121</v>
      </c>
      <c r="B52" s="252"/>
      <c r="C52" s="181">
        <v>2</v>
      </c>
      <c r="D52" s="181"/>
      <c r="E52" s="181"/>
      <c r="F52" s="181">
        <v>2</v>
      </c>
      <c r="G52" s="181">
        <v>1</v>
      </c>
      <c r="H52" s="181">
        <v>3</v>
      </c>
      <c r="I52" s="181"/>
      <c r="J52" s="181"/>
      <c r="K52" s="181">
        <v>3</v>
      </c>
      <c r="L52" s="181"/>
      <c r="M52" s="181"/>
      <c r="N52" s="181"/>
      <c r="O52" s="181">
        <v>2</v>
      </c>
      <c r="P52" s="181">
        <v>2</v>
      </c>
      <c r="Q52" s="181"/>
      <c r="R52" s="181"/>
      <c r="S52" s="181"/>
      <c r="T52" s="181"/>
      <c r="U52" s="181"/>
      <c r="V52" s="181"/>
      <c r="W52" s="181">
        <v>2</v>
      </c>
      <c r="X52" s="181"/>
      <c r="Y52" s="181"/>
      <c r="Z52" s="181">
        <v>2</v>
      </c>
      <c r="AA52" s="181">
        <v>1</v>
      </c>
      <c r="AB52" s="181">
        <v>2</v>
      </c>
      <c r="AC52" s="181">
        <v>1</v>
      </c>
      <c r="AD52" s="181">
        <v>1</v>
      </c>
      <c r="AE52" s="181">
        <v>1</v>
      </c>
      <c r="AF52" s="180"/>
      <c r="AG52" s="160">
        <f t="shared" si="2"/>
        <v>25</v>
      </c>
    </row>
    <row r="53" spans="1:33" ht="19.5" thickBot="1" x14ac:dyDescent="0.3">
      <c r="A53" s="299" t="s">
        <v>145</v>
      </c>
      <c r="B53" s="247">
        <f t="shared" ref="B53:AF53" si="4">SUM(B54:B77)</f>
        <v>17</v>
      </c>
      <c r="C53" s="120">
        <f t="shared" si="4"/>
        <v>8</v>
      </c>
      <c r="D53" s="120">
        <f t="shared" si="4"/>
        <v>6</v>
      </c>
      <c r="E53" s="120">
        <f t="shared" si="4"/>
        <v>12</v>
      </c>
      <c r="F53" s="120">
        <f t="shared" si="4"/>
        <v>2</v>
      </c>
      <c r="G53" s="120">
        <f t="shared" si="4"/>
        <v>7</v>
      </c>
      <c r="H53" s="120">
        <f t="shared" si="4"/>
        <v>7</v>
      </c>
      <c r="I53" s="120">
        <f t="shared" si="4"/>
        <v>5</v>
      </c>
      <c r="J53" s="120">
        <f t="shared" si="4"/>
        <v>15</v>
      </c>
      <c r="K53" s="120">
        <f t="shared" si="4"/>
        <v>8</v>
      </c>
      <c r="L53" s="120">
        <f t="shared" si="4"/>
        <v>13</v>
      </c>
      <c r="M53" s="120">
        <f t="shared" si="4"/>
        <v>12</v>
      </c>
      <c r="N53" s="120">
        <f t="shared" si="4"/>
        <v>4</v>
      </c>
      <c r="O53" s="120">
        <f t="shared" si="4"/>
        <v>4</v>
      </c>
      <c r="P53" s="120">
        <f t="shared" si="4"/>
        <v>8</v>
      </c>
      <c r="Q53" s="120">
        <f t="shared" si="4"/>
        <v>8</v>
      </c>
      <c r="R53" s="120">
        <f t="shared" si="4"/>
        <v>12</v>
      </c>
      <c r="S53" s="120">
        <f t="shared" si="4"/>
        <v>4</v>
      </c>
      <c r="T53" s="120">
        <f t="shared" si="4"/>
        <v>3</v>
      </c>
      <c r="U53" s="120">
        <f t="shared" si="4"/>
        <v>9</v>
      </c>
      <c r="V53" s="120">
        <f t="shared" si="4"/>
        <v>4</v>
      </c>
      <c r="W53" s="120">
        <f t="shared" si="4"/>
        <v>28</v>
      </c>
      <c r="X53" s="120">
        <f t="shared" si="4"/>
        <v>10</v>
      </c>
      <c r="Y53" s="120">
        <f t="shared" si="4"/>
        <v>10</v>
      </c>
      <c r="Z53" s="120">
        <f t="shared" si="4"/>
        <v>5</v>
      </c>
      <c r="AA53" s="120">
        <f t="shared" si="4"/>
        <v>17</v>
      </c>
      <c r="AB53" s="120">
        <f t="shared" si="4"/>
        <v>1</v>
      </c>
      <c r="AC53" s="120">
        <f t="shared" si="4"/>
        <v>7</v>
      </c>
      <c r="AD53" s="120">
        <f t="shared" si="4"/>
        <v>9</v>
      </c>
      <c r="AE53" s="120">
        <f t="shared" si="4"/>
        <v>2</v>
      </c>
      <c r="AF53" s="120">
        <f t="shared" si="4"/>
        <v>6</v>
      </c>
      <c r="AG53" s="157">
        <f t="shared" si="2"/>
        <v>263</v>
      </c>
    </row>
    <row r="54" spans="1:33" ht="18.75" x14ac:dyDescent="0.25">
      <c r="A54" s="300" t="s">
        <v>144</v>
      </c>
      <c r="B54" s="248"/>
      <c r="C54" s="199"/>
      <c r="D54" s="162"/>
      <c r="E54" s="199"/>
      <c r="F54" s="199"/>
      <c r="G54" s="162"/>
      <c r="H54" s="199"/>
      <c r="I54" s="199"/>
      <c r="J54" s="199"/>
      <c r="K54" s="199"/>
      <c r="L54" s="199"/>
      <c r="M54" s="199"/>
      <c r="N54" s="199"/>
      <c r="O54" s="199"/>
      <c r="P54" s="199"/>
      <c r="Q54" s="199"/>
      <c r="R54" s="199"/>
      <c r="S54" s="199"/>
      <c r="T54" s="199"/>
      <c r="U54" s="199"/>
      <c r="V54" s="199"/>
      <c r="W54" s="199"/>
      <c r="X54" s="199"/>
      <c r="Y54" s="199"/>
      <c r="Z54" s="199"/>
      <c r="AA54" s="199"/>
      <c r="AB54" s="199"/>
      <c r="AC54" s="199"/>
      <c r="AD54" s="199"/>
      <c r="AE54" s="199"/>
      <c r="AF54" s="206"/>
      <c r="AG54" s="134">
        <f t="shared" si="2"/>
        <v>0</v>
      </c>
    </row>
    <row r="55" spans="1:33" ht="18.75" x14ac:dyDescent="0.25">
      <c r="A55" s="301" t="s">
        <v>143</v>
      </c>
      <c r="B55" s="249"/>
      <c r="C55" s="162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Y55" s="162"/>
      <c r="Z55" s="162"/>
      <c r="AA55" s="162">
        <v>1</v>
      </c>
      <c r="AB55" s="162"/>
      <c r="AC55" s="162"/>
      <c r="AD55" s="162"/>
      <c r="AE55" s="162"/>
      <c r="AF55" s="161"/>
      <c r="AG55" s="64">
        <f t="shared" si="2"/>
        <v>1</v>
      </c>
    </row>
    <row r="56" spans="1:33" ht="18.75" x14ac:dyDescent="0.25">
      <c r="A56" s="301" t="s">
        <v>142</v>
      </c>
      <c r="B56" s="249"/>
      <c r="C56" s="162"/>
      <c r="D56" s="162"/>
      <c r="E56" s="162"/>
      <c r="F56" s="162"/>
      <c r="G56" s="162"/>
      <c r="H56" s="162">
        <v>2</v>
      </c>
      <c r="I56" s="162">
        <v>1</v>
      </c>
      <c r="J56" s="162"/>
      <c r="K56" s="162"/>
      <c r="L56" s="162"/>
      <c r="M56" s="162"/>
      <c r="N56" s="162"/>
      <c r="O56" s="162">
        <v>2</v>
      </c>
      <c r="P56" s="162"/>
      <c r="Q56" s="162">
        <v>1</v>
      </c>
      <c r="R56" s="162"/>
      <c r="S56" s="162"/>
      <c r="T56" s="162"/>
      <c r="U56" s="162">
        <v>1</v>
      </c>
      <c r="V56" s="162"/>
      <c r="W56" s="162"/>
      <c r="X56" s="162"/>
      <c r="Y56" s="162"/>
      <c r="Z56" s="162">
        <v>1</v>
      </c>
      <c r="AA56" s="162">
        <v>1</v>
      </c>
      <c r="AB56" s="162"/>
      <c r="AC56" s="162"/>
      <c r="AD56" s="162"/>
      <c r="AE56" s="162"/>
      <c r="AF56" s="161"/>
      <c r="AG56" s="64">
        <f t="shared" si="2"/>
        <v>9</v>
      </c>
    </row>
    <row r="57" spans="1:33" ht="18.75" x14ac:dyDescent="0.25">
      <c r="A57" s="301" t="s">
        <v>141</v>
      </c>
      <c r="B57" s="249"/>
      <c r="C57" s="162"/>
      <c r="D57" s="162"/>
      <c r="E57" s="162"/>
      <c r="F57" s="162"/>
      <c r="G57" s="162"/>
      <c r="H57" s="162"/>
      <c r="I57" s="162">
        <v>1</v>
      </c>
      <c r="J57" s="162"/>
      <c r="K57" s="162"/>
      <c r="L57" s="162"/>
      <c r="M57" s="162"/>
      <c r="N57" s="162">
        <v>1</v>
      </c>
      <c r="O57" s="162"/>
      <c r="P57" s="162"/>
      <c r="Q57" s="162">
        <v>2</v>
      </c>
      <c r="R57" s="162"/>
      <c r="S57" s="162"/>
      <c r="T57" s="162"/>
      <c r="U57" s="162"/>
      <c r="V57" s="162"/>
      <c r="W57" s="162"/>
      <c r="X57" s="162"/>
      <c r="Y57" s="162"/>
      <c r="Z57" s="162"/>
      <c r="AA57" s="162"/>
      <c r="AB57" s="162"/>
      <c r="AC57" s="162"/>
      <c r="AD57" s="162"/>
      <c r="AE57" s="162"/>
      <c r="AF57" s="161"/>
      <c r="AG57" s="64">
        <f t="shared" si="2"/>
        <v>4</v>
      </c>
    </row>
    <row r="58" spans="1:33" ht="18.75" x14ac:dyDescent="0.25">
      <c r="A58" s="301" t="s">
        <v>140</v>
      </c>
      <c r="B58" s="249"/>
      <c r="C58" s="162"/>
      <c r="D58" s="162"/>
      <c r="E58" s="162"/>
      <c r="F58" s="162"/>
      <c r="G58" s="162"/>
      <c r="H58" s="162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>
        <v>2</v>
      </c>
      <c r="X58" s="162">
        <v>1</v>
      </c>
      <c r="Y58" s="162"/>
      <c r="Z58" s="162"/>
      <c r="AA58" s="162">
        <v>1</v>
      </c>
      <c r="AB58" s="162"/>
      <c r="AC58" s="162"/>
      <c r="AD58" s="162"/>
      <c r="AE58" s="162"/>
      <c r="AF58" s="161"/>
      <c r="AG58" s="64">
        <f t="shared" si="2"/>
        <v>4</v>
      </c>
    </row>
    <row r="59" spans="1:33" ht="18.75" x14ac:dyDescent="0.25">
      <c r="A59" s="301" t="s">
        <v>139</v>
      </c>
      <c r="B59" s="249"/>
      <c r="C59" s="162"/>
      <c r="D59" s="162"/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>
        <v>1</v>
      </c>
      <c r="V59" s="162">
        <v>1</v>
      </c>
      <c r="W59" s="162"/>
      <c r="X59" s="162"/>
      <c r="Y59" s="162"/>
      <c r="Z59" s="162"/>
      <c r="AA59" s="162"/>
      <c r="AB59" s="162"/>
      <c r="AC59" s="162">
        <v>2</v>
      </c>
      <c r="AD59" s="162"/>
      <c r="AE59" s="162"/>
      <c r="AF59" s="161"/>
      <c r="AG59" s="64">
        <f t="shared" si="2"/>
        <v>4</v>
      </c>
    </row>
    <row r="60" spans="1:33" ht="18.75" x14ac:dyDescent="0.25">
      <c r="A60" s="301" t="s">
        <v>138</v>
      </c>
      <c r="B60" s="249"/>
      <c r="C60" s="162"/>
      <c r="D60" s="162"/>
      <c r="E60" s="162"/>
      <c r="F60" s="162"/>
      <c r="G60" s="162">
        <v>1</v>
      </c>
      <c r="H60" s="162"/>
      <c r="I60" s="162"/>
      <c r="J60" s="162"/>
      <c r="K60" s="162"/>
      <c r="L60" s="162"/>
      <c r="M60" s="162"/>
      <c r="N60" s="162"/>
      <c r="O60" s="162"/>
      <c r="P60" s="162"/>
      <c r="Q60" s="162"/>
      <c r="R60" s="162"/>
      <c r="S60" s="162"/>
      <c r="T60" s="162"/>
      <c r="U60" s="162">
        <v>1</v>
      </c>
      <c r="V60" s="162"/>
      <c r="W60" s="162"/>
      <c r="X60" s="162"/>
      <c r="Y60" s="162"/>
      <c r="Z60" s="162"/>
      <c r="AA60" s="162"/>
      <c r="AB60" s="162"/>
      <c r="AC60" s="162"/>
      <c r="AD60" s="162">
        <v>1</v>
      </c>
      <c r="AE60" s="162"/>
      <c r="AF60" s="161"/>
      <c r="AG60" s="64">
        <f t="shared" si="2"/>
        <v>3</v>
      </c>
    </row>
    <row r="61" spans="1:33" ht="18.75" x14ac:dyDescent="0.25">
      <c r="A61" s="301" t="s">
        <v>137</v>
      </c>
      <c r="B61" s="249"/>
      <c r="C61" s="162"/>
      <c r="D61" s="162"/>
      <c r="E61" s="162"/>
      <c r="F61" s="162"/>
      <c r="G61" s="162"/>
      <c r="H61" s="162">
        <v>1</v>
      </c>
      <c r="I61" s="162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>
        <v>1</v>
      </c>
      <c r="Y61" s="162"/>
      <c r="Z61" s="162">
        <v>1</v>
      </c>
      <c r="AA61" s="162"/>
      <c r="AB61" s="162"/>
      <c r="AC61" s="162"/>
      <c r="AD61" s="162">
        <v>1</v>
      </c>
      <c r="AE61" s="162"/>
      <c r="AF61" s="161"/>
      <c r="AG61" s="64">
        <f t="shared" si="2"/>
        <v>4</v>
      </c>
    </row>
    <row r="62" spans="1:33" ht="18.75" x14ac:dyDescent="0.25">
      <c r="A62" s="301" t="s">
        <v>136</v>
      </c>
      <c r="B62" s="249"/>
      <c r="C62" s="162"/>
      <c r="D62" s="162"/>
      <c r="E62" s="162"/>
      <c r="F62" s="162"/>
      <c r="G62" s="162"/>
      <c r="H62" s="162"/>
      <c r="I62" s="162"/>
      <c r="J62" s="162"/>
      <c r="K62" s="162"/>
      <c r="L62" s="162"/>
      <c r="M62" s="162"/>
      <c r="N62" s="162"/>
      <c r="O62" s="162">
        <v>1</v>
      </c>
      <c r="P62" s="162"/>
      <c r="Q62" s="162"/>
      <c r="R62" s="162"/>
      <c r="S62" s="162"/>
      <c r="T62" s="162">
        <v>2</v>
      </c>
      <c r="U62" s="162">
        <v>1</v>
      </c>
      <c r="V62" s="162"/>
      <c r="W62" s="162">
        <v>1</v>
      </c>
      <c r="X62" s="162">
        <v>1</v>
      </c>
      <c r="Y62" s="162"/>
      <c r="Z62" s="162"/>
      <c r="AA62" s="162">
        <v>1</v>
      </c>
      <c r="AB62" s="162"/>
      <c r="AC62" s="162">
        <v>2</v>
      </c>
      <c r="AD62" s="162"/>
      <c r="AE62" s="162"/>
      <c r="AF62" s="161"/>
      <c r="AG62" s="64">
        <f t="shared" si="2"/>
        <v>9</v>
      </c>
    </row>
    <row r="63" spans="1:33" ht="18.75" x14ac:dyDescent="0.25">
      <c r="A63" s="301" t="s">
        <v>135</v>
      </c>
      <c r="B63" s="249"/>
      <c r="C63" s="162"/>
      <c r="D63" s="162"/>
      <c r="E63" s="162">
        <v>1</v>
      </c>
      <c r="F63" s="162"/>
      <c r="G63" s="162"/>
      <c r="H63" s="162">
        <v>1</v>
      </c>
      <c r="I63" s="162"/>
      <c r="J63" s="162">
        <v>1</v>
      </c>
      <c r="K63" s="162">
        <v>2</v>
      </c>
      <c r="L63" s="162"/>
      <c r="M63" s="162"/>
      <c r="N63" s="162"/>
      <c r="O63" s="162">
        <v>1</v>
      </c>
      <c r="P63" s="162"/>
      <c r="Q63" s="162"/>
      <c r="R63" s="162"/>
      <c r="S63" s="162">
        <v>1</v>
      </c>
      <c r="T63" s="162"/>
      <c r="U63" s="162">
        <v>1</v>
      </c>
      <c r="V63" s="162">
        <v>1</v>
      </c>
      <c r="W63" s="162">
        <v>1</v>
      </c>
      <c r="X63" s="162"/>
      <c r="Y63" s="162"/>
      <c r="Z63" s="162">
        <v>1</v>
      </c>
      <c r="AA63" s="162">
        <v>1</v>
      </c>
      <c r="AB63" s="162"/>
      <c r="AC63" s="162"/>
      <c r="AD63" s="162"/>
      <c r="AE63" s="162"/>
      <c r="AF63" s="161"/>
      <c r="AG63" s="64">
        <f t="shared" si="2"/>
        <v>12</v>
      </c>
    </row>
    <row r="64" spans="1:33" ht="18.75" x14ac:dyDescent="0.25">
      <c r="A64" s="301" t="s">
        <v>134</v>
      </c>
      <c r="B64" s="249">
        <v>7</v>
      </c>
      <c r="C64" s="162">
        <v>2</v>
      </c>
      <c r="D64" s="162">
        <v>1</v>
      </c>
      <c r="E64" s="162">
        <v>1</v>
      </c>
      <c r="F64" s="162"/>
      <c r="G64" s="162"/>
      <c r="H64" s="162"/>
      <c r="I64" s="162"/>
      <c r="J64" s="162">
        <v>2</v>
      </c>
      <c r="K64" s="162">
        <v>1</v>
      </c>
      <c r="L64" s="162">
        <v>7</v>
      </c>
      <c r="M64" s="162">
        <v>2</v>
      </c>
      <c r="N64" s="162">
        <v>1</v>
      </c>
      <c r="O64" s="162"/>
      <c r="P64" s="162">
        <v>1</v>
      </c>
      <c r="Q64" s="162">
        <v>1</v>
      </c>
      <c r="R64" s="162">
        <v>5</v>
      </c>
      <c r="S64" s="162"/>
      <c r="T64" s="162">
        <v>1</v>
      </c>
      <c r="U64" s="162"/>
      <c r="V64" s="162">
        <v>1</v>
      </c>
      <c r="W64" s="162">
        <v>3</v>
      </c>
      <c r="X64" s="162">
        <v>1</v>
      </c>
      <c r="Y64" s="162"/>
      <c r="Z64" s="162"/>
      <c r="AA64" s="162">
        <v>2</v>
      </c>
      <c r="AB64" s="162"/>
      <c r="AC64" s="162"/>
      <c r="AD64" s="162">
        <v>1</v>
      </c>
      <c r="AE64" s="162"/>
      <c r="AF64" s="161"/>
      <c r="AG64" s="64">
        <f t="shared" si="2"/>
        <v>40</v>
      </c>
    </row>
    <row r="65" spans="1:33" ht="18.75" x14ac:dyDescent="0.25">
      <c r="A65" s="301" t="s">
        <v>133</v>
      </c>
      <c r="B65" s="249">
        <v>1</v>
      </c>
      <c r="C65" s="162">
        <v>3</v>
      </c>
      <c r="D65" s="162">
        <v>3</v>
      </c>
      <c r="E65" s="162">
        <v>2</v>
      </c>
      <c r="F65" s="162"/>
      <c r="G65" s="162">
        <v>2</v>
      </c>
      <c r="H65" s="162"/>
      <c r="I65" s="162"/>
      <c r="J65" s="162"/>
      <c r="K65" s="162">
        <v>1</v>
      </c>
      <c r="L65" s="162">
        <v>2</v>
      </c>
      <c r="M65" s="162">
        <v>5</v>
      </c>
      <c r="N65" s="162">
        <v>1</v>
      </c>
      <c r="O65" s="162"/>
      <c r="P65" s="162">
        <v>4</v>
      </c>
      <c r="Q65" s="162"/>
      <c r="R65" s="162">
        <v>1</v>
      </c>
      <c r="S65" s="162">
        <v>1</v>
      </c>
      <c r="T65" s="162"/>
      <c r="U65" s="162"/>
      <c r="V65" s="162"/>
      <c r="W65" s="162">
        <v>5</v>
      </c>
      <c r="X65" s="162">
        <v>2</v>
      </c>
      <c r="Y65" s="162">
        <v>2</v>
      </c>
      <c r="Z65" s="162"/>
      <c r="AA65" s="162">
        <v>2</v>
      </c>
      <c r="AB65" s="162"/>
      <c r="AC65" s="162"/>
      <c r="AD65" s="162">
        <v>2</v>
      </c>
      <c r="AE65" s="162">
        <v>2</v>
      </c>
      <c r="AF65" s="161">
        <v>2</v>
      </c>
      <c r="AG65" s="64">
        <f t="shared" si="2"/>
        <v>43</v>
      </c>
    </row>
    <row r="66" spans="1:33" ht="18.75" x14ac:dyDescent="0.25">
      <c r="A66" s="301" t="s">
        <v>132</v>
      </c>
      <c r="B66" s="249">
        <v>2</v>
      </c>
      <c r="C66" s="162">
        <v>1</v>
      </c>
      <c r="D66" s="162"/>
      <c r="E66" s="162">
        <v>2</v>
      </c>
      <c r="F66" s="162"/>
      <c r="G66" s="162">
        <v>1</v>
      </c>
      <c r="H66" s="162">
        <v>1</v>
      </c>
      <c r="I66" s="162">
        <v>1</v>
      </c>
      <c r="J66" s="162">
        <v>1</v>
      </c>
      <c r="K66" s="162"/>
      <c r="L66" s="162">
        <v>2</v>
      </c>
      <c r="M66" s="162">
        <v>3</v>
      </c>
      <c r="N66" s="162"/>
      <c r="O66" s="162"/>
      <c r="P66" s="162">
        <v>3</v>
      </c>
      <c r="Q66" s="162">
        <v>2</v>
      </c>
      <c r="R66" s="162">
        <v>4</v>
      </c>
      <c r="S66" s="162">
        <v>1</v>
      </c>
      <c r="T66" s="162"/>
      <c r="U66" s="162"/>
      <c r="V66" s="162"/>
      <c r="W66" s="162">
        <v>8</v>
      </c>
      <c r="X66" s="162"/>
      <c r="Y66" s="162">
        <v>3</v>
      </c>
      <c r="Z66" s="162"/>
      <c r="AA66" s="162"/>
      <c r="AB66" s="162"/>
      <c r="AC66" s="162">
        <v>1</v>
      </c>
      <c r="AD66" s="162">
        <v>4</v>
      </c>
      <c r="AE66" s="162"/>
      <c r="AF66" s="161">
        <v>3</v>
      </c>
      <c r="AG66" s="64">
        <f t="shared" si="2"/>
        <v>43</v>
      </c>
    </row>
    <row r="67" spans="1:33" ht="18.75" x14ac:dyDescent="0.25">
      <c r="A67" s="301" t="s">
        <v>131</v>
      </c>
      <c r="B67" s="249">
        <v>5</v>
      </c>
      <c r="C67" s="162">
        <v>2</v>
      </c>
      <c r="D67" s="162">
        <v>2</v>
      </c>
      <c r="E67" s="162">
        <v>4</v>
      </c>
      <c r="F67" s="162"/>
      <c r="G67" s="162"/>
      <c r="H67" s="162"/>
      <c r="I67" s="162">
        <v>2</v>
      </c>
      <c r="J67" s="162">
        <v>1</v>
      </c>
      <c r="K67" s="162">
        <v>1</v>
      </c>
      <c r="L67" s="162"/>
      <c r="M67" s="162">
        <v>1</v>
      </c>
      <c r="N67" s="162"/>
      <c r="O67" s="162"/>
      <c r="P67" s="162"/>
      <c r="Q67" s="162">
        <v>1</v>
      </c>
      <c r="R67" s="162">
        <v>1</v>
      </c>
      <c r="S67" s="162">
        <v>1</v>
      </c>
      <c r="T67" s="162"/>
      <c r="U67" s="162"/>
      <c r="V67" s="162">
        <v>1</v>
      </c>
      <c r="W67" s="162"/>
      <c r="X67" s="162">
        <v>3</v>
      </c>
      <c r="Y67" s="162">
        <v>5</v>
      </c>
      <c r="Z67" s="162">
        <v>1</v>
      </c>
      <c r="AA67" s="162">
        <v>7</v>
      </c>
      <c r="AB67" s="162"/>
      <c r="AC67" s="162"/>
      <c r="AD67" s="162"/>
      <c r="AE67" s="162"/>
      <c r="AF67" s="161">
        <v>1</v>
      </c>
      <c r="AG67" s="64">
        <f t="shared" ref="AG67:AG98" si="5">SUM(B67:AF67)</f>
        <v>39</v>
      </c>
    </row>
    <row r="68" spans="1:33" ht="18.75" x14ac:dyDescent="0.25">
      <c r="A68" s="301" t="s">
        <v>130</v>
      </c>
      <c r="B68" s="249">
        <v>2</v>
      </c>
      <c r="C68" s="162"/>
      <c r="D68" s="162"/>
      <c r="E68" s="162">
        <v>2</v>
      </c>
      <c r="F68" s="162"/>
      <c r="G68" s="162"/>
      <c r="H68" s="162">
        <v>1</v>
      </c>
      <c r="I68" s="162"/>
      <c r="J68" s="162">
        <v>10</v>
      </c>
      <c r="K68" s="162">
        <v>1</v>
      </c>
      <c r="L68" s="162">
        <v>1</v>
      </c>
      <c r="M68" s="162"/>
      <c r="N68" s="162">
        <v>1</v>
      </c>
      <c r="O68" s="162"/>
      <c r="P68" s="162"/>
      <c r="Q68" s="162"/>
      <c r="R68" s="162"/>
      <c r="S68" s="162"/>
      <c r="T68" s="162"/>
      <c r="U68" s="162">
        <v>2</v>
      </c>
      <c r="V68" s="162"/>
      <c r="W68" s="162">
        <v>6</v>
      </c>
      <c r="X68" s="162">
        <v>1</v>
      </c>
      <c r="Y68" s="162"/>
      <c r="Z68" s="162"/>
      <c r="AA68" s="162">
        <v>1</v>
      </c>
      <c r="AB68" s="162"/>
      <c r="AC68" s="162"/>
      <c r="AD68" s="162"/>
      <c r="AE68" s="162"/>
      <c r="AF68" s="161"/>
      <c r="AG68" s="64">
        <f t="shared" si="5"/>
        <v>28</v>
      </c>
    </row>
    <row r="69" spans="1:33" ht="18.75" x14ac:dyDescent="0.25">
      <c r="A69" s="301" t="s">
        <v>129</v>
      </c>
      <c r="B69" s="249"/>
      <c r="C69" s="162"/>
      <c r="D69" s="162"/>
      <c r="E69" s="162"/>
      <c r="F69" s="162">
        <v>1</v>
      </c>
      <c r="G69" s="162">
        <v>1</v>
      </c>
      <c r="H69" s="162"/>
      <c r="I69" s="162"/>
      <c r="J69" s="162"/>
      <c r="K69" s="162">
        <v>2</v>
      </c>
      <c r="L69" s="162"/>
      <c r="M69" s="162">
        <v>1</v>
      </c>
      <c r="N69" s="162"/>
      <c r="O69" s="162"/>
      <c r="P69" s="162"/>
      <c r="Q69" s="162"/>
      <c r="R69" s="162"/>
      <c r="S69" s="162"/>
      <c r="T69" s="162"/>
      <c r="U69" s="162">
        <v>1</v>
      </c>
      <c r="V69" s="162"/>
      <c r="W69" s="162">
        <v>2</v>
      </c>
      <c r="X69" s="162"/>
      <c r="Y69" s="162"/>
      <c r="Z69" s="162"/>
      <c r="AA69" s="162"/>
      <c r="AB69" s="162"/>
      <c r="AC69" s="162"/>
      <c r="AD69" s="162"/>
      <c r="AE69" s="162"/>
      <c r="AF69" s="161"/>
      <c r="AG69" s="64">
        <f t="shared" si="5"/>
        <v>8</v>
      </c>
    </row>
    <row r="70" spans="1:33" ht="18.75" x14ac:dyDescent="0.25">
      <c r="A70" s="301" t="s">
        <v>128</v>
      </c>
      <c r="B70" s="248"/>
      <c r="C70" s="199"/>
      <c r="D70" s="162"/>
      <c r="E70" s="199"/>
      <c r="F70" s="199"/>
      <c r="G70" s="162"/>
      <c r="H70" s="199"/>
      <c r="I70" s="162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>
        <v>1</v>
      </c>
      <c r="V70" s="199"/>
      <c r="W70" s="199"/>
      <c r="X70" s="199"/>
      <c r="Y70" s="199"/>
      <c r="Z70" s="199"/>
      <c r="AA70" s="199"/>
      <c r="AB70" s="199">
        <v>1</v>
      </c>
      <c r="AC70" s="199"/>
      <c r="AD70" s="199"/>
      <c r="AE70" s="199"/>
      <c r="AF70" s="206"/>
      <c r="AG70" s="64">
        <f t="shared" si="5"/>
        <v>2</v>
      </c>
    </row>
    <row r="71" spans="1:33" ht="18.75" x14ac:dyDescent="0.25">
      <c r="A71" s="301" t="s">
        <v>127</v>
      </c>
      <c r="B71" s="248"/>
      <c r="C71" s="199"/>
      <c r="D71" s="162"/>
      <c r="E71" s="199"/>
      <c r="F71" s="199"/>
      <c r="G71" s="162">
        <v>1</v>
      </c>
      <c r="H71" s="199">
        <v>1</v>
      </c>
      <c r="I71" s="162"/>
      <c r="J71" s="199"/>
      <c r="K71" s="199"/>
      <c r="L71" s="199">
        <v>1</v>
      </c>
      <c r="M71" s="199"/>
      <c r="N71" s="199"/>
      <c r="O71" s="199"/>
      <c r="P71" s="199"/>
      <c r="Q71" s="199">
        <v>1</v>
      </c>
      <c r="R71" s="199">
        <v>1</v>
      </c>
      <c r="S71" s="199"/>
      <c r="T71" s="199"/>
      <c r="U71" s="199"/>
      <c r="V71" s="199"/>
      <c r="W71" s="199"/>
      <c r="X71" s="199"/>
      <c r="Y71" s="199"/>
      <c r="Z71" s="199"/>
      <c r="AA71" s="199"/>
      <c r="AB71" s="199"/>
      <c r="AC71" s="199"/>
      <c r="AD71" s="199"/>
      <c r="AE71" s="199"/>
      <c r="AF71" s="206"/>
      <c r="AG71" s="64">
        <f t="shared" si="5"/>
        <v>5</v>
      </c>
    </row>
    <row r="72" spans="1:33" ht="18.75" x14ac:dyDescent="0.25">
      <c r="A72" s="301" t="s">
        <v>126</v>
      </c>
      <c r="B72" s="248"/>
      <c r="C72" s="199"/>
      <c r="D72" s="162"/>
      <c r="E72" s="199"/>
      <c r="F72" s="199">
        <v>1</v>
      </c>
      <c r="G72" s="162"/>
      <c r="H72" s="199"/>
      <c r="I72" s="162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199"/>
      <c r="X72" s="199"/>
      <c r="Y72" s="199"/>
      <c r="Z72" s="199"/>
      <c r="AA72" s="199"/>
      <c r="AB72" s="199"/>
      <c r="AC72" s="199">
        <v>1</v>
      </c>
      <c r="AD72" s="199"/>
      <c r="AE72" s="199"/>
      <c r="AF72" s="206"/>
      <c r="AG72" s="64">
        <f t="shared" si="5"/>
        <v>2</v>
      </c>
    </row>
    <row r="73" spans="1:33" ht="18.75" x14ac:dyDescent="0.25">
      <c r="A73" s="301" t="s">
        <v>125</v>
      </c>
      <c r="B73" s="248"/>
      <c r="C73" s="199"/>
      <c r="D73" s="162"/>
      <c r="E73" s="199"/>
      <c r="F73" s="199"/>
      <c r="G73" s="162"/>
      <c r="H73" s="199"/>
      <c r="I73" s="162"/>
      <c r="J73" s="199"/>
      <c r="K73" s="199"/>
      <c r="L73" s="199"/>
      <c r="M73" s="199"/>
      <c r="N73" s="199"/>
      <c r="O73" s="199"/>
      <c r="P73" s="199"/>
      <c r="Q73" s="199"/>
      <c r="R73" s="199"/>
      <c r="S73" s="199"/>
      <c r="T73" s="199"/>
      <c r="U73" s="199"/>
      <c r="V73" s="199"/>
      <c r="W73" s="199"/>
      <c r="X73" s="199"/>
      <c r="Y73" s="199"/>
      <c r="Z73" s="199"/>
      <c r="AA73" s="199"/>
      <c r="AB73" s="199"/>
      <c r="AC73" s="199"/>
      <c r="AD73" s="199"/>
      <c r="AE73" s="199"/>
      <c r="AF73" s="206"/>
      <c r="AG73" s="64">
        <f t="shared" si="5"/>
        <v>0</v>
      </c>
    </row>
    <row r="74" spans="1:33" ht="18.75" x14ac:dyDescent="0.25">
      <c r="A74" s="301" t="s">
        <v>124</v>
      </c>
      <c r="B74" s="248"/>
      <c r="C74" s="199"/>
      <c r="D74" s="162"/>
      <c r="E74" s="199"/>
      <c r="F74" s="199"/>
      <c r="G74" s="162"/>
      <c r="H74" s="199"/>
      <c r="I74" s="162"/>
      <c r="J74" s="199"/>
      <c r="K74" s="199"/>
      <c r="L74" s="199"/>
      <c r="M74" s="199"/>
      <c r="N74" s="199"/>
      <c r="O74" s="199"/>
      <c r="P74" s="199"/>
      <c r="Q74" s="199"/>
      <c r="R74" s="199"/>
      <c r="S74" s="199"/>
      <c r="T74" s="199"/>
      <c r="U74" s="199"/>
      <c r="V74" s="199"/>
      <c r="W74" s="199"/>
      <c r="X74" s="199"/>
      <c r="Y74" s="199"/>
      <c r="Z74" s="199"/>
      <c r="AA74" s="199"/>
      <c r="AB74" s="199"/>
      <c r="AC74" s="199"/>
      <c r="AD74" s="199"/>
      <c r="AE74" s="199"/>
      <c r="AF74" s="206"/>
      <c r="AG74" s="64">
        <f t="shared" si="5"/>
        <v>0</v>
      </c>
    </row>
    <row r="75" spans="1:33" ht="18.75" x14ac:dyDescent="0.25">
      <c r="A75" s="301" t="s">
        <v>123</v>
      </c>
      <c r="B75" s="248"/>
      <c r="C75" s="199"/>
      <c r="D75" s="162"/>
      <c r="E75" s="199"/>
      <c r="F75" s="199"/>
      <c r="G75" s="162"/>
      <c r="H75" s="199"/>
      <c r="I75" s="162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9"/>
      <c r="Y75" s="199"/>
      <c r="Z75" s="199"/>
      <c r="AA75" s="199"/>
      <c r="AB75" s="199"/>
      <c r="AC75" s="199">
        <v>1</v>
      </c>
      <c r="AD75" s="199"/>
      <c r="AE75" s="199"/>
      <c r="AF75" s="206"/>
      <c r="AG75" s="64">
        <f t="shared" si="5"/>
        <v>1</v>
      </c>
    </row>
    <row r="76" spans="1:33" ht="18.75" x14ac:dyDescent="0.25">
      <c r="A76" s="301" t="s">
        <v>122</v>
      </c>
      <c r="B76" s="248"/>
      <c r="C76" s="199"/>
      <c r="D76" s="162"/>
      <c r="E76" s="199"/>
      <c r="F76" s="199"/>
      <c r="G76" s="162"/>
      <c r="H76" s="199"/>
      <c r="I76" s="162"/>
      <c r="J76" s="199"/>
      <c r="K76" s="199"/>
      <c r="L76" s="199"/>
      <c r="M76" s="199"/>
      <c r="N76" s="199"/>
      <c r="O76" s="199"/>
      <c r="P76" s="199"/>
      <c r="Q76" s="199"/>
      <c r="R76" s="199"/>
      <c r="S76" s="199"/>
      <c r="T76" s="199"/>
      <c r="U76" s="199"/>
      <c r="V76" s="199"/>
      <c r="W76" s="199"/>
      <c r="X76" s="199"/>
      <c r="Y76" s="199"/>
      <c r="Z76" s="199"/>
      <c r="AA76" s="199"/>
      <c r="AB76" s="199"/>
      <c r="AC76" s="199"/>
      <c r="AD76" s="199"/>
      <c r="AE76" s="199"/>
      <c r="AF76" s="206"/>
      <c r="AG76" s="64">
        <f t="shared" si="5"/>
        <v>0</v>
      </c>
    </row>
    <row r="77" spans="1:33" ht="19.5" thickBot="1" x14ac:dyDescent="0.3">
      <c r="A77" s="305" t="s">
        <v>121</v>
      </c>
      <c r="B77" s="253"/>
      <c r="C77" s="184"/>
      <c r="D77" s="181"/>
      <c r="E77" s="184"/>
      <c r="F77" s="184"/>
      <c r="G77" s="181">
        <v>1</v>
      </c>
      <c r="H77" s="184"/>
      <c r="I77" s="181"/>
      <c r="J77" s="184"/>
      <c r="K77" s="184"/>
      <c r="L77" s="184"/>
      <c r="M77" s="184"/>
      <c r="N77" s="184"/>
      <c r="O77" s="184"/>
      <c r="P77" s="184"/>
      <c r="Q77" s="184"/>
      <c r="R77" s="184"/>
      <c r="S77" s="184"/>
      <c r="T77" s="184"/>
      <c r="U77" s="184"/>
      <c r="V77" s="184"/>
      <c r="W77" s="184"/>
      <c r="X77" s="184"/>
      <c r="Y77" s="184"/>
      <c r="Z77" s="184">
        <v>1</v>
      </c>
      <c r="AA77" s="184"/>
      <c r="AB77" s="184"/>
      <c r="AC77" s="184"/>
      <c r="AD77" s="184"/>
      <c r="AE77" s="184"/>
      <c r="AF77" s="183"/>
      <c r="AG77" s="160">
        <f t="shared" si="5"/>
        <v>2</v>
      </c>
    </row>
    <row r="78" spans="1:33" ht="19.5" hidden="1" customHeight="1" thickBot="1" x14ac:dyDescent="0.3">
      <c r="A78" s="306" t="s">
        <v>120</v>
      </c>
      <c r="B78" s="254">
        <f t="shared" ref="B78:AF78" si="6">SUM(B79:B80)</f>
        <v>177</v>
      </c>
      <c r="C78" s="204">
        <f t="shared" si="6"/>
        <v>126</v>
      </c>
      <c r="D78" s="204">
        <f t="shared" si="6"/>
        <v>157</v>
      </c>
      <c r="E78" s="201">
        <f t="shared" si="6"/>
        <v>142</v>
      </c>
      <c r="F78" s="201">
        <f t="shared" si="6"/>
        <v>126</v>
      </c>
      <c r="G78" s="201">
        <f t="shared" si="6"/>
        <v>156</v>
      </c>
      <c r="H78" s="201">
        <f t="shared" si="6"/>
        <v>165</v>
      </c>
      <c r="I78" s="201">
        <f t="shared" si="6"/>
        <v>155</v>
      </c>
      <c r="J78" s="201">
        <f t="shared" si="6"/>
        <v>154</v>
      </c>
      <c r="K78" s="201">
        <f t="shared" si="6"/>
        <v>155</v>
      </c>
      <c r="L78" s="201">
        <f t="shared" si="6"/>
        <v>156</v>
      </c>
      <c r="M78" s="201">
        <f t="shared" si="6"/>
        <v>149</v>
      </c>
      <c r="N78" s="201">
        <f t="shared" si="6"/>
        <v>172</v>
      </c>
      <c r="O78" s="201">
        <f t="shared" si="6"/>
        <v>163</v>
      </c>
      <c r="P78" s="201">
        <f t="shared" si="6"/>
        <v>148</v>
      </c>
      <c r="Q78" s="201">
        <f t="shared" si="6"/>
        <v>159</v>
      </c>
      <c r="R78" s="201">
        <f t="shared" si="6"/>
        <v>148</v>
      </c>
      <c r="S78" s="201">
        <f t="shared" si="6"/>
        <v>128</v>
      </c>
      <c r="T78" s="201">
        <f t="shared" si="6"/>
        <v>124</v>
      </c>
      <c r="U78" s="201">
        <f t="shared" si="6"/>
        <v>173</v>
      </c>
      <c r="V78" s="201">
        <f t="shared" si="6"/>
        <v>147</v>
      </c>
      <c r="W78" s="201">
        <f t="shared" si="6"/>
        <v>199</v>
      </c>
      <c r="X78" s="201">
        <f t="shared" si="6"/>
        <v>162</v>
      </c>
      <c r="Y78" s="201">
        <f t="shared" si="6"/>
        <v>143</v>
      </c>
      <c r="Z78" s="201">
        <f t="shared" si="6"/>
        <v>160</v>
      </c>
      <c r="AA78" s="201">
        <f t="shared" si="6"/>
        <v>170</v>
      </c>
      <c r="AB78" s="201">
        <f t="shared" si="6"/>
        <v>115</v>
      </c>
      <c r="AC78" s="201">
        <f t="shared" si="6"/>
        <v>165</v>
      </c>
      <c r="AD78" s="201">
        <f t="shared" si="6"/>
        <v>171</v>
      </c>
      <c r="AE78" s="201">
        <f t="shared" si="6"/>
        <v>122</v>
      </c>
      <c r="AF78" s="203">
        <f t="shared" si="6"/>
        <v>125</v>
      </c>
      <c r="AG78" s="157">
        <f t="shared" si="5"/>
        <v>4712</v>
      </c>
    </row>
    <row r="79" spans="1:33" ht="19.5" hidden="1" customHeight="1" thickBot="1" x14ac:dyDescent="0.3">
      <c r="A79" s="307" t="s">
        <v>118</v>
      </c>
      <c r="B79" s="248">
        <f t="shared" ref="B79:AF79" si="7">SUM(B4:B27)-B80</f>
        <v>177</v>
      </c>
      <c r="C79" s="199">
        <f t="shared" si="7"/>
        <v>126</v>
      </c>
      <c r="D79" s="199">
        <f t="shared" si="7"/>
        <v>157</v>
      </c>
      <c r="E79" s="199">
        <f t="shared" si="7"/>
        <v>142</v>
      </c>
      <c r="F79" s="199">
        <f t="shared" si="7"/>
        <v>97</v>
      </c>
      <c r="G79" s="199">
        <f t="shared" si="7"/>
        <v>74</v>
      </c>
      <c r="H79" s="199">
        <f t="shared" si="7"/>
        <v>92</v>
      </c>
      <c r="I79" s="199">
        <f t="shared" si="7"/>
        <v>155</v>
      </c>
      <c r="J79" s="199">
        <f t="shared" si="7"/>
        <v>154</v>
      </c>
      <c r="K79" s="199">
        <f t="shared" si="7"/>
        <v>155</v>
      </c>
      <c r="L79" s="199">
        <f t="shared" si="7"/>
        <v>156</v>
      </c>
      <c r="M79" s="199">
        <f t="shared" si="7"/>
        <v>129</v>
      </c>
      <c r="N79" s="199">
        <f t="shared" si="7"/>
        <v>87</v>
      </c>
      <c r="O79" s="199">
        <f t="shared" si="7"/>
        <v>75</v>
      </c>
      <c r="P79" s="199">
        <f t="shared" si="7"/>
        <v>148</v>
      </c>
      <c r="Q79" s="199">
        <f t="shared" si="7"/>
        <v>159</v>
      </c>
      <c r="R79" s="199">
        <f t="shared" si="7"/>
        <v>122</v>
      </c>
      <c r="S79" s="199">
        <f t="shared" si="7"/>
        <v>85</v>
      </c>
      <c r="T79" s="199">
        <f t="shared" si="7"/>
        <v>88</v>
      </c>
      <c r="U79" s="199">
        <f t="shared" si="7"/>
        <v>73</v>
      </c>
      <c r="V79" s="199">
        <f t="shared" si="7"/>
        <v>75</v>
      </c>
      <c r="W79" s="199">
        <f t="shared" si="7"/>
        <v>199</v>
      </c>
      <c r="X79" s="199">
        <f t="shared" si="7"/>
        <v>162</v>
      </c>
      <c r="Y79" s="199">
        <f t="shared" si="7"/>
        <v>105</v>
      </c>
      <c r="Z79" s="199">
        <f t="shared" si="7"/>
        <v>160</v>
      </c>
      <c r="AA79" s="199">
        <f t="shared" si="7"/>
        <v>111</v>
      </c>
      <c r="AB79" s="199">
        <f t="shared" si="7"/>
        <v>58</v>
      </c>
      <c r="AC79" s="199">
        <f t="shared" si="7"/>
        <v>75</v>
      </c>
      <c r="AD79" s="199">
        <f t="shared" si="7"/>
        <v>171</v>
      </c>
      <c r="AE79" s="199">
        <f t="shared" si="7"/>
        <v>122</v>
      </c>
      <c r="AF79" s="199">
        <f t="shared" si="7"/>
        <v>92</v>
      </c>
      <c r="AG79" s="134">
        <f t="shared" si="5"/>
        <v>3781</v>
      </c>
    </row>
    <row r="80" spans="1:33" ht="19.5" hidden="1" customHeight="1" thickBot="1" x14ac:dyDescent="0.3">
      <c r="A80" s="308" t="s">
        <v>119</v>
      </c>
      <c r="B80" s="255"/>
      <c r="C80" s="169"/>
      <c r="D80" s="181">
        <v>0</v>
      </c>
      <c r="E80" s="181">
        <v>0</v>
      </c>
      <c r="F80" s="181">
        <f>SUM(F4:F12)</f>
        <v>29</v>
      </c>
      <c r="G80" s="181">
        <f>SUM(G4:G12)</f>
        <v>82</v>
      </c>
      <c r="H80" s="181">
        <f>SUM(H4:H12)</f>
        <v>73</v>
      </c>
      <c r="I80" s="169"/>
      <c r="J80" s="169"/>
      <c r="K80" s="181">
        <v>0</v>
      </c>
      <c r="L80" s="181">
        <v>0</v>
      </c>
      <c r="M80" s="181">
        <f>SUM(M4:M12)</f>
        <v>20</v>
      </c>
      <c r="N80" s="181">
        <f>SUM(N4:N12)</f>
        <v>85</v>
      </c>
      <c r="O80" s="181">
        <f>SUM(O4:O12)</f>
        <v>88</v>
      </c>
      <c r="P80" s="169"/>
      <c r="Q80" s="169"/>
      <c r="R80" s="181">
        <f>SUM(R4:R12)</f>
        <v>26</v>
      </c>
      <c r="S80" s="181">
        <f>SUM(S4:S12)</f>
        <v>43</v>
      </c>
      <c r="T80" s="181">
        <f>SUM(T4:T12)</f>
        <v>36</v>
      </c>
      <c r="U80" s="181">
        <f>SUM(U4:U12)</f>
        <v>100</v>
      </c>
      <c r="V80" s="181">
        <f>SUM(V4:V12)</f>
        <v>72</v>
      </c>
      <c r="W80" s="169"/>
      <c r="X80" s="169"/>
      <c r="Y80" s="181">
        <f>SUM(Y4:Y12)</f>
        <v>38</v>
      </c>
      <c r="Z80" s="169"/>
      <c r="AA80" s="181">
        <f>SUM(AA4:AA12)</f>
        <v>59</v>
      </c>
      <c r="AB80" s="181">
        <f>SUM(AB4:AB12)</f>
        <v>57</v>
      </c>
      <c r="AC80" s="181">
        <f>SUM(AC4:AC12)</f>
        <v>90</v>
      </c>
      <c r="AD80" s="169"/>
      <c r="AE80" s="169"/>
      <c r="AF80" s="181">
        <f>SUM(AF4:AF12)</f>
        <v>33</v>
      </c>
      <c r="AG80" s="160">
        <f t="shared" si="5"/>
        <v>931</v>
      </c>
    </row>
    <row r="81" spans="1:35" ht="19.5" thickBot="1" x14ac:dyDescent="0.3">
      <c r="A81" s="306" t="s">
        <v>84</v>
      </c>
      <c r="B81" s="256">
        <f t="shared" ref="B81:AF81" si="8">SUM(B82:B83)</f>
        <v>17</v>
      </c>
      <c r="C81" s="201">
        <f t="shared" si="8"/>
        <v>8</v>
      </c>
      <c r="D81" s="201">
        <f t="shared" si="8"/>
        <v>6</v>
      </c>
      <c r="E81" s="201">
        <f t="shared" si="8"/>
        <v>12</v>
      </c>
      <c r="F81" s="201">
        <f t="shared" si="8"/>
        <v>2</v>
      </c>
      <c r="G81" s="201">
        <f t="shared" si="8"/>
        <v>7</v>
      </c>
      <c r="H81" s="201">
        <f t="shared" si="8"/>
        <v>7</v>
      </c>
      <c r="I81" s="201">
        <f t="shared" si="8"/>
        <v>5</v>
      </c>
      <c r="J81" s="201">
        <f t="shared" si="8"/>
        <v>15</v>
      </c>
      <c r="K81" s="201">
        <f t="shared" si="8"/>
        <v>8</v>
      </c>
      <c r="L81" s="201">
        <f t="shared" si="8"/>
        <v>13</v>
      </c>
      <c r="M81" s="201">
        <f t="shared" si="8"/>
        <v>12</v>
      </c>
      <c r="N81" s="201">
        <f t="shared" si="8"/>
        <v>4</v>
      </c>
      <c r="O81" s="201">
        <f t="shared" si="8"/>
        <v>4</v>
      </c>
      <c r="P81" s="201">
        <f t="shared" si="8"/>
        <v>8</v>
      </c>
      <c r="Q81" s="201">
        <f t="shared" si="8"/>
        <v>8</v>
      </c>
      <c r="R81" s="201">
        <f t="shared" si="8"/>
        <v>12</v>
      </c>
      <c r="S81" s="201">
        <f t="shared" si="8"/>
        <v>4</v>
      </c>
      <c r="T81" s="201">
        <f t="shared" si="8"/>
        <v>3</v>
      </c>
      <c r="U81" s="201">
        <f t="shared" si="8"/>
        <v>9</v>
      </c>
      <c r="V81" s="201">
        <f t="shared" si="8"/>
        <v>4</v>
      </c>
      <c r="W81" s="201">
        <f t="shared" si="8"/>
        <v>28</v>
      </c>
      <c r="X81" s="201">
        <f t="shared" si="8"/>
        <v>10</v>
      </c>
      <c r="Y81" s="201">
        <f t="shared" si="8"/>
        <v>10</v>
      </c>
      <c r="Z81" s="201">
        <f t="shared" si="8"/>
        <v>5</v>
      </c>
      <c r="AA81" s="201">
        <f t="shared" si="8"/>
        <v>17</v>
      </c>
      <c r="AB81" s="201">
        <f t="shared" si="8"/>
        <v>1</v>
      </c>
      <c r="AC81" s="201">
        <f t="shared" si="8"/>
        <v>7</v>
      </c>
      <c r="AD81" s="201">
        <f t="shared" si="8"/>
        <v>9</v>
      </c>
      <c r="AE81" s="201">
        <f t="shared" si="8"/>
        <v>2</v>
      </c>
      <c r="AF81" s="201">
        <f t="shared" si="8"/>
        <v>6</v>
      </c>
      <c r="AG81" s="157">
        <f t="shared" si="5"/>
        <v>263</v>
      </c>
      <c r="AH81" s="53" t="str">
        <f>IF(AG81&lt;&gt;AG53,"*","")</f>
        <v/>
      </c>
    </row>
    <row r="82" spans="1:35" ht="18.75" x14ac:dyDescent="0.25">
      <c r="A82" s="307" t="s">
        <v>119</v>
      </c>
      <c r="B82" s="248">
        <f t="shared" ref="B82:AF82" si="9">SUM(B54:B62)</f>
        <v>0</v>
      </c>
      <c r="C82" s="199">
        <f t="shared" si="9"/>
        <v>0</v>
      </c>
      <c r="D82" s="199">
        <f t="shared" si="9"/>
        <v>0</v>
      </c>
      <c r="E82" s="199">
        <f t="shared" si="9"/>
        <v>0</v>
      </c>
      <c r="F82" s="199">
        <f t="shared" si="9"/>
        <v>0</v>
      </c>
      <c r="G82" s="218"/>
      <c r="H82" s="218"/>
      <c r="I82" s="199">
        <f t="shared" si="9"/>
        <v>2</v>
      </c>
      <c r="J82" s="199">
        <f t="shared" si="9"/>
        <v>0</v>
      </c>
      <c r="K82" s="199">
        <f t="shared" si="9"/>
        <v>0</v>
      </c>
      <c r="L82" s="199">
        <f t="shared" si="9"/>
        <v>0</v>
      </c>
      <c r="M82" s="199">
        <f t="shared" si="9"/>
        <v>0</v>
      </c>
      <c r="N82" s="218"/>
      <c r="O82" s="218"/>
      <c r="P82" s="199">
        <f t="shared" si="9"/>
        <v>0</v>
      </c>
      <c r="Q82" s="199">
        <f t="shared" si="9"/>
        <v>3</v>
      </c>
      <c r="R82" s="199">
        <f t="shared" si="9"/>
        <v>0</v>
      </c>
      <c r="S82" s="199">
        <f t="shared" si="9"/>
        <v>0</v>
      </c>
      <c r="T82" s="199">
        <f t="shared" si="9"/>
        <v>2</v>
      </c>
      <c r="U82" s="218"/>
      <c r="V82" s="218"/>
      <c r="W82" s="199">
        <f t="shared" si="9"/>
        <v>3</v>
      </c>
      <c r="X82" s="199">
        <f t="shared" si="9"/>
        <v>3</v>
      </c>
      <c r="Y82" s="199">
        <f t="shared" si="9"/>
        <v>0</v>
      </c>
      <c r="Z82" s="199">
        <f t="shared" si="9"/>
        <v>2</v>
      </c>
      <c r="AA82" s="199">
        <f t="shared" si="9"/>
        <v>4</v>
      </c>
      <c r="AB82" s="218"/>
      <c r="AC82" s="218"/>
      <c r="AD82" s="199">
        <f t="shared" si="9"/>
        <v>2</v>
      </c>
      <c r="AE82" s="199">
        <f t="shared" si="9"/>
        <v>0</v>
      </c>
      <c r="AF82" s="199">
        <f t="shared" si="9"/>
        <v>0</v>
      </c>
      <c r="AG82" s="134">
        <f t="shared" si="5"/>
        <v>21</v>
      </c>
    </row>
    <row r="83" spans="1:35" ht="19.5" thickBot="1" x14ac:dyDescent="0.3">
      <c r="A83" s="308" t="s">
        <v>118</v>
      </c>
      <c r="B83" s="252">
        <f t="shared" ref="B83:AF83" si="10">SUM(B54:B77)-B82</f>
        <v>17</v>
      </c>
      <c r="C83" s="181">
        <f t="shared" si="10"/>
        <v>8</v>
      </c>
      <c r="D83" s="181">
        <f t="shared" si="10"/>
        <v>6</v>
      </c>
      <c r="E83" s="181">
        <f t="shared" si="10"/>
        <v>12</v>
      </c>
      <c r="F83" s="181">
        <f t="shared" si="10"/>
        <v>2</v>
      </c>
      <c r="G83" s="181">
        <f t="shared" si="10"/>
        <v>7</v>
      </c>
      <c r="H83" s="181">
        <f t="shared" si="10"/>
        <v>7</v>
      </c>
      <c r="I83" s="181">
        <f t="shared" si="10"/>
        <v>3</v>
      </c>
      <c r="J83" s="181">
        <f t="shared" si="10"/>
        <v>15</v>
      </c>
      <c r="K83" s="181">
        <f t="shared" si="10"/>
        <v>8</v>
      </c>
      <c r="L83" s="181">
        <f t="shared" si="10"/>
        <v>13</v>
      </c>
      <c r="M83" s="181">
        <f t="shared" si="10"/>
        <v>12</v>
      </c>
      <c r="N83" s="181">
        <f t="shared" si="10"/>
        <v>4</v>
      </c>
      <c r="O83" s="181">
        <f t="shared" si="10"/>
        <v>4</v>
      </c>
      <c r="P83" s="181">
        <f t="shared" si="10"/>
        <v>8</v>
      </c>
      <c r="Q83" s="181">
        <f t="shared" si="10"/>
        <v>5</v>
      </c>
      <c r="R83" s="181">
        <f t="shared" si="10"/>
        <v>12</v>
      </c>
      <c r="S83" s="181">
        <f t="shared" si="10"/>
        <v>4</v>
      </c>
      <c r="T83" s="181">
        <f t="shared" si="10"/>
        <v>1</v>
      </c>
      <c r="U83" s="181">
        <f t="shared" si="10"/>
        <v>9</v>
      </c>
      <c r="V83" s="181">
        <f t="shared" si="10"/>
        <v>4</v>
      </c>
      <c r="W83" s="181">
        <f t="shared" si="10"/>
        <v>25</v>
      </c>
      <c r="X83" s="181">
        <f t="shared" si="10"/>
        <v>7</v>
      </c>
      <c r="Y83" s="181">
        <f t="shared" si="10"/>
        <v>10</v>
      </c>
      <c r="Z83" s="181">
        <f t="shared" si="10"/>
        <v>3</v>
      </c>
      <c r="AA83" s="181">
        <f t="shared" si="10"/>
        <v>13</v>
      </c>
      <c r="AB83" s="181">
        <f t="shared" si="10"/>
        <v>1</v>
      </c>
      <c r="AC83" s="181">
        <f t="shared" si="10"/>
        <v>7</v>
      </c>
      <c r="AD83" s="181">
        <f t="shared" si="10"/>
        <v>7</v>
      </c>
      <c r="AE83" s="181">
        <f t="shared" si="10"/>
        <v>2</v>
      </c>
      <c r="AF83" s="181">
        <f t="shared" si="10"/>
        <v>6</v>
      </c>
      <c r="AG83" s="64">
        <f t="shared" si="5"/>
        <v>242</v>
      </c>
    </row>
    <row r="84" spans="1:35" ht="19.5" thickBot="1" x14ac:dyDescent="0.3">
      <c r="A84" s="309" t="s">
        <v>117</v>
      </c>
      <c r="B84" s="257">
        <f t="shared" ref="B84:AF84" si="11">SUM(B85:B86)</f>
        <v>17</v>
      </c>
      <c r="C84" s="158">
        <f t="shared" si="11"/>
        <v>8</v>
      </c>
      <c r="D84" s="158">
        <f t="shared" si="11"/>
        <v>6</v>
      </c>
      <c r="E84" s="158">
        <f t="shared" si="11"/>
        <v>12</v>
      </c>
      <c r="F84" s="158">
        <f t="shared" si="11"/>
        <v>2</v>
      </c>
      <c r="G84" s="158">
        <f t="shared" si="11"/>
        <v>7</v>
      </c>
      <c r="H84" s="158">
        <f t="shared" si="11"/>
        <v>7</v>
      </c>
      <c r="I84" s="158">
        <f t="shared" si="11"/>
        <v>5</v>
      </c>
      <c r="J84" s="158">
        <f t="shared" si="11"/>
        <v>15</v>
      </c>
      <c r="K84" s="158">
        <f t="shared" si="11"/>
        <v>8</v>
      </c>
      <c r="L84" s="158">
        <f t="shared" si="11"/>
        <v>13</v>
      </c>
      <c r="M84" s="158">
        <f t="shared" si="11"/>
        <v>12</v>
      </c>
      <c r="N84" s="158">
        <f t="shared" si="11"/>
        <v>4</v>
      </c>
      <c r="O84" s="158">
        <f t="shared" si="11"/>
        <v>4</v>
      </c>
      <c r="P84" s="158">
        <f t="shared" si="11"/>
        <v>8</v>
      </c>
      <c r="Q84" s="158">
        <f t="shared" si="11"/>
        <v>8</v>
      </c>
      <c r="R84" s="158">
        <f t="shared" si="11"/>
        <v>12</v>
      </c>
      <c r="S84" s="158">
        <f t="shared" si="11"/>
        <v>4</v>
      </c>
      <c r="T84" s="158">
        <f t="shared" si="11"/>
        <v>3</v>
      </c>
      <c r="U84" s="158">
        <f t="shared" si="11"/>
        <v>9</v>
      </c>
      <c r="V84" s="158">
        <f t="shared" si="11"/>
        <v>4</v>
      </c>
      <c r="W84" s="158">
        <f t="shared" si="11"/>
        <v>28</v>
      </c>
      <c r="X84" s="158">
        <f t="shared" si="11"/>
        <v>10</v>
      </c>
      <c r="Y84" s="158">
        <f t="shared" si="11"/>
        <v>10</v>
      </c>
      <c r="Z84" s="158">
        <f t="shared" si="11"/>
        <v>5</v>
      </c>
      <c r="AA84" s="158">
        <f t="shared" si="11"/>
        <v>17</v>
      </c>
      <c r="AB84" s="158">
        <f t="shared" si="11"/>
        <v>1</v>
      </c>
      <c r="AC84" s="158">
        <f t="shared" si="11"/>
        <v>7</v>
      </c>
      <c r="AD84" s="158">
        <f t="shared" si="11"/>
        <v>9</v>
      </c>
      <c r="AE84" s="158">
        <f t="shared" si="11"/>
        <v>2</v>
      </c>
      <c r="AF84" s="158">
        <f t="shared" si="11"/>
        <v>6</v>
      </c>
      <c r="AG84" s="197">
        <f t="shared" si="5"/>
        <v>263</v>
      </c>
      <c r="AH84" s="53" t="str">
        <f>IF(AG84&lt;&gt;AG82+AG83,"*","")</f>
        <v/>
      </c>
      <c r="AI84" s="403" t="s">
        <v>71</v>
      </c>
    </row>
    <row r="85" spans="1:35" ht="18.75" x14ac:dyDescent="0.25">
      <c r="A85" s="310" t="s">
        <v>116</v>
      </c>
      <c r="B85" s="258">
        <v>1</v>
      </c>
      <c r="C85" s="195">
        <v>1</v>
      </c>
      <c r="D85" s="195">
        <v>0</v>
      </c>
      <c r="E85" s="195">
        <v>2</v>
      </c>
      <c r="F85" s="195">
        <v>0</v>
      </c>
      <c r="G85" s="195">
        <v>1</v>
      </c>
      <c r="H85" s="195">
        <v>0</v>
      </c>
      <c r="I85" s="195">
        <v>0</v>
      </c>
      <c r="J85" s="195">
        <v>0</v>
      </c>
      <c r="K85" s="195">
        <v>0</v>
      </c>
      <c r="L85" s="195">
        <v>1</v>
      </c>
      <c r="M85" s="195">
        <v>0</v>
      </c>
      <c r="N85" s="195">
        <v>1</v>
      </c>
      <c r="O85" s="195">
        <v>0</v>
      </c>
      <c r="P85" s="195">
        <v>2</v>
      </c>
      <c r="Q85" s="195">
        <v>1</v>
      </c>
      <c r="R85" s="195">
        <v>0</v>
      </c>
      <c r="S85" s="195">
        <v>0</v>
      </c>
      <c r="T85" s="195">
        <v>0</v>
      </c>
      <c r="U85" s="195">
        <v>0</v>
      </c>
      <c r="V85" s="195">
        <v>0</v>
      </c>
      <c r="W85" s="195">
        <v>7</v>
      </c>
      <c r="X85" s="195">
        <v>1</v>
      </c>
      <c r="Y85" s="195">
        <v>1</v>
      </c>
      <c r="Z85" s="195">
        <v>0</v>
      </c>
      <c r="AA85" s="195">
        <v>0</v>
      </c>
      <c r="AB85" s="195">
        <v>0</v>
      </c>
      <c r="AC85" s="195">
        <v>1</v>
      </c>
      <c r="AD85" s="195">
        <v>0</v>
      </c>
      <c r="AE85" s="195">
        <v>0</v>
      </c>
      <c r="AF85" s="194">
        <v>0</v>
      </c>
      <c r="AG85" s="193">
        <f t="shared" si="5"/>
        <v>20</v>
      </c>
      <c r="AI85" s="404"/>
    </row>
    <row r="86" spans="1:35" ht="19.5" thickBot="1" x14ac:dyDescent="0.3">
      <c r="A86" s="311" t="s">
        <v>115</v>
      </c>
      <c r="B86" s="259">
        <v>16</v>
      </c>
      <c r="C86" s="191">
        <v>7</v>
      </c>
      <c r="D86" s="191">
        <v>6</v>
      </c>
      <c r="E86" s="191">
        <v>10</v>
      </c>
      <c r="F86" s="191">
        <v>2</v>
      </c>
      <c r="G86" s="191">
        <v>6</v>
      </c>
      <c r="H86" s="191">
        <v>7</v>
      </c>
      <c r="I86" s="191">
        <v>5</v>
      </c>
      <c r="J86" s="191">
        <v>15</v>
      </c>
      <c r="K86" s="191">
        <v>8</v>
      </c>
      <c r="L86" s="191">
        <v>12</v>
      </c>
      <c r="M86" s="191">
        <v>12</v>
      </c>
      <c r="N86" s="191">
        <v>3</v>
      </c>
      <c r="O86" s="191">
        <v>4</v>
      </c>
      <c r="P86" s="191">
        <v>6</v>
      </c>
      <c r="Q86" s="191">
        <v>7</v>
      </c>
      <c r="R86" s="191">
        <v>12</v>
      </c>
      <c r="S86" s="191">
        <v>4</v>
      </c>
      <c r="T86" s="191">
        <v>3</v>
      </c>
      <c r="U86" s="191">
        <v>9</v>
      </c>
      <c r="V86" s="191">
        <v>4</v>
      </c>
      <c r="W86" s="191">
        <v>21</v>
      </c>
      <c r="X86" s="191">
        <v>9</v>
      </c>
      <c r="Y86" s="191">
        <v>9</v>
      </c>
      <c r="Z86" s="191">
        <v>5</v>
      </c>
      <c r="AA86" s="191">
        <v>17</v>
      </c>
      <c r="AB86" s="191">
        <v>1</v>
      </c>
      <c r="AC86" s="191">
        <v>6</v>
      </c>
      <c r="AD86" s="191">
        <v>9</v>
      </c>
      <c r="AE86" s="191">
        <v>2</v>
      </c>
      <c r="AF86" s="190">
        <v>6</v>
      </c>
      <c r="AG86" s="189">
        <f t="shared" si="5"/>
        <v>243</v>
      </c>
      <c r="AI86" s="405"/>
    </row>
    <row r="87" spans="1:35" ht="19.5" thickBot="1" x14ac:dyDescent="0.3">
      <c r="A87" s="312" t="s">
        <v>114</v>
      </c>
      <c r="B87" s="260">
        <f t="shared" ref="B87:AF87" si="12">SUM(B88:B92)</f>
        <v>17</v>
      </c>
      <c r="C87" s="187">
        <f t="shared" si="12"/>
        <v>8</v>
      </c>
      <c r="D87" s="187">
        <f t="shared" si="12"/>
        <v>6</v>
      </c>
      <c r="E87" s="187">
        <f t="shared" si="12"/>
        <v>12</v>
      </c>
      <c r="F87" s="187">
        <f t="shared" si="12"/>
        <v>2</v>
      </c>
      <c r="G87" s="187">
        <f t="shared" si="12"/>
        <v>7</v>
      </c>
      <c r="H87" s="187">
        <f t="shared" si="12"/>
        <v>7</v>
      </c>
      <c r="I87" s="187">
        <f t="shared" si="12"/>
        <v>5</v>
      </c>
      <c r="J87" s="187">
        <f t="shared" si="12"/>
        <v>15</v>
      </c>
      <c r="K87" s="187">
        <f t="shared" si="12"/>
        <v>8</v>
      </c>
      <c r="L87" s="187">
        <f t="shared" si="12"/>
        <v>13</v>
      </c>
      <c r="M87" s="187">
        <f t="shared" si="12"/>
        <v>12</v>
      </c>
      <c r="N87" s="187">
        <f t="shared" si="12"/>
        <v>4</v>
      </c>
      <c r="O87" s="187">
        <f t="shared" si="12"/>
        <v>4</v>
      </c>
      <c r="P87" s="187">
        <f t="shared" si="12"/>
        <v>8</v>
      </c>
      <c r="Q87" s="187">
        <f t="shared" si="12"/>
        <v>8</v>
      </c>
      <c r="R87" s="187">
        <f t="shared" si="12"/>
        <v>12</v>
      </c>
      <c r="S87" s="187">
        <f t="shared" si="12"/>
        <v>4</v>
      </c>
      <c r="T87" s="187">
        <f t="shared" si="12"/>
        <v>3</v>
      </c>
      <c r="U87" s="187">
        <f t="shared" si="12"/>
        <v>9</v>
      </c>
      <c r="V87" s="187">
        <f t="shared" si="12"/>
        <v>4</v>
      </c>
      <c r="W87" s="187">
        <f t="shared" si="12"/>
        <v>28</v>
      </c>
      <c r="X87" s="187">
        <f t="shared" si="12"/>
        <v>10</v>
      </c>
      <c r="Y87" s="187">
        <f t="shared" si="12"/>
        <v>10</v>
      </c>
      <c r="Z87" s="187">
        <f t="shared" si="12"/>
        <v>5</v>
      </c>
      <c r="AA87" s="187">
        <f t="shared" si="12"/>
        <v>17</v>
      </c>
      <c r="AB87" s="187">
        <f t="shared" si="12"/>
        <v>1</v>
      </c>
      <c r="AC87" s="187">
        <f t="shared" si="12"/>
        <v>7</v>
      </c>
      <c r="AD87" s="187">
        <f t="shared" si="12"/>
        <v>9</v>
      </c>
      <c r="AE87" s="187">
        <f t="shared" si="12"/>
        <v>2</v>
      </c>
      <c r="AF87" s="187">
        <f t="shared" si="12"/>
        <v>6</v>
      </c>
      <c r="AG87" s="186">
        <f t="shared" si="5"/>
        <v>263</v>
      </c>
      <c r="AH87" s="185" t="str">
        <f>IF(AG87&lt;&gt;AG84,"*","")</f>
        <v/>
      </c>
    </row>
    <row r="88" spans="1:35" ht="18.75" x14ac:dyDescent="0.25">
      <c r="A88" s="313" t="s">
        <v>113</v>
      </c>
      <c r="B88" s="253">
        <v>8</v>
      </c>
      <c r="C88" s="184">
        <v>2</v>
      </c>
      <c r="D88" s="184">
        <v>3</v>
      </c>
      <c r="E88" s="184">
        <v>7</v>
      </c>
      <c r="F88" s="184">
        <v>2</v>
      </c>
      <c r="G88" s="184"/>
      <c r="H88" s="184">
        <v>6</v>
      </c>
      <c r="I88" s="184">
        <v>5</v>
      </c>
      <c r="J88" s="184">
        <v>5</v>
      </c>
      <c r="K88" s="184">
        <v>4</v>
      </c>
      <c r="L88" s="184">
        <v>10</v>
      </c>
      <c r="M88" s="184">
        <v>10</v>
      </c>
      <c r="N88" s="184">
        <v>3</v>
      </c>
      <c r="O88" s="184">
        <v>3</v>
      </c>
      <c r="P88" s="184">
        <v>7</v>
      </c>
      <c r="Q88" s="184">
        <v>5</v>
      </c>
      <c r="R88" s="184">
        <v>6</v>
      </c>
      <c r="S88" s="184">
        <v>2</v>
      </c>
      <c r="T88" s="184">
        <v>1</v>
      </c>
      <c r="U88" s="184">
        <v>3</v>
      </c>
      <c r="V88" s="184"/>
      <c r="W88" s="184">
        <v>9</v>
      </c>
      <c r="X88" s="184">
        <v>5</v>
      </c>
      <c r="Y88" s="184">
        <v>2</v>
      </c>
      <c r="Z88" s="184">
        <v>2</v>
      </c>
      <c r="AA88" s="184">
        <v>3</v>
      </c>
      <c r="AB88" s="184"/>
      <c r="AC88" s="184">
        <v>4</v>
      </c>
      <c r="AD88" s="184">
        <v>5</v>
      </c>
      <c r="AE88" s="184">
        <v>1</v>
      </c>
      <c r="AF88" s="183">
        <v>3</v>
      </c>
      <c r="AG88" s="134">
        <f t="shared" si="5"/>
        <v>126</v>
      </c>
    </row>
    <row r="89" spans="1:35" ht="18.75" x14ac:dyDescent="0.25">
      <c r="A89" s="314" t="s">
        <v>16</v>
      </c>
      <c r="B89" s="252"/>
      <c r="C89" s="181"/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  <c r="AA89" s="181"/>
      <c r="AB89" s="181"/>
      <c r="AC89" s="181"/>
      <c r="AD89" s="181"/>
      <c r="AE89" s="181"/>
      <c r="AF89" s="180"/>
      <c r="AG89" s="64">
        <f t="shared" si="5"/>
        <v>0</v>
      </c>
    </row>
    <row r="90" spans="1:35" ht="18.75" x14ac:dyDescent="0.25">
      <c r="A90" s="314" t="s">
        <v>15</v>
      </c>
      <c r="B90" s="252"/>
      <c r="C90" s="181"/>
      <c r="D90" s="181"/>
      <c r="E90" s="181"/>
      <c r="F90" s="181"/>
      <c r="G90" s="181">
        <v>1</v>
      </c>
      <c r="H90" s="181"/>
      <c r="I90" s="181"/>
      <c r="J90" s="181"/>
      <c r="K90" s="181"/>
      <c r="L90" s="181"/>
      <c r="M90" s="181"/>
      <c r="N90" s="181"/>
      <c r="O90" s="181"/>
      <c r="P90" s="181"/>
      <c r="Q90" s="181"/>
      <c r="R90" s="181"/>
      <c r="S90" s="181"/>
      <c r="T90" s="181"/>
      <c r="U90" s="181"/>
      <c r="V90" s="181"/>
      <c r="W90" s="181"/>
      <c r="X90" s="181"/>
      <c r="Y90" s="181">
        <v>1</v>
      </c>
      <c r="Z90" s="181"/>
      <c r="AA90" s="181">
        <v>1</v>
      </c>
      <c r="AB90" s="181"/>
      <c r="AC90" s="181">
        <v>1</v>
      </c>
      <c r="AD90" s="181"/>
      <c r="AE90" s="181"/>
      <c r="AF90" s="180"/>
      <c r="AG90" s="64">
        <f t="shared" si="5"/>
        <v>4</v>
      </c>
    </row>
    <row r="91" spans="1:35" ht="18.75" x14ac:dyDescent="0.25">
      <c r="A91" s="314" t="s">
        <v>14</v>
      </c>
      <c r="B91" s="252">
        <v>3</v>
      </c>
      <c r="C91" s="181">
        <v>5</v>
      </c>
      <c r="D91" s="181"/>
      <c r="E91" s="181">
        <v>3</v>
      </c>
      <c r="F91" s="181"/>
      <c r="G91" s="181">
        <v>5</v>
      </c>
      <c r="H91" s="181"/>
      <c r="I91" s="181"/>
      <c r="J91" s="181">
        <v>2</v>
      </c>
      <c r="K91" s="181">
        <v>2</v>
      </c>
      <c r="L91" s="181">
        <v>3</v>
      </c>
      <c r="M91" s="181">
        <v>2</v>
      </c>
      <c r="N91" s="181">
        <v>1</v>
      </c>
      <c r="O91" s="181"/>
      <c r="P91" s="181">
        <v>1</v>
      </c>
      <c r="Q91" s="181">
        <v>1</v>
      </c>
      <c r="R91" s="181">
        <v>4</v>
      </c>
      <c r="S91" s="181">
        <v>2</v>
      </c>
      <c r="T91" s="181">
        <v>2</v>
      </c>
      <c r="U91" s="181">
        <v>4</v>
      </c>
      <c r="V91" s="181">
        <v>4</v>
      </c>
      <c r="W91" s="181">
        <v>11</v>
      </c>
      <c r="X91" s="181">
        <v>4</v>
      </c>
      <c r="Y91" s="181">
        <v>3</v>
      </c>
      <c r="Z91" s="181">
        <v>2</v>
      </c>
      <c r="AA91" s="181">
        <v>6</v>
      </c>
      <c r="AB91" s="181">
        <v>1</v>
      </c>
      <c r="AC91" s="181">
        <v>1</v>
      </c>
      <c r="AD91" s="181">
        <v>3</v>
      </c>
      <c r="AE91" s="181"/>
      <c r="AF91" s="180">
        <v>2</v>
      </c>
      <c r="AG91" s="64">
        <f t="shared" si="5"/>
        <v>77</v>
      </c>
    </row>
    <row r="92" spans="1:35" ht="19.5" thickBot="1" x14ac:dyDescent="0.3">
      <c r="A92" s="314" t="s">
        <v>13</v>
      </c>
      <c r="B92" s="252">
        <v>6</v>
      </c>
      <c r="C92" s="181">
        <v>1</v>
      </c>
      <c r="D92" s="181">
        <v>3</v>
      </c>
      <c r="E92" s="181">
        <v>2</v>
      </c>
      <c r="F92" s="181"/>
      <c r="G92" s="181">
        <v>1</v>
      </c>
      <c r="H92" s="181">
        <v>1</v>
      </c>
      <c r="I92" s="181"/>
      <c r="J92" s="181">
        <v>8</v>
      </c>
      <c r="K92" s="181">
        <v>2</v>
      </c>
      <c r="L92" s="181"/>
      <c r="M92" s="181"/>
      <c r="N92" s="181"/>
      <c r="O92" s="181">
        <v>1</v>
      </c>
      <c r="P92" s="181"/>
      <c r="Q92" s="181">
        <v>2</v>
      </c>
      <c r="R92" s="181">
        <v>2</v>
      </c>
      <c r="S92" s="181"/>
      <c r="T92" s="181"/>
      <c r="U92" s="181">
        <v>2</v>
      </c>
      <c r="V92" s="181"/>
      <c r="W92" s="181">
        <v>8</v>
      </c>
      <c r="X92" s="181">
        <v>1</v>
      </c>
      <c r="Y92" s="181">
        <v>4</v>
      </c>
      <c r="Z92" s="181">
        <v>1</v>
      </c>
      <c r="AA92" s="181">
        <v>7</v>
      </c>
      <c r="AB92" s="181"/>
      <c r="AC92" s="181">
        <v>1</v>
      </c>
      <c r="AD92" s="181">
        <v>1</v>
      </c>
      <c r="AE92" s="181">
        <v>1</v>
      </c>
      <c r="AF92" s="180">
        <v>1</v>
      </c>
      <c r="AG92" s="64">
        <f t="shared" si="5"/>
        <v>56</v>
      </c>
    </row>
    <row r="93" spans="1:35" ht="18.75" x14ac:dyDescent="0.25">
      <c r="A93" s="315" t="s">
        <v>112</v>
      </c>
      <c r="B93" s="261">
        <f t="shared" ref="B93:AF93" si="13">+B94+B100</f>
        <v>160</v>
      </c>
      <c r="C93" s="166">
        <f t="shared" si="13"/>
        <v>118</v>
      </c>
      <c r="D93" s="166">
        <f t="shared" si="13"/>
        <v>151</v>
      </c>
      <c r="E93" s="166">
        <f t="shared" si="13"/>
        <v>130</v>
      </c>
      <c r="F93" s="166">
        <f t="shared" si="13"/>
        <v>124</v>
      </c>
      <c r="G93" s="166">
        <f t="shared" si="13"/>
        <v>149</v>
      </c>
      <c r="H93" s="166">
        <f t="shared" si="13"/>
        <v>158</v>
      </c>
      <c r="I93" s="166">
        <f t="shared" si="13"/>
        <v>150</v>
      </c>
      <c r="J93" s="166">
        <f t="shared" si="13"/>
        <v>139</v>
      </c>
      <c r="K93" s="166">
        <f t="shared" si="13"/>
        <v>147</v>
      </c>
      <c r="L93" s="166">
        <f t="shared" si="13"/>
        <v>143</v>
      </c>
      <c r="M93" s="166">
        <f t="shared" si="13"/>
        <v>137</v>
      </c>
      <c r="N93" s="166">
        <f t="shared" si="13"/>
        <v>167</v>
      </c>
      <c r="O93" s="166">
        <f t="shared" si="13"/>
        <v>159</v>
      </c>
      <c r="P93" s="166">
        <f t="shared" si="13"/>
        <v>140</v>
      </c>
      <c r="Q93" s="166">
        <f t="shared" si="13"/>
        <v>151</v>
      </c>
      <c r="R93" s="166">
        <f t="shared" si="13"/>
        <v>136</v>
      </c>
      <c r="S93" s="166">
        <f t="shared" si="13"/>
        <v>124</v>
      </c>
      <c r="T93" s="166">
        <f t="shared" si="13"/>
        <v>121</v>
      </c>
      <c r="U93" s="166">
        <f t="shared" si="13"/>
        <v>164</v>
      </c>
      <c r="V93" s="166">
        <f t="shared" si="13"/>
        <v>143</v>
      </c>
      <c r="W93" s="166">
        <f t="shared" si="13"/>
        <v>171</v>
      </c>
      <c r="X93" s="166">
        <f t="shared" si="13"/>
        <v>152</v>
      </c>
      <c r="Y93" s="166">
        <f t="shared" si="13"/>
        <v>133</v>
      </c>
      <c r="Z93" s="166">
        <f t="shared" si="13"/>
        <v>155</v>
      </c>
      <c r="AA93" s="166">
        <f t="shared" si="13"/>
        <v>153</v>
      </c>
      <c r="AB93" s="166">
        <f t="shared" si="13"/>
        <v>114</v>
      </c>
      <c r="AC93" s="166">
        <f t="shared" si="13"/>
        <v>158</v>
      </c>
      <c r="AD93" s="166">
        <f t="shared" si="13"/>
        <v>162</v>
      </c>
      <c r="AE93" s="166">
        <f t="shared" si="13"/>
        <v>120</v>
      </c>
      <c r="AF93" s="165">
        <f t="shared" si="13"/>
        <v>119</v>
      </c>
      <c r="AG93" s="164">
        <f t="shared" si="5"/>
        <v>4448</v>
      </c>
      <c r="AH93" s="179" t="str">
        <f>IF(AG93&lt;&gt;AG28,"*","")</f>
        <v/>
      </c>
    </row>
    <row r="94" spans="1:35" ht="18.75" x14ac:dyDescent="0.25">
      <c r="A94" s="66" t="s">
        <v>111</v>
      </c>
      <c r="B94" s="262">
        <f t="shared" ref="B94:AF94" si="14">SUM(B95:B99)</f>
        <v>12</v>
      </c>
      <c r="C94" s="68">
        <f t="shared" si="14"/>
        <v>19</v>
      </c>
      <c r="D94" s="68">
        <f t="shared" si="14"/>
        <v>17</v>
      </c>
      <c r="E94" s="68">
        <f t="shared" si="14"/>
        <v>10</v>
      </c>
      <c r="F94" s="68">
        <f t="shared" si="14"/>
        <v>7</v>
      </c>
      <c r="G94" s="68">
        <f t="shared" si="14"/>
        <v>14</v>
      </c>
      <c r="H94" s="68">
        <f t="shared" si="14"/>
        <v>18</v>
      </c>
      <c r="I94" s="68">
        <f t="shared" si="14"/>
        <v>14</v>
      </c>
      <c r="J94" s="68">
        <f t="shared" si="14"/>
        <v>10</v>
      </c>
      <c r="K94" s="68">
        <f t="shared" si="14"/>
        <v>9</v>
      </c>
      <c r="L94" s="68">
        <f t="shared" si="14"/>
        <v>8</v>
      </c>
      <c r="M94" s="68">
        <f t="shared" si="14"/>
        <v>5</v>
      </c>
      <c r="N94" s="68">
        <f t="shared" si="14"/>
        <v>17</v>
      </c>
      <c r="O94" s="68">
        <f t="shared" si="14"/>
        <v>14</v>
      </c>
      <c r="P94" s="68">
        <f t="shared" si="14"/>
        <v>10</v>
      </c>
      <c r="Q94" s="68">
        <f t="shared" si="14"/>
        <v>9</v>
      </c>
      <c r="R94" s="68">
        <f t="shared" si="14"/>
        <v>6</v>
      </c>
      <c r="S94" s="68">
        <f t="shared" si="14"/>
        <v>11</v>
      </c>
      <c r="T94" s="68">
        <f t="shared" si="14"/>
        <v>13</v>
      </c>
      <c r="U94" s="68">
        <f t="shared" si="14"/>
        <v>11</v>
      </c>
      <c r="V94" s="68">
        <f t="shared" si="14"/>
        <v>11</v>
      </c>
      <c r="W94" s="68">
        <f t="shared" si="14"/>
        <v>8</v>
      </c>
      <c r="X94" s="68">
        <f t="shared" si="14"/>
        <v>12</v>
      </c>
      <c r="Y94" s="68">
        <f t="shared" si="14"/>
        <v>7</v>
      </c>
      <c r="Z94" s="68">
        <f t="shared" si="14"/>
        <v>15</v>
      </c>
      <c r="AA94" s="68">
        <f t="shared" si="14"/>
        <v>12</v>
      </c>
      <c r="AB94" s="68">
        <f t="shared" si="14"/>
        <v>12</v>
      </c>
      <c r="AC94" s="68">
        <f t="shared" si="14"/>
        <v>9</v>
      </c>
      <c r="AD94" s="68">
        <f t="shared" si="14"/>
        <v>10</v>
      </c>
      <c r="AE94" s="68">
        <f t="shared" si="14"/>
        <v>17</v>
      </c>
      <c r="AF94" s="67">
        <f t="shared" si="14"/>
        <v>4</v>
      </c>
      <c r="AG94" s="64">
        <f t="shared" si="5"/>
        <v>351</v>
      </c>
    </row>
    <row r="95" spans="1:35" ht="18.75" x14ac:dyDescent="0.25">
      <c r="A95" s="316" t="s">
        <v>110</v>
      </c>
      <c r="B95" s="249">
        <v>1</v>
      </c>
      <c r="C95" s="162">
        <v>1</v>
      </c>
      <c r="D95" s="162">
        <v>1</v>
      </c>
      <c r="E95" s="162"/>
      <c r="F95" s="162"/>
      <c r="G95" s="162"/>
      <c r="H95" s="162">
        <v>1</v>
      </c>
      <c r="I95" s="162"/>
      <c r="J95" s="162"/>
      <c r="K95" s="162"/>
      <c r="L95" s="162"/>
      <c r="M95" s="162"/>
      <c r="N95" s="162">
        <v>1</v>
      </c>
      <c r="O95" s="162">
        <v>1</v>
      </c>
      <c r="P95" s="162"/>
      <c r="Q95" s="162"/>
      <c r="R95" s="162"/>
      <c r="S95" s="162"/>
      <c r="T95" s="162"/>
      <c r="U95" s="162"/>
      <c r="V95" s="162">
        <v>1</v>
      </c>
      <c r="W95" s="162"/>
      <c r="X95" s="162">
        <v>2</v>
      </c>
      <c r="Y95" s="162">
        <v>1</v>
      </c>
      <c r="Z95" s="162"/>
      <c r="AA95" s="162"/>
      <c r="AB95" s="162"/>
      <c r="AC95" s="162"/>
      <c r="AD95" s="162"/>
      <c r="AE95" s="162"/>
      <c r="AF95" s="161"/>
      <c r="AG95" s="64">
        <f t="shared" si="5"/>
        <v>10</v>
      </c>
    </row>
    <row r="96" spans="1:35" ht="18.75" x14ac:dyDescent="0.25">
      <c r="A96" s="317" t="s">
        <v>109</v>
      </c>
      <c r="B96" s="249">
        <v>1</v>
      </c>
      <c r="C96" s="162">
        <v>3</v>
      </c>
      <c r="D96" s="162">
        <v>2</v>
      </c>
      <c r="E96" s="162"/>
      <c r="F96" s="162">
        <v>1</v>
      </c>
      <c r="G96" s="162">
        <v>1</v>
      </c>
      <c r="H96" s="162">
        <v>1</v>
      </c>
      <c r="I96" s="162">
        <v>2</v>
      </c>
      <c r="J96" s="162">
        <v>1</v>
      </c>
      <c r="K96" s="162"/>
      <c r="L96" s="162"/>
      <c r="M96" s="162"/>
      <c r="N96" s="162">
        <v>2</v>
      </c>
      <c r="O96" s="162">
        <v>1</v>
      </c>
      <c r="P96" s="162"/>
      <c r="Q96" s="162"/>
      <c r="R96" s="162"/>
      <c r="S96" s="176"/>
      <c r="T96" s="162">
        <v>1</v>
      </c>
      <c r="U96" s="162">
        <v>1</v>
      </c>
      <c r="V96" s="162">
        <v>1</v>
      </c>
      <c r="W96" s="162"/>
      <c r="X96" s="162">
        <v>1</v>
      </c>
      <c r="Y96" s="162"/>
      <c r="Z96" s="162"/>
      <c r="AA96" s="162"/>
      <c r="AB96" s="162">
        <v>2</v>
      </c>
      <c r="AC96" s="162"/>
      <c r="AD96" s="162">
        <v>1</v>
      </c>
      <c r="AE96" s="162">
        <v>1</v>
      </c>
      <c r="AF96" s="161"/>
      <c r="AG96" s="64">
        <f t="shared" si="5"/>
        <v>23</v>
      </c>
    </row>
    <row r="97" spans="1:33" ht="18.75" x14ac:dyDescent="0.25">
      <c r="A97" s="318" t="s">
        <v>108</v>
      </c>
      <c r="B97" s="249">
        <v>2</v>
      </c>
      <c r="C97" s="162">
        <v>4</v>
      </c>
      <c r="D97" s="162"/>
      <c r="E97" s="162">
        <v>2</v>
      </c>
      <c r="F97" s="162">
        <v>1</v>
      </c>
      <c r="G97" s="162">
        <v>3</v>
      </c>
      <c r="H97" s="162">
        <v>3</v>
      </c>
      <c r="I97" s="162">
        <v>3</v>
      </c>
      <c r="J97" s="162">
        <v>2</v>
      </c>
      <c r="K97" s="162"/>
      <c r="L97" s="162">
        <v>1</v>
      </c>
      <c r="M97" s="162">
        <v>2</v>
      </c>
      <c r="N97" s="162">
        <v>7</v>
      </c>
      <c r="O97" s="162">
        <v>2</v>
      </c>
      <c r="P97" s="162">
        <v>2</v>
      </c>
      <c r="Q97" s="162">
        <v>2</v>
      </c>
      <c r="R97" s="162">
        <v>1</v>
      </c>
      <c r="S97" s="162">
        <v>3</v>
      </c>
      <c r="T97" s="162">
        <v>2</v>
      </c>
      <c r="U97" s="162">
        <v>2</v>
      </c>
      <c r="V97" s="162">
        <v>3</v>
      </c>
      <c r="W97" s="162">
        <v>2</v>
      </c>
      <c r="X97" s="162">
        <v>2</v>
      </c>
      <c r="Y97" s="162">
        <v>1</v>
      </c>
      <c r="Z97" s="162">
        <v>2</v>
      </c>
      <c r="AA97" s="162">
        <v>3</v>
      </c>
      <c r="AB97" s="162">
        <v>4</v>
      </c>
      <c r="AC97" s="162">
        <v>1</v>
      </c>
      <c r="AD97" s="162">
        <v>2</v>
      </c>
      <c r="AE97" s="162">
        <v>2</v>
      </c>
      <c r="AF97" s="161">
        <v>1</v>
      </c>
      <c r="AG97" s="64">
        <f t="shared" si="5"/>
        <v>67</v>
      </c>
    </row>
    <row r="98" spans="1:33" ht="18.75" x14ac:dyDescent="0.25">
      <c r="A98" s="319" t="s">
        <v>107</v>
      </c>
      <c r="B98" s="249">
        <v>3</v>
      </c>
      <c r="C98" s="162">
        <v>4</v>
      </c>
      <c r="D98" s="162">
        <v>7</v>
      </c>
      <c r="E98" s="162">
        <v>4</v>
      </c>
      <c r="F98" s="162">
        <v>2</v>
      </c>
      <c r="G98" s="162">
        <v>4</v>
      </c>
      <c r="H98" s="162">
        <v>6</v>
      </c>
      <c r="I98" s="162">
        <v>4</v>
      </c>
      <c r="J98" s="162">
        <v>4</v>
      </c>
      <c r="K98" s="162">
        <v>3</v>
      </c>
      <c r="L98" s="162">
        <v>3</v>
      </c>
      <c r="M98" s="162">
        <v>2</v>
      </c>
      <c r="N98" s="162">
        <v>3</v>
      </c>
      <c r="O98" s="162">
        <v>4</v>
      </c>
      <c r="P98" s="162">
        <v>3</v>
      </c>
      <c r="Q98" s="162">
        <v>5</v>
      </c>
      <c r="R98" s="162">
        <v>2</v>
      </c>
      <c r="S98" s="162">
        <v>2</v>
      </c>
      <c r="T98" s="162">
        <v>5</v>
      </c>
      <c r="U98" s="162">
        <v>3</v>
      </c>
      <c r="V98" s="162">
        <v>5</v>
      </c>
      <c r="W98" s="162">
        <v>3</v>
      </c>
      <c r="X98" s="162">
        <v>4</v>
      </c>
      <c r="Y98" s="162">
        <v>3</v>
      </c>
      <c r="Z98" s="162">
        <v>7</v>
      </c>
      <c r="AA98" s="162">
        <v>3</v>
      </c>
      <c r="AB98" s="162">
        <v>3</v>
      </c>
      <c r="AC98" s="162">
        <v>3</v>
      </c>
      <c r="AD98" s="162">
        <v>4</v>
      </c>
      <c r="AE98" s="162">
        <v>4</v>
      </c>
      <c r="AF98" s="161">
        <v>2</v>
      </c>
      <c r="AG98" s="64">
        <f t="shared" si="5"/>
        <v>114</v>
      </c>
    </row>
    <row r="99" spans="1:33" ht="18.75" x14ac:dyDescent="0.25">
      <c r="A99" s="320" t="s">
        <v>106</v>
      </c>
      <c r="B99" s="249">
        <v>5</v>
      </c>
      <c r="C99" s="162">
        <v>7</v>
      </c>
      <c r="D99" s="162">
        <v>7</v>
      </c>
      <c r="E99" s="162">
        <v>4</v>
      </c>
      <c r="F99" s="162">
        <v>3</v>
      </c>
      <c r="G99" s="162">
        <v>6</v>
      </c>
      <c r="H99" s="162">
        <v>7</v>
      </c>
      <c r="I99" s="162">
        <v>5</v>
      </c>
      <c r="J99" s="162">
        <v>3</v>
      </c>
      <c r="K99" s="162">
        <v>6</v>
      </c>
      <c r="L99" s="162">
        <v>4</v>
      </c>
      <c r="M99" s="162">
        <v>1</v>
      </c>
      <c r="N99" s="162">
        <v>4</v>
      </c>
      <c r="O99" s="162">
        <v>6</v>
      </c>
      <c r="P99" s="162">
        <v>5</v>
      </c>
      <c r="Q99" s="162">
        <v>2</v>
      </c>
      <c r="R99" s="162">
        <v>3</v>
      </c>
      <c r="S99" s="162">
        <v>6</v>
      </c>
      <c r="T99" s="162">
        <v>5</v>
      </c>
      <c r="U99" s="162">
        <v>5</v>
      </c>
      <c r="V99" s="162">
        <v>1</v>
      </c>
      <c r="W99" s="162">
        <v>3</v>
      </c>
      <c r="X99" s="162">
        <v>3</v>
      </c>
      <c r="Y99" s="162">
        <v>2</v>
      </c>
      <c r="Z99" s="162">
        <v>6</v>
      </c>
      <c r="AA99" s="162">
        <v>6</v>
      </c>
      <c r="AB99" s="162">
        <v>3</v>
      </c>
      <c r="AC99" s="162">
        <v>5</v>
      </c>
      <c r="AD99" s="162">
        <v>3</v>
      </c>
      <c r="AE99" s="162">
        <v>10</v>
      </c>
      <c r="AF99" s="161">
        <v>1</v>
      </c>
      <c r="AG99" s="64">
        <f t="shared" ref="AG99:AG130" si="15">SUM(B99:AF99)</f>
        <v>137</v>
      </c>
    </row>
    <row r="100" spans="1:33" ht="18.75" x14ac:dyDescent="0.25">
      <c r="A100" s="66" t="s">
        <v>105</v>
      </c>
      <c r="B100" s="262">
        <f t="shared" ref="B100:AF100" si="16">SUM(B101:B115)</f>
        <v>148</v>
      </c>
      <c r="C100" s="68">
        <f t="shared" si="16"/>
        <v>99</v>
      </c>
      <c r="D100" s="68">
        <f t="shared" si="16"/>
        <v>134</v>
      </c>
      <c r="E100" s="68">
        <f t="shared" si="16"/>
        <v>120</v>
      </c>
      <c r="F100" s="68">
        <f t="shared" si="16"/>
        <v>117</v>
      </c>
      <c r="G100" s="68">
        <f t="shared" si="16"/>
        <v>135</v>
      </c>
      <c r="H100" s="68">
        <f t="shared" si="16"/>
        <v>140</v>
      </c>
      <c r="I100" s="68">
        <f t="shared" si="16"/>
        <v>136</v>
      </c>
      <c r="J100" s="68">
        <f t="shared" si="16"/>
        <v>129</v>
      </c>
      <c r="K100" s="68">
        <f t="shared" si="16"/>
        <v>138</v>
      </c>
      <c r="L100" s="68">
        <f t="shared" si="16"/>
        <v>135</v>
      </c>
      <c r="M100" s="68">
        <f t="shared" si="16"/>
        <v>132</v>
      </c>
      <c r="N100" s="68">
        <f t="shared" si="16"/>
        <v>150</v>
      </c>
      <c r="O100" s="68">
        <f t="shared" si="16"/>
        <v>145</v>
      </c>
      <c r="P100" s="68">
        <f t="shared" si="16"/>
        <v>130</v>
      </c>
      <c r="Q100" s="68">
        <f t="shared" si="16"/>
        <v>142</v>
      </c>
      <c r="R100" s="68">
        <f t="shared" si="16"/>
        <v>130</v>
      </c>
      <c r="S100" s="68">
        <f t="shared" si="16"/>
        <v>113</v>
      </c>
      <c r="T100" s="68">
        <f t="shared" si="16"/>
        <v>108</v>
      </c>
      <c r="U100" s="68">
        <f t="shared" si="16"/>
        <v>153</v>
      </c>
      <c r="V100" s="68">
        <f t="shared" si="16"/>
        <v>132</v>
      </c>
      <c r="W100" s="68">
        <f t="shared" si="16"/>
        <v>163</v>
      </c>
      <c r="X100" s="68">
        <f t="shared" si="16"/>
        <v>140</v>
      </c>
      <c r="Y100" s="68">
        <f t="shared" si="16"/>
        <v>126</v>
      </c>
      <c r="Z100" s="68">
        <f t="shared" si="16"/>
        <v>140</v>
      </c>
      <c r="AA100" s="68">
        <f t="shared" si="16"/>
        <v>141</v>
      </c>
      <c r="AB100" s="68">
        <f t="shared" si="16"/>
        <v>102</v>
      </c>
      <c r="AC100" s="68">
        <f t="shared" si="16"/>
        <v>149</v>
      </c>
      <c r="AD100" s="68">
        <f t="shared" si="16"/>
        <v>152</v>
      </c>
      <c r="AE100" s="68">
        <f t="shared" si="16"/>
        <v>103</v>
      </c>
      <c r="AF100" s="67">
        <f t="shared" si="16"/>
        <v>115</v>
      </c>
      <c r="AG100" s="64">
        <f t="shared" si="15"/>
        <v>4097</v>
      </c>
    </row>
    <row r="101" spans="1:33" ht="18.75" x14ac:dyDescent="0.25">
      <c r="A101" s="320" t="s">
        <v>104</v>
      </c>
      <c r="B101" s="249">
        <v>11</v>
      </c>
      <c r="C101" s="162">
        <v>6</v>
      </c>
      <c r="D101" s="162">
        <v>10</v>
      </c>
      <c r="E101" s="162">
        <v>7</v>
      </c>
      <c r="F101" s="162">
        <v>5</v>
      </c>
      <c r="G101" s="162">
        <v>9</v>
      </c>
      <c r="H101" s="162">
        <v>9</v>
      </c>
      <c r="I101" s="162">
        <v>11</v>
      </c>
      <c r="J101" s="162">
        <v>14</v>
      </c>
      <c r="K101" s="162">
        <v>6</v>
      </c>
      <c r="L101" s="162">
        <v>10</v>
      </c>
      <c r="M101" s="162">
        <v>9</v>
      </c>
      <c r="N101" s="162">
        <v>9</v>
      </c>
      <c r="O101" s="162">
        <v>13</v>
      </c>
      <c r="P101" s="162">
        <v>8</v>
      </c>
      <c r="Q101" s="162">
        <v>14</v>
      </c>
      <c r="R101" s="162">
        <v>6</v>
      </c>
      <c r="S101" s="162">
        <v>12</v>
      </c>
      <c r="T101" s="162">
        <v>3</v>
      </c>
      <c r="U101" s="162">
        <v>15</v>
      </c>
      <c r="V101" s="162">
        <v>10</v>
      </c>
      <c r="W101" s="162">
        <v>11</v>
      </c>
      <c r="X101" s="162">
        <v>6</v>
      </c>
      <c r="Y101" s="162">
        <v>8</v>
      </c>
      <c r="Z101" s="162">
        <v>7</v>
      </c>
      <c r="AA101" s="162">
        <v>10</v>
      </c>
      <c r="AB101" s="162">
        <v>9</v>
      </c>
      <c r="AC101" s="162">
        <v>10</v>
      </c>
      <c r="AD101" s="162">
        <v>11</v>
      </c>
      <c r="AE101" s="162">
        <v>8</v>
      </c>
      <c r="AF101" s="161">
        <v>9</v>
      </c>
      <c r="AG101" s="64">
        <f t="shared" si="15"/>
        <v>286</v>
      </c>
    </row>
    <row r="102" spans="1:33" ht="18.75" x14ac:dyDescent="0.25">
      <c r="A102" s="320" t="s">
        <v>103</v>
      </c>
      <c r="B102" s="249">
        <v>10</v>
      </c>
      <c r="C102" s="162">
        <v>12</v>
      </c>
      <c r="D102" s="162">
        <v>11</v>
      </c>
      <c r="E102" s="162">
        <v>13</v>
      </c>
      <c r="F102" s="162">
        <v>14</v>
      </c>
      <c r="G102" s="162">
        <v>14</v>
      </c>
      <c r="H102" s="162">
        <v>11</v>
      </c>
      <c r="I102" s="162">
        <v>12</v>
      </c>
      <c r="J102" s="162">
        <v>13</v>
      </c>
      <c r="K102" s="162">
        <v>11</v>
      </c>
      <c r="L102" s="162">
        <v>17</v>
      </c>
      <c r="M102" s="162">
        <v>18</v>
      </c>
      <c r="N102" s="162">
        <v>21</v>
      </c>
      <c r="O102" s="162">
        <v>24</v>
      </c>
      <c r="P102" s="162">
        <v>14</v>
      </c>
      <c r="Q102" s="162">
        <v>14</v>
      </c>
      <c r="R102" s="162">
        <v>15</v>
      </c>
      <c r="S102" s="162">
        <v>16</v>
      </c>
      <c r="T102" s="162">
        <v>15</v>
      </c>
      <c r="U102" s="162">
        <v>20</v>
      </c>
      <c r="V102" s="162">
        <v>18</v>
      </c>
      <c r="W102" s="162">
        <v>14</v>
      </c>
      <c r="X102" s="162">
        <v>20</v>
      </c>
      <c r="Y102" s="162">
        <v>14</v>
      </c>
      <c r="Z102" s="162">
        <v>21</v>
      </c>
      <c r="AA102" s="162">
        <v>19</v>
      </c>
      <c r="AB102" s="162">
        <v>7</v>
      </c>
      <c r="AC102" s="162">
        <v>19</v>
      </c>
      <c r="AD102" s="162">
        <v>24</v>
      </c>
      <c r="AE102" s="162">
        <v>14</v>
      </c>
      <c r="AF102" s="161">
        <v>13</v>
      </c>
      <c r="AG102" s="64">
        <f t="shared" si="15"/>
        <v>478</v>
      </c>
    </row>
    <row r="103" spans="1:33" ht="18.75" x14ac:dyDescent="0.25">
      <c r="A103" s="321" t="s">
        <v>102</v>
      </c>
      <c r="B103" s="249">
        <v>20</v>
      </c>
      <c r="C103" s="162">
        <v>11</v>
      </c>
      <c r="D103" s="162">
        <v>16</v>
      </c>
      <c r="E103" s="162">
        <v>15</v>
      </c>
      <c r="F103" s="162">
        <v>12</v>
      </c>
      <c r="G103" s="162">
        <v>20</v>
      </c>
      <c r="H103" s="162">
        <v>15</v>
      </c>
      <c r="I103" s="162">
        <v>15</v>
      </c>
      <c r="J103" s="162">
        <v>17</v>
      </c>
      <c r="K103" s="162">
        <v>13</v>
      </c>
      <c r="L103" s="162">
        <v>17</v>
      </c>
      <c r="M103" s="162">
        <v>16</v>
      </c>
      <c r="N103" s="162">
        <v>10</v>
      </c>
      <c r="O103" s="162">
        <v>18</v>
      </c>
      <c r="P103" s="162">
        <v>15</v>
      </c>
      <c r="Q103" s="162">
        <v>14</v>
      </c>
      <c r="R103" s="162">
        <v>9</v>
      </c>
      <c r="S103" s="162">
        <v>11</v>
      </c>
      <c r="T103" s="162">
        <v>22</v>
      </c>
      <c r="U103" s="162">
        <v>10</v>
      </c>
      <c r="V103" s="162">
        <v>13</v>
      </c>
      <c r="W103" s="162">
        <v>20</v>
      </c>
      <c r="X103" s="162">
        <v>15</v>
      </c>
      <c r="Y103" s="162">
        <v>14</v>
      </c>
      <c r="Z103" s="162">
        <v>24</v>
      </c>
      <c r="AA103" s="162">
        <v>18</v>
      </c>
      <c r="AB103" s="162">
        <v>16</v>
      </c>
      <c r="AC103" s="162">
        <v>15</v>
      </c>
      <c r="AD103" s="162">
        <v>16</v>
      </c>
      <c r="AE103" s="162">
        <v>20</v>
      </c>
      <c r="AF103" s="161">
        <v>16</v>
      </c>
      <c r="AG103" s="64">
        <f t="shared" si="15"/>
        <v>483</v>
      </c>
    </row>
    <row r="104" spans="1:33" ht="18.75" x14ac:dyDescent="0.25">
      <c r="A104" s="321" t="s">
        <v>101</v>
      </c>
      <c r="B104" s="249">
        <v>17</v>
      </c>
      <c r="C104" s="162">
        <v>12</v>
      </c>
      <c r="D104" s="162">
        <v>13</v>
      </c>
      <c r="E104" s="162">
        <v>9</v>
      </c>
      <c r="F104" s="162">
        <v>11</v>
      </c>
      <c r="G104" s="162">
        <v>15</v>
      </c>
      <c r="H104" s="162">
        <v>14</v>
      </c>
      <c r="I104" s="162">
        <v>18</v>
      </c>
      <c r="J104" s="162">
        <v>11</v>
      </c>
      <c r="K104" s="162">
        <v>17</v>
      </c>
      <c r="L104" s="162">
        <v>14</v>
      </c>
      <c r="M104" s="162">
        <v>16</v>
      </c>
      <c r="N104" s="162">
        <v>14</v>
      </c>
      <c r="O104" s="162">
        <v>14</v>
      </c>
      <c r="P104" s="162">
        <v>11</v>
      </c>
      <c r="Q104" s="162">
        <v>15</v>
      </c>
      <c r="R104" s="162">
        <v>12</v>
      </c>
      <c r="S104" s="162">
        <v>14</v>
      </c>
      <c r="T104" s="162">
        <v>12</v>
      </c>
      <c r="U104" s="162">
        <v>16</v>
      </c>
      <c r="V104" s="162">
        <v>14</v>
      </c>
      <c r="W104" s="162">
        <v>8</v>
      </c>
      <c r="X104" s="162">
        <v>17</v>
      </c>
      <c r="Y104" s="162">
        <v>14</v>
      </c>
      <c r="Z104" s="162">
        <v>16</v>
      </c>
      <c r="AA104" s="162">
        <v>16</v>
      </c>
      <c r="AB104" s="162">
        <v>12</v>
      </c>
      <c r="AC104" s="162">
        <v>14</v>
      </c>
      <c r="AD104" s="162">
        <v>12</v>
      </c>
      <c r="AE104" s="162">
        <v>9</v>
      </c>
      <c r="AF104" s="161">
        <v>10</v>
      </c>
      <c r="AG104" s="64">
        <f t="shared" si="15"/>
        <v>417</v>
      </c>
    </row>
    <row r="105" spans="1:33" ht="18.75" x14ac:dyDescent="0.25">
      <c r="A105" s="321" t="s">
        <v>100</v>
      </c>
      <c r="B105" s="249">
        <v>11</v>
      </c>
      <c r="C105" s="162">
        <v>14</v>
      </c>
      <c r="D105" s="162">
        <v>11</v>
      </c>
      <c r="E105" s="162">
        <v>8</v>
      </c>
      <c r="F105" s="162">
        <v>4</v>
      </c>
      <c r="G105" s="162">
        <v>13</v>
      </c>
      <c r="H105" s="162">
        <v>17</v>
      </c>
      <c r="I105" s="162">
        <v>12</v>
      </c>
      <c r="J105" s="162">
        <v>9</v>
      </c>
      <c r="K105" s="162">
        <v>14</v>
      </c>
      <c r="L105" s="162">
        <v>16</v>
      </c>
      <c r="M105" s="162">
        <v>14</v>
      </c>
      <c r="N105" s="162">
        <v>14</v>
      </c>
      <c r="O105" s="162">
        <v>14</v>
      </c>
      <c r="P105" s="162">
        <v>13</v>
      </c>
      <c r="Q105" s="162">
        <v>12</v>
      </c>
      <c r="R105" s="162">
        <v>13</v>
      </c>
      <c r="S105" s="162">
        <v>13</v>
      </c>
      <c r="T105" s="162">
        <v>7</v>
      </c>
      <c r="U105" s="162">
        <v>10</v>
      </c>
      <c r="V105" s="162">
        <v>16</v>
      </c>
      <c r="W105" s="162">
        <v>18</v>
      </c>
      <c r="X105" s="162">
        <v>8</v>
      </c>
      <c r="Y105" s="162">
        <v>16</v>
      </c>
      <c r="Z105" s="162">
        <v>12</v>
      </c>
      <c r="AA105" s="162">
        <v>16</v>
      </c>
      <c r="AB105" s="162">
        <v>6</v>
      </c>
      <c r="AC105" s="162">
        <v>15</v>
      </c>
      <c r="AD105" s="162">
        <v>19</v>
      </c>
      <c r="AE105" s="162">
        <v>10</v>
      </c>
      <c r="AF105" s="161">
        <v>9</v>
      </c>
      <c r="AG105" s="64">
        <f t="shared" si="15"/>
        <v>384</v>
      </c>
    </row>
    <row r="106" spans="1:33" ht="18.75" x14ac:dyDescent="0.25">
      <c r="A106" s="321" t="s">
        <v>99</v>
      </c>
      <c r="B106" s="249">
        <v>10</v>
      </c>
      <c r="C106" s="162">
        <v>10</v>
      </c>
      <c r="D106" s="162">
        <v>14</v>
      </c>
      <c r="E106" s="162">
        <v>9</v>
      </c>
      <c r="F106" s="162">
        <v>13</v>
      </c>
      <c r="G106" s="162">
        <v>5</v>
      </c>
      <c r="H106" s="162">
        <v>14</v>
      </c>
      <c r="I106" s="162">
        <v>9</v>
      </c>
      <c r="J106" s="162">
        <v>7</v>
      </c>
      <c r="K106" s="162">
        <v>14</v>
      </c>
      <c r="L106" s="162">
        <v>5</v>
      </c>
      <c r="M106" s="162">
        <v>9</v>
      </c>
      <c r="N106" s="162">
        <v>12</v>
      </c>
      <c r="O106" s="162">
        <v>9</v>
      </c>
      <c r="P106" s="162">
        <v>9</v>
      </c>
      <c r="Q106" s="162">
        <v>8</v>
      </c>
      <c r="R106" s="162">
        <v>9</v>
      </c>
      <c r="S106" s="162">
        <v>4</v>
      </c>
      <c r="T106" s="162">
        <v>6</v>
      </c>
      <c r="U106" s="162">
        <v>9</v>
      </c>
      <c r="V106" s="162">
        <v>10</v>
      </c>
      <c r="W106" s="162">
        <v>16</v>
      </c>
      <c r="X106" s="162">
        <v>15</v>
      </c>
      <c r="Y106" s="162">
        <v>11</v>
      </c>
      <c r="Z106" s="162">
        <v>9</v>
      </c>
      <c r="AA106" s="162">
        <v>5</v>
      </c>
      <c r="AB106" s="162">
        <v>5</v>
      </c>
      <c r="AC106" s="162">
        <v>7</v>
      </c>
      <c r="AD106" s="162">
        <v>14</v>
      </c>
      <c r="AE106" s="162">
        <v>6</v>
      </c>
      <c r="AF106" s="161">
        <v>9</v>
      </c>
      <c r="AG106" s="64">
        <f t="shared" si="15"/>
        <v>292</v>
      </c>
    </row>
    <row r="107" spans="1:33" ht="18.75" x14ac:dyDescent="0.25">
      <c r="A107" s="321" t="s">
        <v>98</v>
      </c>
      <c r="B107" s="249">
        <v>13</v>
      </c>
      <c r="C107" s="162">
        <v>5</v>
      </c>
      <c r="D107" s="162">
        <v>13</v>
      </c>
      <c r="E107" s="162">
        <v>13</v>
      </c>
      <c r="F107" s="162">
        <v>6</v>
      </c>
      <c r="G107" s="162">
        <v>14</v>
      </c>
      <c r="H107" s="162">
        <v>14</v>
      </c>
      <c r="I107" s="162">
        <v>10</v>
      </c>
      <c r="J107" s="162">
        <v>10</v>
      </c>
      <c r="K107" s="162">
        <v>13</v>
      </c>
      <c r="L107" s="162">
        <v>14</v>
      </c>
      <c r="M107" s="162">
        <v>10</v>
      </c>
      <c r="N107" s="162">
        <v>9</v>
      </c>
      <c r="O107" s="162">
        <v>9</v>
      </c>
      <c r="P107" s="162">
        <v>13</v>
      </c>
      <c r="Q107" s="162">
        <v>18</v>
      </c>
      <c r="R107" s="162">
        <v>13</v>
      </c>
      <c r="S107" s="162">
        <v>15</v>
      </c>
      <c r="T107" s="162">
        <v>7</v>
      </c>
      <c r="U107" s="162">
        <v>16</v>
      </c>
      <c r="V107" s="162">
        <v>7</v>
      </c>
      <c r="W107" s="162">
        <v>22</v>
      </c>
      <c r="X107" s="162">
        <v>21</v>
      </c>
      <c r="Y107" s="162">
        <v>15</v>
      </c>
      <c r="Z107" s="162">
        <v>15</v>
      </c>
      <c r="AA107" s="162">
        <v>12</v>
      </c>
      <c r="AB107" s="162">
        <v>10</v>
      </c>
      <c r="AC107" s="162">
        <v>12</v>
      </c>
      <c r="AD107" s="162">
        <v>10</v>
      </c>
      <c r="AE107" s="162">
        <v>5</v>
      </c>
      <c r="AF107" s="161">
        <v>13</v>
      </c>
      <c r="AG107" s="64">
        <f t="shared" si="15"/>
        <v>377</v>
      </c>
    </row>
    <row r="108" spans="1:33" ht="18.75" x14ac:dyDescent="0.25">
      <c r="A108" s="321" t="s">
        <v>97</v>
      </c>
      <c r="B108" s="249">
        <v>11</v>
      </c>
      <c r="C108" s="162">
        <v>13</v>
      </c>
      <c r="D108" s="162">
        <v>14</v>
      </c>
      <c r="E108" s="162">
        <v>11</v>
      </c>
      <c r="F108" s="162">
        <v>11</v>
      </c>
      <c r="G108" s="162">
        <v>6</v>
      </c>
      <c r="H108" s="162">
        <v>9</v>
      </c>
      <c r="I108" s="162">
        <v>8</v>
      </c>
      <c r="J108" s="162">
        <v>12</v>
      </c>
      <c r="K108" s="162">
        <v>12</v>
      </c>
      <c r="L108" s="162">
        <v>9</v>
      </c>
      <c r="M108" s="162">
        <v>5</v>
      </c>
      <c r="N108" s="162">
        <v>14</v>
      </c>
      <c r="O108" s="162">
        <v>8</v>
      </c>
      <c r="P108" s="162">
        <v>10</v>
      </c>
      <c r="Q108" s="162">
        <v>10</v>
      </c>
      <c r="R108" s="162">
        <v>14</v>
      </c>
      <c r="S108" s="162">
        <v>8</v>
      </c>
      <c r="T108" s="162">
        <v>10</v>
      </c>
      <c r="U108" s="162">
        <v>10</v>
      </c>
      <c r="V108" s="162">
        <v>13</v>
      </c>
      <c r="W108" s="162">
        <v>14</v>
      </c>
      <c r="X108" s="162">
        <v>8</v>
      </c>
      <c r="Y108" s="162">
        <v>11</v>
      </c>
      <c r="Z108" s="162">
        <v>11</v>
      </c>
      <c r="AA108" s="162">
        <v>12</v>
      </c>
      <c r="AB108" s="162">
        <v>6</v>
      </c>
      <c r="AC108" s="162">
        <v>14</v>
      </c>
      <c r="AD108" s="162">
        <v>7</v>
      </c>
      <c r="AE108" s="162">
        <v>4</v>
      </c>
      <c r="AF108" s="161">
        <v>13</v>
      </c>
      <c r="AG108" s="64">
        <f t="shared" si="15"/>
        <v>318</v>
      </c>
    </row>
    <row r="109" spans="1:33" ht="18.75" x14ac:dyDescent="0.25">
      <c r="A109" s="321" t="s">
        <v>96</v>
      </c>
      <c r="B109" s="249">
        <v>14</v>
      </c>
      <c r="C109" s="162">
        <v>2</v>
      </c>
      <c r="D109" s="162">
        <v>12</v>
      </c>
      <c r="E109" s="162">
        <v>8</v>
      </c>
      <c r="F109" s="162">
        <v>7</v>
      </c>
      <c r="G109" s="162">
        <v>6</v>
      </c>
      <c r="H109" s="162">
        <v>8</v>
      </c>
      <c r="I109" s="162">
        <v>13</v>
      </c>
      <c r="J109" s="162">
        <v>8</v>
      </c>
      <c r="K109" s="162">
        <v>10</v>
      </c>
      <c r="L109" s="162">
        <v>9</v>
      </c>
      <c r="M109" s="162">
        <v>5</v>
      </c>
      <c r="N109" s="162">
        <v>17</v>
      </c>
      <c r="O109" s="162">
        <v>12</v>
      </c>
      <c r="P109" s="162">
        <v>13</v>
      </c>
      <c r="Q109" s="162">
        <v>11</v>
      </c>
      <c r="R109" s="162">
        <v>11</v>
      </c>
      <c r="S109" s="162">
        <v>3</v>
      </c>
      <c r="T109" s="162">
        <v>7</v>
      </c>
      <c r="U109" s="162">
        <v>17</v>
      </c>
      <c r="V109" s="162">
        <v>9</v>
      </c>
      <c r="W109" s="162">
        <v>9</v>
      </c>
      <c r="X109" s="162">
        <v>8</v>
      </c>
      <c r="Y109" s="162">
        <v>7</v>
      </c>
      <c r="Z109" s="162">
        <v>5</v>
      </c>
      <c r="AA109" s="162">
        <v>11</v>
      </c>
      <c r="AB109" s="162">
        <v>9</v>
      </c>
      <c r="AC109" s="162">
        <v>9</v>
      </c>
      <c r="AD109" s="162">
        <v>13</v>
      </c>
      <c r="AE109" s="162">
        <v>10</v>
      </c>
      <c r="AF109" s="161">
        <v>5</v>
      </c>
      <c r="AG109" s="64">
        <f t="shared" si="15"/>
        <v>288</v>
      </c>
    </row>
    <row r="110" spans="1:33" ht="18.75" x14ac:dyDescent="0.25">
      <c r="A110" s="321" t="s">
        <v>95</v>
      </c>
      <c r="B110" s="249">
        <v>13</v>
      </c>
      <c r="C110" s="162">
        <v>5</v>
      </c>
      <c r="D110" s="162">
        <v>5</v>
      </c>
      <c r="E110" s="162">
        <v>6</v>
      </c>
      <c r="F110" s="162">
        <v>6</v>
      </c>
      <c r="G110" s="162">
        <v>9</v>
      </c>
      <c r="H110" s="162">
        <v>12</v>
      </c>
      <c r="I110" s="162">
        <v>5</v>
      </c>
      <c r="J110" s="162">
        <v>12</v>
      </c>
      <c r="K110" s="162">
        <v>8</v>
      </c>
      <c r="L110" s="162">
        <v>9</v>
      </c>
      <c r="M110" s="162">
        <v>8</v>
      </c>
      <c r="N110" s="162">
        <v>13</v>
      </c>
      <c r="O110" s="162">
        <v>11</v>
      </c>
      <c r="P110" s="162">
        <v>3</v>
      </c>
      <c r="Q110" s="162">
        <v>9</v>
      </c>
      <c r="R110" s="162">
        <v>9</v>
      </c>
      <c r="S110" s="162">
        <v>5</v>
      </c>
      <c r="T110" s="162">
        <v>6</v>
      </c>
      <c r="U110" s="162">
        <v>6</v>
      </c>
      <c r="V110" s="162">
        <v>9</v>
      </c>
      <c r="W110" s="162">
        <v>9</v>
      </c>
      <c r="X110" s="162">
        <v>4</v>
      </c>
      <c r="Y110" s="162">
        <v>5</v>
      </c>
      <c r="Z110" s="162">
        <v>8</v>
      </c>
      <c r="AA110" s="162">
        <v>9</v>
      </c>
      <c r="AB110" s="162">
        <v>5</v>
      </c>
      <c r="AC110" s="162">
        <v>6</v>
      </c>
      <c r="AD110" s="162">
        <v>6</v>
      </c>
      <c r="AE110" s="162">
        <v>4</v>
      </c>
      <c r="AF110" s="161">
        <v>4</v>
      </c>
      <c r="AG110" s="64">
        <f t="shared" si="15"/>
        <v>229</v>
      </c>
    </row>
    <row r="111" spans="1:33" ht="18.75" x14ac:dyDescent="0.25">
      <c r="A111" s="321" t="s">
        <v>94</v>
      </c>
      <c r="B111" s="249">
        <v>4</v>
      </c>
      <c r="C111" s="162">
        <v>1</v>
      </c>
      <c r="D111" s="162">
        <v>7</v>
      </c>
      <c r="E111" s="162">
        <v>6</v>
      </c>
      <c r="F111" s="162">
        <v>10</v>
      </c>
      <c r="G111" s="162">
        <v>8</v>
      </c>
      <c r="H111" s="162">
        <v>9</v>
      </c>
      <c r="I111" s="162">
        <v>6</v>
      </c>
      <c r="J111" s="162">
        <v>2</v>
      </c>
      <c r="K111" s="162">
        <v>5</v>
      </c>
      <c r="L111" s="162">
        <v>8</v>
      </c>
      <c r="M111" s="162">
        <v>11</v>
      </c>
      <c r="N111" s="162">
        <v>3</v>
      </c>
      <c r="O111" s="162">
        <v>3</v>
      </c>
      <c r="P111" s="162">
        <v>7</v>
      </c>
      <c r="Q111" s="162">
        <v>6</v>
      </c>
      <c r="R111" s="162">
        <v>7</v>
      </c>
      <c r="S111" s="162">
        <v>4</v>
      </c>
      <c r="T111" s="162">
        <v>6</v>
      </c>
      <c r="U111" s="162">
        <v>10</v>
      </c>
      <c r="V111" s="162">
        <v>2</v>
      </c>
      <c r="W111" s="162">
        <v>9</v>
      </c>
      <c r="X111" s="162">
        <v>5</v>
      </c>
      <c r="Y111" s="162">
        <v>5</v>
      </c>
      <c r="Z111" s="162">
        <v>5</v>
      </c>
      <c r="AA111" s="162">
        <v>5</v>
      </c>
      <c r="AB111" s="162">
        <v>2</v>
      </c>
      <c r="AC111" s="162">
        <v>9</v>
      </c>
      <c r="AD111" s="162">
        <v>7</v>
      </c>
      <c r="AE111" s="162">
        <v>3</v>
      </c>
      <c r="AF111" s="161">
        <v>4</v>
      </c>
      <c r="AG111" s="64">
        <f t="shared" si="15"/>
        <v>179</v>
      </c>
    </row>
    <row r="112" spans="1:33" ht="18.75" x14ac:dyDescent="0.25">
      <c r="A112" s="321" t="s">
        <v>93</v>
      </c>
      <c r="B112" s="249">
        <v>6</v>
      </c>
      <c r="C112" s="162">
        <v>4</v>
      </c>
      <c r="D112" s="162">
        <v>1</v>
      </c>
      <c r="E112" s="162">
        <v>5</v>
      </c>
      <c r="F112" s="162">
        <v>6</v>
      </c>
      <c r="G112" s="162">
        <v>9</v>
      </c>
      <c r="H112" s="162">
        <v>4</v>
      </c>
      <c r="I112" s="162">
        <v>7</v>
      </c>
      <c r="J112" s="162">
        <v>3</v>
      </c>
      <c r="K112" s="162">
        <v>7</v>
      </c>
      <c r="L112" s="162">
        <v>2</v>
      </c>
      <c r="M112" s="162">
        <v>5</v>
      </c>
      <c r="N112" s="162">
        <v>6</v>
      </c>
      <c r="O112" s="162">
        <v>6</v>
      </c>
      <c r="P112" s="162">
        <v>6</v>
      </c>
      <c r="Q112" s="162">
        <v>4</v>
      </c>
      <c r="R112" s="162">
        <v>4</v>
      </c>
      <c r="S112" s="162">
        <v>4</v>
      </c>
      <c r="T112" s="162">
        <v>2</v>
      </c>
      <c r="U112" s="162">
        <v>6</v>
      </c>
      <c r="V112" s="162">
        <v>3</v>
      </c>
      <c r="W112" s="162">
        <v>5</v>
      </c>
      <c r="X112" s="162">
        <v>4</v>
      </c>
      <c r="Y112" s="162">
        <v>4</v>
      </c>
      <c r="Z112" s="162">
        <v>5</v>
      </c>
      <c r="AA112" s="162">
        <v>4</v>
      </c>
      <c r="AB112" s="162">
        <v>6</v>
      </c>
      <c r="AC112" s="162">
        <v>8</v>
      </c>
      <c r="AD112" s="162">
        <v>4</v>
      </c>
      <c r="AE112" s="162">
        <v>5</v>
      </c>
      <c r="AF112" s="161">
        <v>2</v>
      </c>
      <c r="AG112" s="64">
        <f t="shared" si="15"/>
        <v>147</v>
      </c>
    </row>
    <row r="113" spans="1:33" ht="18.75" x14ac:dyDescent="0.25">
      <c r="A113" s="321" t="s">
        <v>92</v>
      </c>
      <c r="B113" s="249">
        <v>1</v>
      </c>
      <c r="C113" s="162"/>
      <c r="D113" s="162">
        <v>4</v>
      </c>
      <c r="E113" s="162">
        <v>3</v>
      </c>
      <c r="F113" s="162">
        <v>6</v>
      </c>
      <c r="G113" s="162">
        <v>2</v>
      </c>
      <c r="H113" s="162">
        <v>1</v>
      </c>
      <c r="I113" s="162">
        <v>2</v>
      </c>
      <c r="J113" s="162">
        <v>5</v>
      </c>
      <c r="K113" s="162">
        <v>3</v>
      </c>
      <c r="L113" s="162"/>
      <c r="M113" s="162">
        <v>1</v>
      </c>
      <c r="N113" s="162">
        <v>3</v>
      </c>
      <c r="O113" s="162">
        <v>2</v>
      </c>
      <c r="P113" s="162">
        <v>2</v>
      </c>
      <c r="Q113" s="162">
        <v>2</v>
      </c>
      <c r="R113" s="162">
        <v>4</v>
      </c>
      <c r="S113" s="162">
        <v>4</v>
      </c>
      <c r="T113" s="162">
        <v>1</v>
      </c>
      <c r="U113" s="162">
        <v>1</v>
      </c>
      <c r="V113" s="162">
        <v>4</v>
      </c>
      <c r="W113" s="162">
        <v>3</v>
      </c>
      <c r="X113" s="162">
        <v>4</v>
      </c>
      <c r="Y113" s="162">
        <v>1</v>
      </c>
      <c r="Z113" s="162">
        <v>1</v>
      </c>
      <c r="AA113" s="162">
        <v>2</v>
      </c>
      <c r="AB113" s="162">
        <v>4</v>
      </c>
      <c r="AC113" s="162">
        <v>7</v>
      </c>
      <c r="AD113" s="162">
        <v>4</v>
      </c>
      <c r="AE113" s="162">
        <v>3</v>
      </c>
      <c r="AF113" s="161">
        <v>2</v>
      </c>
      <c r="AG113" s="64">
        <f t="shared" si="15"/>
        <v>82</v>
      </c>
    </row>
    <row r="114" spans="1:33" ht="18.75" x14ac:dyDescent="0.25">
      <c r="A114" s="321" t="s">
        <v>91</v>
      </c>
      <c r="B114" s="249">
        <v>7</v>
      </c>
      <c r="C114" s="162">
        <v>4</v>
      </c>
      <c r="D114" s="162">
        <v>3</v>
      </c>
      <c r="E114" s="162">
        <v>7</v>
      </c>
      <c r="F114" s="162">
        <v>6</v>
      </c>
      <c r="G114" s="162">
        <v>5</v>
      </c>
      <c r="H114" s="162">
        <v>3</v>
      </c>
      <c r="I114" s="162">
        <v>8</v>
      </c>
      <c r="J114" s="162">
        <v>6</v>
      </c>
      <c r="K114" s="162">
        <v>5</v>
      </c>
      <c r="L114" s="162">
        <v>5</v>
      </c>
      <c r="M114" s="162">
        <v>5</v>
      </c>
      <c r="N114" s="162">
        <v>5</v>
      </c>
      <c r="O114" s="162">
        <v>2</v>
      </c>
      <c r="P114" s="162">
        <v>6</v>
      </c>
      <c r="Q114" s="162">
        <v>5</v>
      </c>
      <c r="R114" s="162">
        <v>4</v>
      </c>
      <c r="S114" s="162"/>
      <c r="T114" s="162">
        <v>4</v>
      </c>
      <c r="U114" s="162">
        <v>7</v>
      </c>
      <c r="V114" s="162">
        <v>4</v>
      </c>
      <c r="W114" s="162">
        <v>5</v>
      </c>
      <c r="X114" s="162">
        <v>5</v>
      </c>
      <c r="Y114" s="162">
        <v>1</v>
      </c>
      <c r="Z114" s="162">
        <v>1</v>
      </c>
      <c r="AA114" s="162">
        <v>2</v>
      </c>
      <c r="AB114" s="162">
        <v>5</v>
      </c>
      <c r="AC114" s="162">
        <v>4</v>
      </c>
      <c r="AD114" s="162">
        <v>5</v>
      </c>
      <c r="AE114" s="162">
        <v>2</v>
      </c>
      <c r="AF114" s="161">
        <v>6</v>
      </c>
      <c r="AG114" s="64">
        <f t="shared" si="15"/>
        <v>137</v>
      </c>
    </row>
    <row r="115" spans="1:33" ht="19.5" thickBot="1" x14ac:dyDescent="0.3">
      <c r="A115" s="322"/>
      <c r="B115" s="255"/>
      <c r="C115" s="169"/>
      <c r="D115" s="169"/>
      <c r="E115" s="169"/>
      <c r="F115" s="169"/>
      <c r="G115" s="169"/>
      <c r="H115" s="169"/>
      <c r="I115" s="169"/>
      <c r="J115" s="169"/>
      <c r="K115" s="169"/>
      <c r="L115" s="169"/>
      <c r="M115" s="169"/>
      <c r="N115" s="169"/>
      <c r="O115" s="169"/>
      <c r="P115" s="169"/>
      <c r="Q115" s="169"/>
      <c r="R115" s="169"/>
      <c r="S115" s="169"/>
      <c r="T115" s="169"/>
      <c r="U115" s="169"/>
      <c r="V115" s="169"/>
      <c r="W115" s="169"/>
      <c r="X115" s="169"/>
      <c r="Y115" s="169"/>
      <c r="Z115" s="169"/>
      <c r="AA115" s="169"/>
      <c r="AB115" s="169"/>
      <c r="AC115" s="169"/>
      <c r="AD115" s="169"/>
      <c r="AE115" s="169"/>
      <c r="AF115" s="168"/>
      <c r="AG115" s="64">
        <f t="shared" si="15"/>
        <v>0</v>
      </c>
    </row>
    <row r="116" spans="1:33" ht="18.75" x14ac:dyDescent="0.25">
      <c r="A116" s="315" t="s">
        <v>90</v>
      </c>
      <c r="B116" s="261">
        <f t="shared" ref="B116:AF116" si="17">SUM(B117:B129)</f>
        <v>55</v>
      </c>
      <c r="C116" s="166">
        <f t="shared" si="17"/>
        <v>37</v>
      </c>
      <c r="D116" s="166">
        <f t="shared" si="17"/>
        <v>37</v>
      </c>
      <c r="E116" s="166">
        <f t="shared" si="17"/>
        <v>27</v>
      </c>
      <c r="F116" s="166">
        <f t="shared" si="17"/>
        <v>35</v>
      </c>
      <c r="G116" s="166">
        <f t="shared" si="17"/>
        <v>53</v>
      </c>
      <c r="H116" s="166">
        <f t="shared" si="17"/>
        <v>42</v>
      </c>
      <c r="I116" s="166">
        <f t="shared" si="17"/>
        <v>44</v>
      </c>
      <c r="J116" s="166">
        <f t="shared" si="17"/>
        <v>28</v>
      </c>
      <c r="K116" s="166">
        <f t="shared" si="17"/>
        <v>35</v>
      </c>
      <c r="L116" s="166">
        <f t="shared" si="17"/>
        <v>36</v>
      </c>
      <c r="M116" s="166">
        <f t="shared" si="17"/>
        <v>23</v>
      </c>
      <c r="N116" s="166">
        <f t="shared" si="17"/>
        <v>54</v>
      </c>
      <c r="O116" s="166">
        <f t="shared" si="17"/>
        <v>39</v>
      </c>
      <c r="P116" s="166">
        <f t="shared" si="17"/>
        <v>41</v>
      </c>
      <c r="Q116" s="166">
        <f t="shared" si="17"/>
        <v>19</v>
      </c>
      <c r="R116" s="166">
        <f t="shared" si="17"/>
        <v>38</v>
      </c>
      <c r="S116" s="166">
        <f t="shared" si="17"/>
        <v>39</v>
      </c>
      <c r="T116" s="166">
        <f t="shared" si="17"/>
        <v>28</v>
      </c>
      <c r="U116" s="166">
        <f t="shared" si="17"/>
        <v>40</v>
      </c>
      <c r="V116" s="166">
        <f t="shared" si="17"/>
        <v>31</v>
      </c>
      <c r="W116" s="166">
        <f t="shared" si="17"/>
        <v>43</v>
      </c>
      <c r="X116" s="166">
        <f t="shared" si="17"/>
        <v>21</v>
      </c>
      <c r="Y116" s="166">
        <f t="shared" si="17"/>
        <v>28</v>
      </c>
      <c r="Z116" s="166">
        <f t="shared" si="17"/>
        <v>41</v>
      </c>
      <c r="AA116" s="166">
        <f t="shared" si="17"/>
        <v>37</v>
      </c>
      <c r="AB116" s="166">
        <f t="shared" si="17"/>
        <v>42</v>
      </c>
      <c r="AC116" s="166">
        <f t="shared" si="17"/>
        <v>40</v>
      </c>
      <c r="AD116" s="166">
        <f t="shared" si="17"/>
        <v>41</v>
      </c>
      <c r="AE116" s="166">
        <f t="shared" si="17"/>
        <v>30</v>
      </c>
      <c r="AF116" s="165">
        <f t="shared" si="17"/>
        <v>31</v>
      </c>
      <c r="AG116" s="64">
        <f t="shared" si="15"/>
        <v>1135</v>
      </c>
    </row>
    <row r="117" spans="1:33" ht="18.75" x14ac:dyDescent="0.25">
      <c r="A117" s="323" t="s">
        <v>67</v>
      </c>
      <c r="B117" s="249">
        <v>39</v>
      </c>
      <c r="C117" s="162">
        <v>24</v>
      </c>
      <c r="D117" s="162">
        <v>22</v>
      </c>
      <c r="E117" s="162">
        <v>15</v>
      </c>
      <c r="F117" s="162">
        <v>21</v>
      </c>
      <c r="G117" s="162">
        <v>34</v>
      </c>
      <c r="H117" s="162">
        <v>24</v>
      </c>
      <c r="I117" s="162">
        <v>23</v>
      </c>
      <c r="J117" s="162">
        <v>16</v>
      </c>
      <c r="K117" s="162">
        <v>24</v>
      </c>
      <c r="L117" s="162">
        <v>29</v>
      </c>
      <c r="M117" s="162">
        <v>12</v>
      </c>
      <c r="N117" s="162">
        <v>37</v>
      </c>
      <c r="O117" s="162">
        <v>18</v>
      </c>
      <c r="P117" s="162">
        <v>29</v>
      </c>
      <c r="Q117" s="162">
        <v>11</v>
      </c>
      <c r="R117" s="162">
        <v>29</v>
      </c>
      <c r="S117" s="162">
        <v>31</v>
      </c>
      <c r="T117" s="162">
        <v>15</v>
      </c>
      <c r="U117" s="162">
        <v>24</v>
      </c>
      <c r="V117" s="162">
        <v>16</v>
      </c>
      <c r="W117" s="162">
        <v>24</v>
      </c>
      <c r="X117" s="162">
        <v>11</v>
      </c>
      <c r="Y117" s="162">
        <v>16</v>
      </c>
      <c r="Z117" s="162">
        <v>23</v>
      </c>
      <c r="AA117" s="162">
        <v>21</v>
      </c>
      <c r="AB117" s="162">
        <v>34</v>
      </c>
      <c r="AC117" s="162">
        <v>30</v>
      </c>
      <c r="AD117" s="162">
        <v>25</v>
      </c>
      <c r="AE117" s="162">
        <v>23</v>
      </c>
      <c r="AF117" s="161">
        <v>24</v>
      </c>
      <c r="AG117" s="64">
        <f t="shared" si="15"/>
        <v>724</v>
      </c>
    </row>
    <row r="118" spans="1:33" ht="19.5" hidden="1" customHeight="1" thickBot="1" x14ac:dyDescent="0.3">
      <c r="A118" s="323" t="s">
        <v>69</v>
      </c>
      <c r="B118" s="249"/>
      <c r="C118" s="162"/>
      <c r="D118" s="162"/>
      <c r="E118" s="162"/>
      <c r="F118" s="162"/>
      <c r="G118" s="162"/>
      <c r="H118" s="162"/>
      <c r="I118" s="162"/>
      <c r="J118" s="162"/>
      <c r="K118" s="162"/>
      <c r="L118" s="162"/>
      <c r="M118" s="162"/>
      <c r="N118" s="162"/>
      <c r="O118" s="162"/>
      <c r="P118" s="162"/>
      <c r="Q118" s="162"/>
      <c r="R118" s="162"/>
      <c r="S118" s="162"/>
      <c r="T118" s="162"/>
      <c r="U118" s="162"/>
      <c r="V118" s="162"/>
      <c r="W118" s="162"/>
      <c r="X118" s="162"/>
      <c r="Y118" s="162"/>
      <c r="Z118" s="162"/>
      <c r="AA118" s="162"/>
      <c r="AB118" s="162"/>
      <c r="AC118" s="162"/>
      <c r="AD118" s="162"/>
      <c r="AE118" s="162"/>
      <c r="AF118" s="161"/>
      <c r="AG118" s="64">
        <f t="shared" si="15"/>
        <v>0</v>
      </c>
    </row>
    <row r="119" spans="1:33" ht="19.5" hidden="1" customHeight="1" thickBot="1" x14ac:dyDescent="0.3">
      <c r="A119" s="323" t="s">
        <v>68</v>
      </c>
      <c r="B119" s="249"/>
      <c r="C119" s="162"/>
      <c r="D119" s="162"/>
      <c r="E119" s="162"/>
      <c r="F119" s="162"/>
      <c r="G119" s="162"/>
      <c r="H119" s="162"/>
      <c r="I119" s="162"/>
      <c r="J119" s="162"/>
      <c r="K119" s="162"/>
      <c r="L119" s="162"/>
      <c r="M119" s="162"/>
      <c r="N119" s="162"/>
      <c r="O119" s="162"/>
      <c r="P119" s="162"/>
      <c r="Q119" s="162"/>
      <c r="R119" s="162"/>
      <c r="S119" s="162"/>
      <c r="T119" s="162"/>
      <c r="U119" s="162"/>
      <c r="V119" s="162"/>
      <c r="W119" s="162"/>
      <c r="X119" s="162"/>
      <c r="Y119" s="162"/>
      <c r="Z119" s="162"/>
      <c r="AA119" s="162"/>
      <c r="AB119" s="162"/>
      <c r="AC119" s="162"/>
      <c r="AD119" s="162"/>
      <c r="AE119" s="162"/>
      <c r="AF119" s="161"/>
      <c r="AG119" s="64">
        <f t="shared" si="15"/>
        <v>0</v>
      </c>
    </row>
    <row r="120" spans="1:33" ht="19.5" hidden="1" customHeight="1" thickBot="1" x14ac:dyDescent="0.3">
      <c r="A120" s="323" t="s">
        <v>66</v>
      </c>
      <c r="B120" s="249"/>
      <c r="C120" s="162"/>
      <c r="D120" s="162"/>
      <c r="E120" s="162"/>
      <c r="F120" s="162"/>
      <c r="G120" s="162"/>
      <c r="H120" s="162"/>
      <c r="I120" s="162"/>
      <c r="J120" s="162"/>
      <c r="K120" s="162"/>
      <c r="L120" s="162"/>
      <c r="M120" s="162"/>
      <c r="N120" s="162"/>
      <c r="O120" s="162"/>
      <c r="P120" s="162"/>
      <c r="Q120" s="162"/>
      <c r="R120" s="162"/>
      <c r="S120" s="162"/>
      <c r="T120" s="162"/>
      <c r="U120" s="162"/>
      <c r="V120" s="162"/>
      <c r="W120" s="162"/>
      <c r="X120" s="162"/>
      <c r="Y120" s="162"/>
      <c r="Z120" s="162"/>
      <c r="AA120" s="162"/>
      <c r="AB120" s="162"/>
      <c r="AC120" s="162"/>
      <c r="AD120" s="162"/>
      <c r="AE120" s="162"/>
      <c r="AF120" s="161"/>
      <c r="AG120" s="64">
        <f t="shared" si="15"/>
        <v>0</v>
      </c>
    </row>
    <row r="121" spans="1:33" ht="19.5" hidden="1" customHeight="1" thickBot="1" x14ac:dyDescent="0.3">
      <c r="A121" s="323" t="s">
        <v>65</v>
      </c>
      <c r="B121" s="249"/>
      <c r="C121" s="162"/>
      <c r="D121" s="162"/>
      <c r="E121" s="162"/>
      <c r="F121" s="162"/>
      <c r="G121" s="162"/>
      <c r="H121" s="162"/>
      <c r="I121" s="162"/>
      <c r="J121" s="162"/>
      <c r="K121" s="162"/>
      <c r="L121" s="162"/>
      <c r="M121" s="162"/>
      <c r="N121" s="162"/>
      <c r="O121" s="162"/>
      <c r="P121" s="162"/>
      <c r="Q121" s="162"/>
      <c r="R121" s="162"/>
      <c r="S121" s="162"/>
      <c r="T121" s="162"/>
      <c r="U121" s="162"/>
      <c r="V121" s="162"/>
      <c r="W121" s="162"/>
      <c r="X121" s="162"/>
      <c r="Y121" s="162"/>
      <c r="Z121" s="162"/>
      <c r="AA121" s="162"/>
      <c r="AB121" s="162"/>
      <c r="AC121" s="162"/>
      <c r="AD121" s="162"/>
      <c r="AE121" s="162"/>
      <c r="AF121" s="161"/>
      <c r="AG121" s="64">
        <f t="shared" si="15"/>
        <v>0</v>
      </c>
    </row>
    <row r="122" spans="1:33" ht="19.5" hidden="1" customHeight="1" thickBot="1" x14ac:dyDescent="0.3">
      <c r="A122" s="323" t="s">
        <v>64</v>
      </c>
      <c r="B122" s="249"/>
      <c r="C122" s="162"/>
      <c r="D122" s="162"/>
      <c r="E122" s="162"/>
      <c r="F122" s="162"/>
      <c r="G122" s="162"/>
      <c r="H122" s="162"/>
      <c r="I122" s="162"/>
      <c r="J122" s="162"/>
      <c r="K122" s="162"/>
      <c r="L122" s="162"/>
      <c r="M122" s="162"/>
      <c r="N122" s="162"/>
      <c r="O122" s="162"/>
      <c r="P122" s="162"/>
      <c r="Q122" s="162"/>
      <c r="R122" s="162"/>
      <c r="S122" s="162"/>
      <c r="T122" s="162"/>
      <c r="U122" s="162"/>
      <c r="V122" s="162"/>
      <c r="W122" s="162"/>
      <c r="X122" s="162"/>
      <c r="Y122" s="162"/>
      <c r="Z122" s="162"/>
      <c r="AA122" s="162"/>
      <c r="AB122" s="162"/>
      <c r="AC122" s="162"/>
      <c r="AD122" s="162"/>
      <c r="AE122" s="162"/>
      <c r="AF122" s="161"/>
      <c r="AG122" s="64">
        <f t="shared" si="15"/>
        <v>0</v>
      </c>
    </row>
    <row r="123" spans="1:33" ht="19.5" hidden="1" customHeight="1" thickBot="1" x14ac:dyDescent="0.3">
      <c r="A123" s="323" t="s">
        <v>63</v>
      </c>
      <c r="B123" s="249"/>
      <c r="C123" s="162"/>
      <c r="D123" s="162"/>
      <c r="E123" s="162"/>
      <c r="F123" s="162"/>
      <c r="G123" s="162"/>
      <c r="H123" s="162"/>
      <c r="I123" s="162"/>
      <c r="J123" s="162"/>
      <c r="K123" s="162"/>
      <c r="L123" s="162"/>
      <c r="M123" s="162"/>
      <c r="N123" s="162"/>
      <c r="O123" s="162"/>
      <c r="P123" s="162"/>
      <c r="Q123" s="162"/>
      <c r="R123" s="162"/>
      <c r="S123" s="162"/>
      <c r="T123" s="162"/>
      <c r="U123" s="162"/>
      <c r="V123" s="162"/>
      <c r="W123" s="162"/>
      <c r="X123" s="162"/>
      <c r="Y123" s="162"/>
      <c r="Z123" s="162"/>
      <c r="AA123" s="162"/>
      <c r="AB123" s="162"/>
      <c r="AC123" s="162"/>
      <c r="AD123" s="162"/>
      <c r="AE123" s="162"/>
      <c r="AF123" s="161"/>
      <c r="AG123" s="64">
        <f t="shared" si="15"/>
        <v>0</v>
      </c>
    </row>
    <row r="124" spans="1:33" ht="19.5" hidden="1" customHeight="1" thickBot="1" x14ac:dyDescent="0.3">
      <c r="A124" s="323" t="s">
        <v>62</v>
      </c>
      <c r="B124" s="249"/>
      <c r="C124" s="162"/>
      <c r="D124" s="162"/>
      <c r="E124" s="162"/>
      <c r="F124" s="162"/>
      <c r="G124" s="162"/>
      <c r="H124" s="162"/>
      <c r="I124" s="162"/>
      <c r="J124" s="162"/>
      <c r="K124" s="162"/>
      <c r="L124" s="162"/>
      <c r="M124" s="162"/>
      <c r="N124" s="162"/>
      <c r="O124" s="162"/>
      <c r="P124" s="162"/>
      <c r="Q124" s="162"/>
      <c r="R124" s="162"/>
      <c r="S124" s="162"/>
      <c r="T124" s="162"/>
      <c r="U124" s="162"/>
      <c r="V124" s="162"/>
      <c r="W124" s="162"/>
      <c r="X124" s="162"/>
      <c r="Y124" s="162"/>
      <c r="Z124" s="162"/>
      <c r="AA124" s="162"/>
      <c r="AB124" s="162"/>
      <c r="AC124" s="162"/>
      <c r="AD124" s="162"/>
      <c r="AE124" s="162"/>
      <c r="AF124" s="161"/>
      <c r="AG124" s="64">
        <f t="shared" si="15"/>
        <v>0</v>
      </c>
    </row>
    <row r="125" spans="1:33" ht="19.5" hidden="1" customHeight="1" thickBot="1" x14ac:dyDescent="0.3">
      <c r="A125" s="301" t="s">
        <v>60</v>
      </c>
      <c r="B125" s="249"/>
      <c r="C125" s="162"/>
      <c r="D125" s="162"/>
      <c r="E125" s="162"/>
      <c r="F125" s="162"/>
      <c r="G125" s="162"/>
      <c r="H125" s="162"/>
      <c r="I125" s="162"/>
      <c r="J125" s="162"/>
      <c r="K125" s="162"/>
      <c r="L125" s="162"/>
      <c r="M125" s="162"/>
      <c r="N125" s="162"/>
      <c r="O125" s="162"/>
      <c r="P125" s="162"/>
      <c r="Q125" s="162"/>
      <c r="R125" s="162"/>
      <c r="S125" s="162"/>
      <c r="T125" s="162"/>
      <c r="U125" s="162"/>
      <c r="V125" s="162"/>
      <c r="W125" s="162"/>
      <c r="X125" s="162"/>
      <c r="Y125" s="162"/>
      <c r="Z125" s="162"/>
      <c r="AA125" s="162"/>
      <c r="AB125" s="162"/>
      <c r="AC125" s="162"/>
      <c r="AD125" s="162"/>
      <c r="AE125" s="162"/>
      <c r="AF125" s="161"/>
      <c r="AG125" s="64">
        <f t="shared" si="15"/>
        <v>0</v>
      </c>
    </row>
    <row r="126" spans="1:33" ht="19.5" hidden="1" customHeight="1" thickBot="1" x14ac:dyDescent="0.3">
      <c r="A126" s="301" t="s">
        <v>59</v>
      </c>
      <c r="B126" s="249"/>
      <c r="C126" s="162"/>
      <c r="D126" s="162"/>
      <c r="E126" s="162"/>
      <c r="F126" s="162"/>
      <c r="G126" s="162"/>
      <c r="H126" s="162"/>
      <c r="I126" s="162"/>
      <c r="J126" s="162"/>
      <c r="K126" s="162"/>
      <c r="L126" s="162"/>
      <c r="M126" s="162"/>
      <c r="N126" s="162"/>
      <c r="O126" s="162"/>
      <c r="P126" s="162"/>
      <c r="Q126" s="162"/>
      <c r="R126" s="162"/>
      <c r="S126" s="162"/>
      <c r="T126" s="162"/>
      <c r="U126" s="162"/>
      <c r="V126" s="162"/>
      <c r="W126" s="162"/>
      <c r="X126" s="162"/>
      <c r="Y126" s="162"/>
      <c r="Z126" s="162"/>
      <c r="AA126" s="162"/>
      <c r="AB126" s="162"/>
      <c r="AC126" s="162"/>
      <c r="AD126" s="162"/>
      <c r="AE126" s="162"/>
      <c r="AF126" s="161"/>
      <c r="AG126" s="64">
        <f t="shared" si="15"/>
        <v>0</v>
      </c>
    </row>
    <row r="127" spans="1:33" ht="19.5" hidden="1" customHeight="1" thickBot="1" x14ac:dyDescent="0.3">
      <c r="A127" s="301" t="s">
        <v>58</v>
      </c>
      <c r="B127" s="249"/>
      <c r="C127" s="162"/>
      <c r="D127" s="162"/>
      <c r="E127" s="162"/>
      <c r="F127" s="162"/>
      <c r="G127" s="162"/>
      <c r="H127" s="162"/>
      <c r="I127" s="162"/>
      <c r="J127" s="162"/>
      <c r="K127" s="162"/>
      <c r="L127" s="162"/>
      <c r="M127" s="162"/>
      <c r="N127" s="162"/>
      <c r="O127" s="162"/>
      <c r="P127" s="162"/>
      <c r="Q127" s="162"/>
      <c r="R127" s="162"/>
      <c r="S127" s="162"/>
      <c r="T127" s="162"/>
      <c r="U127" s="162"/>
      <c r="V127" s="162"/>
      <c r="W127" s="162"/>
      <c r="X127" s="162"/>
      <c r="Y127" s="162"/>
      <c r="Z127" s="162"/>
      <c r="AA127" s="162"/>
      <c r="AB127" s="162"/>
      <c r="AC127" s="162"/>
      <c r="AD127" s="162"/>
      <c r="AE127" s="162"/>
      <c r="AF127" s="161"/>
      <c r="AG127" s="64">
        <f t="shared" si="15"/>
        <v>0</v>
      </c>
    </row>
    <row r="128" spans="1:33" ht="19.5" hidden="1" customHeight="1" thickBot="1" x14ac:dyDescent="0.3">
      <c r="A128" s="323" t="s">
        <v>88</v>
      </c>
      <c r="B128" s="249"/>
      <c r="C128" s="162"/>
      <c r="D128" s="162"/>
      <c r="E128" s="162"/>
      <c r="F128" s="162"/>
      <c r="G128" s="162"/>
      <c r="H128" s="162"/>
      <c r="I128" s="162"/>
      <c r="J128" s="162"/>
      <c r="K128" s="162"/>
      <c r="L128" s="162"/>
      <c r="M128" s="162"/>
      <c r="N128" s="162"/>
      <c r="O128" s="162"/>
      <c r="P128" s="162"/>
      <c r="Q128" s="162"/>
      <c r="R128" s="162"/>
      <c r="S128" s="162"/>
      <c r="T128" s="162"/>
      <c r="U128" s="162"/>
      <c r="V128" s="162"/>
      <c r="W128" s="162"/>
      <c r="X128" s="162"/>
      <c r="Y128" s="162"/>
      <c r="Z128" s="162"/>
      <c r="AA128" s="162"/>
      <c r="AB128" s="162"/>
      <c r="AC128" s="162"/>
      <c r="AD128" s="162"/>
      <c r="AE128" s="162"/>
      <c r="AF128" s="161"/>
      <c r="AG128" s="64">
        <f t="shared" si="15"/>
        <v>0</v>
      </c>
    </row>
    <row r="129" spans="1:35" ht="19.5" thickBot="1" x14ac:dyDescent="0.3">
      <c r="A129" s="324" t="s">
        <v>87</v>
      </c>
      <c r="B129" s="263">
        <f>11+5</f>
        <v>16</v>
      </c>
      <c r="C129" s="140">
        <f>10+3</f>
        <v>13</v>
      </c>
      <c r="D129" s="140">
        <f>13+2</f>
        <v>15</v>
      </c>
      <c r="E129" s="140">
        <f>9+3</f>
        <v>12</v>
      </c>
      <c r="F129" s="140">
        <f>9+5</f>
        <v>14</v>
      </c>
      <c r="G129" s="140">
        <f>10+9</f>
        <v>19</v>
      </c>
      <c r="H129" s="140">
        <f>13+5</f>
        <v>18</v>
      </c>
      <c r="I129" s="140">
        <f>15+1+5</f>
        <v>21</v>
      </c>
      <c r="J129" s="140">
        <f>10+2</f>
        <v>12</v>
      </c>
      <c r="K129" s="140">
        <f>10+1</f>
        <v>11</v>
      </c>
      <c r="L129" s="140">
        <f>3+1+3</f>
        <v>7</v>
      </c>
      <c r="M129" s="140">
        <f>10+1</f>
        <v>11</v>
      </c>
      <c r="N129" s="140">
        <f>14+3</f>
        <v>17</v>
      </c>
      <c r="O129" s="140">
        <f>13+2+6</f>
        <v>21</v>
      </c>
      <c r="P129" s="140">
        <f>8+4</f>
        <v>12</v>
      </c>
      <c r="Q129" s="140">
        <f>7+1</f>
        <v>8</v>
      </c>
      <c r="R129" s="140">
        <f>6+1+2</f>
        <v>9</v>
      </c>
      <c r="S129" s="140">
        <f>6+2</f>
        <v>8</v>
      </c>
      <c r="T129" s="140">
        <f>10+3</f>
        <v>13</v>
      </c>
      <c r="U129" s="140">
        <f>11+5</f>
        <v>16</v>
      </c>
      <c r="V129" s="140">
        <f>11+4</f>
        <v>15</v>
      </c>
      <c r="W129" s="140">
        <f>13+1+5</f>
        <v>19</v>
      </c>
      <c r="X129" s="140">
        <f>7+1+2</f>
        <v>10</v>
      </c>
      <c r="Y129" s="140">
        <f>9+3</f>
        <v>12</v>
      </c>
      <c r="Z129" s="140">
        <f>16+2</f>
        <v>18</v>
      </c>
      <c r="AA129" s="140">
        <f>13+3</f>
        <v>16</v>
      </c>
      <c r="AB129" s="140">
        <f>5+3</f>
        <v>8</v>
      </c>
      <c r="AC129" s="140">
        <f>6+4</f>
        <v>10</v>
      </c>
      <c r="AD129" s="140">
        <f>15+1</f>
        <v>16</v>
      </c>
      <c r="AE129" s="140">
        <f>5+2</f>
        <v>7</v>
      </c>
      <c r="AF129" s="139">
        <f>6+1</f>
        <v>7</v>
      </c>
      <c r="AG129" s="64">
        <f t="shared" si="15"/>
        <v>411</v>
      </c>
    </row>
    <row r="130" spans="1:35" ht="18.75" x14ac:dyDescent="0.25">
      <c r="A130" s="315" t="s">
        <v>89</v>
      </c>
      <c r="B130" s="261">
        <f t="shared" ref="B130:AF130" si="18">SUM(B131:B143)</f>
        <v>160</v>
      </c>
      <c r="C130" s="166">
        <f t="shared" si="18"/>
        <v>118</v>
      </c>
      <c r="D130" s="166">
        <f t="shared" si="18"/>
        <v>151</v>
      </c>
      <c r="E130" s="166">
        <f t="shared" si="18"/>
        <v>130</v>
      </c>
      <c r="F130" s="166">
        <f t="shared" si="18"/>
        <v>124</v>
      </c>
      <c r="G130" s="166">
        <f t="shared" si="18"/>
        <v>149</v>
      </c>
      <c r="H130" s="166">
        <f t="shared" si="18"/>
        <v>158</v>
      </c>
      <c r="I130" s="166">
        <f t="shared" si="18"/>
        <v>150</v>
      </c>
      <c r="J130" s="166">
        <f t="shared" si="18"/>
        <v>139</v>
      </c>
      <c r="K130" s="166">
        <f t="shared" si="18"/>
        <v>147</v>
      </c>
      <c r="L130" s="166">
        <f t="shared" si="18"/>
        <v>143</v>
      </c>
      <c r="M130" s="166">
        <f t="shared" si="18"/>
        <v>137</v>
      </c>
      <c r="N130" s="166">
        <f t="shared" si="18"/>
        <v>167</v>
      </c>
      <c r="O130" s="166">
        <f t="shared" si="18"/>
        <v>159</v>
      </c>
      <c r="P130" s="166">
        <f t="shared" si="18"/>
        <v>140</v>
      </c>
      <c r="Q130" s="166">
        <f t="shared" si="18"/>
        <v>151</v>
      </c>
      <c r="R130" s="166">
        <f t="shared" si="18"/>
        <v>136</v>
      </c>
      <c r="S130" s="166">
        <f t="shared" si="18"/>
        <v>124</v>
      </c>
      <c r="T130" s="166">
        <f t="shared" si="18"/>
        <v>121</v>
      </c>
      <c r="U130" s="166">
        <f t="shared" si="18"/>
        <v>164</v>
      </c>
      <c r="V130" s="166">
        <f t="shared" si="18"/>
        <v>143</v>
      </c>
      <c r="W130" s="166">
        <f t="shared" si="18"/>
        <v>171</v>
      </c>
      <c r="X130" s="166">
        <f t="shared" si="18"/>
        <v>152</v>
      </c>
      <c r="Y130" s="166">
        <f t="shared" si="18"/>
        <v>133</v>
      </c>
      <c r="Z130" s="166">
        <f t="shared" si="18"/>
        <v>155</v>
      </c>
      <c r="AA130" s="166">
        <f t="shared" si="18"/>
        <v>153</v>
      </c>
      <c r="AB130" s="166">
        <f t="shared" si="18"/>
        <v>114</v>
      </c>
      <c r="AC130" s="166">
        <f t="shared" si="18"/>
        <v>158</v>
      </c>
      <c r="AD130" s="166">
        <f t="shared" si="18"/>
        <v>162</v>
      </c>
      <c r="AE130" s="166">
        <f t="shared" si="18"/>
        <v>120</v>
      </c>
      <c r="AF130" s="165">
        <f t="shared" si="18"/>
        <v>119</v>
      </c>
      <c r="AG130" s="164">
        <f t="shared" si="15"/>
        <v>4448</v>
      </c>
      <c r="AH130" s="152" t="str">
        <f>IF(AG130&lt;&gt;AG93,"*","")</f>
        <v/>
      </c>
    </row>
    <row r="131" spans="1:35" ht="18.75" x14ac:dyDescent="0.25">
      <c r="A131" s="323" t="s">
        <v>67</v>
      </c>
      <c r="B131" s="249">
        <v>34</v>
      </c>
      <c r="C131" s="162">
        <v>24</v>
      </c>
      <c r="D131" s="162">
        <v>22</v>
      </c>
      <c r="E131" s="162">
        <v>14</v>
      </c>
      <c r="F131" s="162">
        <v>21</v>
      </c>
      <c r="G131" s="162">
        <v>33</v>
      </c>
      <c r="H131" s="162">
        <v>24</v>
      </c>
      <c r="I131" s="162">
        <v>22</v>
      </c>
      <c r="J131" s="162">
        <v>14</v>
      </c>
      <c r="K131" s="162">
        <v>22</v>
      </c>
      <c r="L131" s="162">
        <v>25</v>
      </c>
      <c r="M131" s="162">
        <v>12</v>
      </c>
      <c r="N131" s="162">
        <v>36</v>
      </c>
      <c r="O131" s="162">
        <v>17</v>
      </c>
      <c r="P131" s="162">
        <v>29</v>
      </c>
      <c r="Q131" s="162">
        <v>10</v>
      </c>
      <c r="R131" s="162">
        <v>24</v>
      </c>
      <c r="S131" s="162">
        <v>31</v>
      </c>
      <c r="T131" s="162">
        <v>15</v>
      </c>
      <c r="U131" s="162">
        <v>24</v>
      </c>
      <c r="V131" s="162">
        <v>16</v>
      </c>
      <c r="W131" s="162">
        <v>21</v>
      </c>
      <c r="X131" s="162">
        <v>9</v>
      </c>
      <c r="Y131" s="162">
        <v>12</v>
      </c>
      <c r="Z131" s="162">
        <v>23</v>
      </c>
      <c r="AA131" s="162">
        <v>18</v>
      </c>
      <c r="AB131" s="162">
        <v>34</v>
      </c>
      <c r="AC131" s="162">
        <v>30</v>
      </c>
      <c r="AD131" s="162">
        <v>25</v>
      </c>
      <c r="AE131" s="162">
        <v>23</v>
      </c>
      <c r="AF131" s="161">
        <v>23</v>
      </c>
      <c r="AG131" s="64">
        <f t="shared" ref="AG131:AG145" si="19">SUM(B131:AF131)</f>
        <v>687</v>
      </c>
    </row>
    <row r="132" spans="1:35" ht="18.75" x14ac:dyDescent="0.25">
      <c r="A132" s="323" t="s">
        <v>69</v>
      </c>
      <c r="B132" s="249">
        <v>6</v>
      </c>
      <c r="C132" s="162">
        <v>3</v>
      </c>
      <c r="D132" s="162">
        <v>1</v>
      </c>
      <c r="E132" s="162">
        <v>3</v>
      </c>
      <c r="F132" s="162">
        <v>6</v>
      </c>
      <c r="G132" s="162">
        <v>12</v>
      </c>
      <c r="H132" s="162">
        <v>8</v>
      </c>
      <c r="I132" s="162">
        <v>2</v>
      </c>
      <c r="J132" s="162">
        <v>3</v>
      </c>
      <c r="K132" s="162">
        <v>3</v>
      </c>
      <c r="L132" s="162">
        <v>2</v>
      </c>
      <c r="M132" s="162">
        <v>3</v>
      </c>
      <c r="N132" s="162">
        <v>6</v>
      </c>
      <c r="O132" s="162">
        <v>4</v>
      </c>
      <c r="P132" s="162">
        <v>4</v>
      </c>
      <c r="Q132" s="162">
        <v>2</v>
      </c>
      <c r="R132" s="162">
        <v>4</v>
      </c>
      <c r="S132" s="162">
        <v>2</v>
      </c>
      <c r="T132" s="162">
        <v>5</v>
      </c>
      <c r="U132" s="162">
        <v>1</v>
      </c>
      <c r="V132" s="162">
        <v>6</v>
      </c>
      <c r="W132" s="162">
        <v>1</v>
      </c>
      <c r="X132" s="162">
        <v>3</v>
      </c>
      <c r="Y132" s="162">
        <v>2</v>
      </c>
      <c r="Z132" s="162">
        <v>1</v>
      </c>
      <c r="AA132" s="162">
        <v>3</v>
      </c>
      <c r="AB132" s="162">
        <v>5</v>
      </c>
      <c r="AC132" s="162">
        <v>1</v>
      </c>
      <c r="AD132" s="162">
        <v>3</v>
      </c>
      <c r="AE132" s="162">
        <v>1</v>
      </c>
      <c r="AF132" s="161">
        <v>6</v>
      </c>
      <c r="AG132" s="64">
        <f t="shared" si="19"/>
        <v>112</v>
      </c>
    </row>
    <row r="133" spans="1:35" ht="18.75" x14ac:dyDescent="0.25">
      <c r="A133" s="323" t="s">
        <v>68</v>
      </c>
      <c r="B133" s="249">
        <v>6</v>
      </c>
      <c r="C133" s="162">
        <v>2</v>
      </c>
      <c r="D133" s="162"/>
      <c r="E133" s="162">
        <v>2</v>
      </c>
      <c r="F133" s="162">
        <v>3</v>
      </c>
      <c r="G133" s="162">
        <v>6</v>
      </c>
      <c r="H133" s="162">
        <v>10</v>
      </c>
      <c r="I133" s="162">
        <v>6</v>
      </c>
      <c r="J133" s="162">
        <v>4</v>
      </c>
      <c r="K133" s="162">
        <v>8</v>
      </c>
      <c r="L133" s="162">
        <v>3</v>
      </c>
      <c r="M133" s="162">
        <v>5</v>
      </c>
      <c r="N133" s="162">
        <v>7</v>
      </c>
      <c r="O133" s="162">
        <v>13</v>
      </c>
      <c r="P133" s="162">
        <v>4</v>
      </c>
      <c r="Q133" s="162">
        <v>3</v>
      </c>
      <c r="R133" s="162">
        <v>4</v>
      </c>
      <c r="S133" s="162">
        <v>4</v>
      </c>
      <c r="T133" s="162">
        <v>4</v>
      </c>
      <c r="U133" s="162">
        <v>10</v>
      </c>
      <c r="V133" s="162">
        <v>3</v>
      </c>
      <c r="W133" s="162">
        <v>10</v>
      </c>
      <c r="X133" s="162">
        <v>3</v>
      </c>
      <c r="Y133" s="162">
        <v>4</v>
      </c>
      <c r="Z133" s="162">
        <v>3</v>
      </c>
      <c r="AA133" s="162">
        <v>5</v>
      </c>
      <c r="AB133" s="162">
        <v>5</v>
      </c>
      <c r="AC133" s="162">
        <v>6</v>
      </c>
      <c r="AD133" s="162">
        <v>2</v>
      </c>
      <c r="AE133" s="162">
        <v>7</v>
      </c>
      <c r="AF133" s="161">
        <v>3</v>
      </c>
      <c r="AG133" s="64">
        <f t="shared" si="19"/>
        <v>155</v>
      </c>
    </row>
    <row r="134" spans="1:35" ht="18.75" x14ac:dyDescent="0.25">
      <c r="A134" s="323" t="s">
        <v>66</v>
      </c>
      <c r="B134" s="249">
        <f>1+1+2</f>
        <v>4</v>
      </c>
      <c r="C134" s="162">
        <v>1</v>
      </c>
      <c r="D134" s="162">
        <f>4+3</f>
        <v>7</v>
      </c>
      <c r="E134" s="162">
        <v>3</v>
      </c>
      <c r="F134" s="162">
        <f>2+1</f>
        <v>3</v>
      </c>
      <c r="G134" s="162">
        <f>3+3</f>
        <v>6</v>
      </c>
      <c r="H134" s="162">
        <v>5</v>
      </c>
      <c r="I134" s="162">
        <f>8+1</f>
        <v>9</v>
      </c>
      <c r="J134" s="162">
        <f>2+2</f>
        <v>4</v>
      </c>
      <c r="K134" s="162">
        <f>9+1</f>
        <v>10</v>
      </c>
      <c r="L134" s="162">
        <f>1+5+1</f>
        <v>7</v>
      </c>
      <c r="M134" s="162">
        <f>5+1</f>
        <v>6</v>
      </c>
      <c r="N134" s="162">
        <f>3+5</f>
        <v>8</v>
      </c>
      <c r="O134" s="162">
        <v>3</v>
      </c>
      <c r="P134" s="162">
        <f>1+1</f>
        <v>2</v>
      </c>
      <c r="Q134" s="162">
        <v>1</v>
      </c>
      <c r="R134" s="162">
        <f>6+3</f>
        <v>9</v>
      </c>
      <c r="S134" s="162">
        <v>1</v>
      </c>
      <c r="T134" s="162">
        <f>3+1</f>
        <v>4</v>
      </c>
      <c r="U134" s="162">
        <v>7</v>
      </c>
      <c r="V134" s="162">
        <f>4+2</f>
        <v>6</v>
      </c>
      <c r="W134" s="162">
        <f>4+3</f>
        <v>7</v>
      </c>
      <c r="X134" s="162">
        <v>1</v>
      </c>
      <c r="Y134" s="162">
        <f>2+3</f>
        <v>5</v>
      </c>
      <c r="Z134" s="162">
        <f>3+2</f>
        <v>5</v>
      </c>
      <c r="AA134" s="162">
        <f>3+3</f>
        <v>6</v>
      </c>
      <c r="AB134" s="162">
        <f>3+1</f>
        <v>4</v>
      </c>
      <c r="AC134" s="162">
        <f>5+7</f>
        <v>12</v>
      </c>
      <c r="AD134" s="162">
        <v>2</v>
      </c>
      <c r="AE134" s="162">
        <f>5+4</f>
        <v>9</v>
      </c>
      <c r="AF134" s="161">
        <f>4+1</f>
        <v>5</v>
      </c>
      <c r="AG134" s="64">
        <f t="shared" si="19"/>
        <v>162</v>
      </c>
    </row>
    <row r="135" spans="1:35" ht="18.75" x14ac:dyDescent="0.25">
      <c r="A135" s="323" t="s">
        <v>65</v>
      </c>
      <c r="B135" s="249">
        <v>8</v>
      </c>
      <c r="C135" s="162">
        <v>4</v>
      </c>
      <c r="D135" s="162">
        <v>5</v>
      </c>
      <c r="E135" s="162">
        <v>6</v>
      </c>
      <c r="F135" s="162">
        <v>5</v>
      </c>
      <c r="G135" s="162">
        <v>6</v>
      </c>
      <c r="H135" s="162">
        <v>9</v>
      </c>
      <c r="I135" s="162">
        <v>2</v>
      </c>
      <c r="J135" s="162">
        <v>4</v>
      </c>
      <c r="K135" s="162">
        <v>1</v>
      </c>
      <c r="L135" s="162">
        <v>1</v>
      </c>
      <c r="M135" s="162">
        <v>9</v>
      </c>
      <c r="N135" s="162">
        <v>7</v>
      </c>
      <c r="O135" s="162">
        <v>9</v>
      </c>
      <c r="P135" s="162">
        <v>5</v>
      </c>
      <c r="Q135" s="162">
        <v>4</v>
      </c>
      <c r="R135" s="162">
        <v>4</v>
      </c>
      <c r="S135" s="162"/>
      <c r="T135" s="162">
        <v>1</v>
      </c>
      <c r="U135" s="162">
        <v>9</v>
      </c>
      <c r="V135" s="162">
        <v>2</v>
      </c>
      <c r="W135" s="162">
        <v>8</v>
      </c>
      <c r="X135" s="162"/>
      <c r="Y135" s="162">
        <v>3</v>
      </c>
      <c r="Z135" s="162">
        <v>2</v>
      </c>
      <c r="AA135" s="162">
        <v>6</v>
      </c>
      <c r="AB135" s="162">
        <v>3</v>
      </c>
      <c r="AC135" s="162">
        <v>6</v>
      </c>
      <c r="AD135" s="162">
        <v>4</v>
      </c>
      <c r="AE135" s="162">
        <v>6</v>
      </c>
      <c r="AF135" s="161">
        <v>4</v>
      </c>
      <c r="AG135" s="64">
        <f t="shared" si="19"/>
        <v>143</v>
      </c>
    </row>
    <row r="136" spans="1:35" ht="18.75" x14ac:dyDescent="0.25">
      <c r="A136" s="323" t="s">
        <v>64</v>
      </c>
      <c r="B136" s="249">
        <v>69</v>
      </c>
      <c r="C136" s="162">
        <v>69</v>
      </c>
      <c r="D136" s="162">
        <v>91</v>
      </c>
      <c r="E136" s="162">
        <v>83</v>
      </c>
      <c r="F136" s="162">
        <v>69</v>
      </c>
      <c r="G136" s="162">
        <v>58</v>
      </c>
      <c r="H136" s="162">
        <v>73</v>
      </c>
      <c r="I136" s="162">
        <v>84</v>
      </c>
      <c r="J136" s="162">
        <v>83</v>
      </c>
      <c r="K136" s="162">
        <v>80</v>
      </c>
      <c r="L136" s="162">
        <v>90</v>
      </c>
      <c r="M136" s="162">
        <v>86</v>
      </c>
      <c r="N136" s="162">
        <v>73</v>
      </c>
      <c r="O136" s="162">
        <v>81</v>
      </c>
      <c r="P136" s="162">
        <v>77</v>
      </c>
      <c r="Q136" s="162">
        <v>109</v>
      </c>
      <c r="R136" s="162">
        <v>70</v>
      </c>
      <c r="S136" s="162">
        <v>74</v>
      </c>
      <c r="T136" s="162">
        <v>72</v>
      </c>
      <c r="U136" s="162">
        <v>91</v>
      </c>
      <c r="V136" s="162">
        <v>89</v>
      </c>
      <c r="W136" s="162">
        <v>97</v>
      </c>
      <c r="X136" s="162">
        <v>113</v>
      </c>
      <c r="Y136" s="162">
        <v>90</v>
      </c>
      <c r="Z136" s="162">
        <v>92</v>
      </c>
      <c r="AA136" s="162">
        <v>88</v>
      </c>
      <c r="AB136" s="162">
        <v>44</v>
      </c>
      <c r="AC136" s="162">
        <v>87</v>
      </c>
      <c r="AD136" s="162">
        <v>100</v>
      </c>
      <c r="AE136" s="162">
        <v>62</v>
      </c>
      <c r="AF136" s="161">
        <v>64</v>
      </c>
      <c r="AG136" s="64">
        <f t="shared" si="19"/>
        <v>2508</v>
      </c>
    </row>
    <row r="137" spans="1:35" ht="18.75" x14ac:dyDescent="0.25">
      <c r="A137" s="323" t="s">
        <v>63</v>
      </c>
      <c r="B137" s="249">
        <f>5+1</f>
        <v>6</v>
      </c>
      <c r="C137" s="162">
        <v>2</v>
      </c>
      <c r="D137" s="162">
        <v>1</v>
      </c>
      <c r="E137" s="162">
        <v>1</v>
      </c>
      <c r="F137" s="162"/>
      <c r="G137" s="162">
        <v>1</v>
      </c>
      <c r="H137" s="162">
        <v>4</v>
      </c>
      <c r="I137" s="162">
        <v>1</v>
      </c>
      <c r="J137" s="162">
        <v>2</v>
      </c>
      <c r="K137" s="162">
        <v>4</v>
      </c>
      <c r="L137" s="162">
        <v>1</v>
      </c>
      <c r="M137" s="162">
        <v>3</v>
      </c>
      <c r="N137" s="162">
        <v>4</v>
      </c>
      <c r="O137" s="162">
        <v>4</v>
      </c>
      <c r="P137" s="162"/>
      <c r="Q137" s="162">
        <f>1+1</f>
        <v>2</v>
      </c>
      <c r="R137" s="162">
        <v>4</v>
      </c>
      <c r="S137" s="162"/>
      <c r="T137" s="162">
        <v>2</v>
      </c>
      <c r="U137" s="162">
        <v>2</v>
      </c>
      <c r="V137" s="162"/>
      <c r="W137" s="162">
        <f>3+1</f>
        <v>4</v>
      </c>
      <c r="X137" s="162">
        <v>2</v>
      </c>
      <c r="Y137" s="162">
        <v>2</v>
      </c>
      <c r="Z137" s="162">
        <v>2</v>
      </c>
      <c r="AA137" s="162">
        <v>2</v>
      </c>
      <c r="AB137" s="162">
        <f>2+1</f>
        <v>3</v>
      </c>
      <c r="AC137" s="162"/>
      <c r="AD137" s="162"/>
      <c r="AE137" s="162"/>
      <c r="AF137" s="161">
        <v>1</v>
      </c>
      <c r="AG137" s="64">
        <f t="shared" si="19"/>
        <v>60</v>
      </c>
    </row>
    <row r="138" spans="1:35" ht="18.75" x14ac:dyDescent="0.25">
      <c r="A138" s="323" t="s">
        <v>62</v>
      </c>
      <c r="B138" s="249"/>
      <c r="C138" s="162"/>
      <c r="D138" s="162">
        <v>2</v>
      </c>
      <c r="E138" s="162">
        <v>3</v>
      </c>
      <c r="F138" s="162"/>
      <c r="G138" s="162">
        <v>1</v>
      </c>
      <c r="H138" s="162">
        <v>2</v>
      </c>
      <c r="I138" s="162"/>
      <c r="J138" s="162">
        <v>2</v>
      </c>
      <c r="K138" s="162">
        <v>1</v>
      </c>
      <c r="L138" s="162"/>
      <c r="M138" s="162">
        <v>2</v>
      </c>
      <c r="N138" s="162">
        <v>1</v>
      </c>
      <c r="O138" s="162"/>
      <c r="P138" s="162"/>
      <c r="Q138" s="162">
        <v>1</v>
      </c>
      <c r="R138" s="162"/>
      <c r="S138" s="162"/>
      <c r="T138" s="162"/>
      <c r="U138" s="162">
        <v>3</v>
      </c>
      <c r="V138" s="162">
        <v>2</v>
      </c>
      <c r="W138" s="162">
        <v>1</v>
      </c>
      <c r="X138" s="162"/>
      <c r="Y138" s="162"/>
      <c r="Z138" s="162">
        <v>3</v>
      </c>
      <c r="AA138" s="162">
        <v>1</v>
      </c>
      <c r="AB138" s="162"/>
      <c r="AC138" s="162"/>
      <c r="AD138" s="162">
        <v>3</v>
      </c>
      <c r="AE138" s="162">
        <v>3</v>
      </c>
      <c r="AF138" s="161"/>
      <c r="AG138" s="64">
        <f t="shared" si="19"/>
        <v>31</v>
      </c>
    </row>
    <row r="139" spans="1:35" ht="18.75" x14ac:dyDescent="0.25">
      <c r="A139" s="301" t="s">
        <v>60</v>
      </c>
      <c r="B139" s="249">
        <v>3</v>
      </c>
      <c r="C139" s="162">
        <v>1</v>
      </c>
      <c r="D139" s="162">
        <v>3</v>
      </c>
      <c r="E139" s="162">
        <v>1</v>
      </c>
      <c r="F139" s="162"/>
      <c r="G139" s="162">
        <v>3</v>
      </c>
      <c r="H139" s="162">
        <v>1</v>
      </c>
      <c r="I139" s="162">
        <v>1</v>
      </c>
      <c r="J139" s="162">
        <f>1+2</f>
        <v>3</v>
      </c>
      <c r="K139" s="162"/>
      <c r="L139" s="162">
        <v>2</v>
      </c>
      <c r="M139" s="162"/>
      <c r="N139" s="162">
        <v>2</v>
      </c>
      <c r="O139" s="162">
        <v>1</v>
      </c>
      <c r="P139" s="162">
        <v>1</v>
      </c>
      <c r="Q139" s="162">
        <v>2</v>
      </c>
      <c r="R139" s="162">
        <v>1</v>
      </c>
      <c r="S139" s="162">
        <v>1</v>
      </c>
      <c r="T139" s="162">
        <v>2</v>
      </c>
      <c r="U139" s="162">
        <v>2</v>
      </c>
      <c r="V139" s="162">
        <v>1</v>
      </c>
      <c r="W139" s="162"/>
      <c r="X139" s="162">
        <v>2</v>
      </c>
      <c r="Y139" s="162">
        <v>2</v>
      </c>
      <c r="Z139" s="162">
        <v>2</v>
      </c>
      <c r="AA139" s="162">
        <v>1</v>
      </c>
      <c r="AB139" s="162">
        <v>2</v>
      </c>
      <c r="AC139" s="162">
        <v>2</v>
      </c>
      <c r="AD139" s="162"/>
      <c r="AE139" s="162"/>
      <c r="AF139" s="161">
        <v>1</v>
      </c>
      <c r="AG139" s="64">
        <f t="shared" si="19"/>
        <v>43</v>
      </c>
    </row>
    <row r="140" spans="1:35" ht="18.75" x14ac:dyDescent="0.25">
      <c r="A140" s="301" t="s">
        <v>59</v>
      </c>
      <c r="B140" s="249">
        <v>2</v>
      </c>
      <c r="C140" s="162"/>
      <c r="D140" s="162">
        <v>2</v>
      </c>
      <c r="E140" s="162"/>
      <c r="F140" s="162">
        <v>1</v>
      </c>
      <c r="G140" s="162"/>
      <c r="H140" s="162"/>
      <c r="I140" s="162">
        <v>1</v>
      </c>
      <c r="J140" s="162"/>
      <c r="K140" s="162">
        <v>2</v>
      </c>
      <c r="L140" s="162"/>
      <c r="M140" s="162"/>
      <c r="N140" s="162">
        <v>1</v>
      </c>
      <c r="O140" s="162">
        <v>2</v>
      </c>
      <c r="P140" s="162">
        <v>2</v>
      </c>
      <c r="Q140" s="162">
        <v>1</v>
      </c>
      <c r="R140" s="162">
        <v>2</v>
      </c>
      <c r="S140" s="162"/>
      <c r="T140" s="162">
        <v>1</v>
      </c>
      <c r="U140" s="162"/>
      <c r="V140" s="162">
        <v>2</v>
      </c>
      <c r="W140" s="162">
        <v>2</v>
      </c>
      <c r="X140" s="162">
        <v>1</v>
      </c>
      <c r="Y140" s="162"/>
      <c r="Z140" s="162">
        <v>1</v>
      </c>
      <c r="AA140" s="162">
        <v>2</v>
      </c>
      <c r="AB140" s="162"/>
      <c r="AC140" s="162">
        <v>1</v>
      </c>
      <c r="AD140" s="162"/>
      <c r="AE140" s="162"/>
      <c r="AF140" s="161">
        <v>2</v>
      </c>
      <c r="AG140" s="64">
        <f t="shared" si="19"/>
        <v>28</v>
      </c>
    </row>
    <row r="141" spans="1:35" ht="18.75" x14ac:dyDescent="0.25">
      <c r="A141" s="301" t="s">
        <v>58</v>
      </c>
      <c r="B141" s="249"/>
      <c r="C141" s="162"/>
      <c r="D141" s="162"/>
      <c r="E141" s="162"/>
      <c r="F141" s="162"/>
      <c r="G141" s="162">
        <v>1</v>
      </c>
      <c r="H141" s="162">
        <v>1</v>
      </c>
      <c r="I141" s="162">
        <v>1</v>
      </c>
      <c r="J141" s="162">
        <v>1</v>
      </c>
      <c r="K141" s="162"/>
      <c r="L141" s="162"/>
      <c r="M141" s="162">
        <v>1</v>
      </c>
      <c r="N141" s="162"/>
      <c r="O141" s="162">
        <v>1</v>
      </c>
      <c r="P141" s="162"/>
      <c r="Q141" s="162">
        <v>1</v>
      </c>
      <c r="R141" s="162"/>
      <c r="S141" s="162"/>
      <c r="T141" s="162">
        <v>1</v>
      </c>
      <c r="U141" s="162"/>
      <c r="V141" s="162"/>
      <c r="W141" s="162"/>
      <c r="X141" s="162"/>
      <c r="Y141" s="162"/>
      <c r="Z141" s="162"/>
      <c r="AA141" s="162"/>
      <c r="AB141" s="162"/>
      <c r="AC141" s="162"/>
      <c r="AD141" s="162"/>
      <c r="AE141" s="162"/>
      <c r="AF141" s="161"/>
      <c r="AG141" s="64">
        <f t="shared" si="19"/>
        <v>8</v>
      </c>
    </row>
    <row r="142" spans="1:35" ht="18.75" x14ac:dyDescent="0.25">
      <c r="A142" s="323" t="s">
        <v>88</v>
      </c>
      <c r="B142" s="249">
        <f>1+1+1+1+2+1</f>
        <v>7</v>
      </c>
      <c r="C142" s="162">
        <f>1+1</f>
        <v>2</v>
      </c>
      <c r="D142" s="162">
        <f>1+1+1</f>
        <v>3</v>
      </c>
      <c r="E142" s="162">
        <f>1+1+1</f>
        <v>3</v>
      </c>
      <c r="F142" s="162">
        <f>1+1</f>
        <v>2</v>
      </c>
      <c r="G142" s="162">
        <f>1+1+1+1</f>
        <v>4</v>
      </c>
      <c r="H142" s="162">
        <f>1+1+1+1</f>
        <v>4</v>
      </c>
      <c r="I142" s="162">
        <f>1</f>
        <v>1</v>
      </c>
      <c r="J142" s="162">
        <f>1+3+2+1+1</f>
        <v>8</v>
      </c>
      <c r="K142" s="162">
        <f>2+1+1+1</f>
        <v>5</v>
      </c>
      <c r="L142" s="162">
        <f>2+1+1+2</f>
        <v>6</v>
      </c>
      <c r="M142" s="162">
        <f>1</f>
        <v>1</v>
      </c>
      <c r="N142" s="162">
        <f>1+1+1+1+1</f>
        <v>5</v>
      </c>
      <c r="O142" s="162">
        <f>1+1+1+1+1</f>
        <v>5</v>
      </c>
      <c r="P142" s="162">
        <f>2+1+1+1+1</f>
        <v>6</v>
      </c>
      <c r="Q142" s="162">
        <f>1+1+1+1+2+1</f>
        <v>7</v>
      </c>
      <c r="R142" s="162">
        <f>1+1+1+1+1</f>
        <v>5</v>
      </c>
      <c r="S142" s="162">
        <f>1+1+1+1</f>
        <v>4</v>
      </c>
      <c r="T142" s="162">
        <f>1</f>
        <v>1</v>
      </c>
      <c r="U142" s="162"/>
      <c r="V142" s="162">
        <f>1</f>
        <v>1</v>
      </c>
      <c r="W142" s="162">
        <f>1+1+1+1</f>
        <v>4</v>
      </c>
      <c r="X142" s="162">
        <f>5+3</f>
        <v>8</v>
      </c>
      <c r="Y142" s="162">
        <f>1</f>
        <v>1</v>
      </c>
      <c r="Z142" s="162">
        <f>1+2+1+1</f>
        <v>5</v>
      </c>
      <c r="AA142" s="162">
        <f>1+1+1+1+1+3</f>
        <v>8</v>
      </c>
      <c r="AB142" s="162">
        <f>1+1+1+1+2</f>
        <v>6</v>
      </c>
      <c r="AC142" s="162">
        <f>2+1</f>
        <v>3</v>
      </c>
      <c r="AD142" s="162">
        <f>1+1+2+2+1</f>
        <v>7</v>
      </c>
      <c r="AE142" s="162">
        <f>2+1</f>
        <v>3</v>
      </c>
      <c r="AF142" s="161">
        <f>1+2</f>
        <v>3</v>
      </c>
      <c r="AG142" s="64">
        <f t="shared" si="19"/>
        <v>128</v>
      </c>
    </row>
    <row r="143" spans="1:35" ht="19.5" thickBot="1" x14ac:dyDescent="0.3">
      <c r="A143" s="324" t="s">
        <v>87</v>
      </c>
      <c r="B143" s="263">
        <f>10+5</f>
        <v>15</v>
      </c>
      <c r="C143" s="140">
        <f>7+3</f>
        <v>10</v>
      </c>
      <c r="D143" s="140">
        <f>12+2</f>
        <v>14</v>
      </c>
      <c r="E143" s="140">
        <f>8+3</f>
        <v>11</v>
      </c>
      <c r="F143" s="140">
        <f>9+5</f>
        <v>14</v>
      </c>
      <c r="G143" s="140">
        <f>10+8</f>
        <v>18</v>
      </c>
      <c r="H143" s="140">
        <f>12+5</f>
        <v>17</v>
      </c>
      <c r="I143" s="140">
        <f>15+5</f>
        <v>20</v>
      </c>
      <c r="J143" s="140">
        <f>9+2</f>
        <v>11</v>
      </c>
      <c r="K143" s="140">
        <f>10+1</f>
        <v>11</v>
      </c>
      <c r="L143" s="140">
        <f>3+1+2</f>
        <v>6</v>
      </c>
      <c r="M143" s="140">
        <f>8+1</f>
        <v>9</v>
      </c>
      <c r="N143" s="140">
        <f>14+3</f>
        <v>17</v>
      </c>
      <c r="O143" s="140">
        <f>11+2+6</f>
        <v>19</v>
      </c>
      <c r="P143" s="140">
        <f>7+3</f>
        <v>10</v>
      </c>
      <c r="Q143" s="140">
        <f>7+1</f>
        <v>8</v>
      </c>
      <c r="R143" s="140">
        <f>6+1+2</f>
        <v>9</v>
      </c>
      <c r="S143" s="140">
        <f>5+2</f>
        <v>7</v>
      </c>
      <c r="T143" s="140">
        <f>10+3</f>
        <v>13</v>
      </c>
      <c r="U143" s="140">
        <f>11+4</f>
        <v>15</v>
      </c>
      <c r="V143" s="140">
        <f>11+4</f>
        <v>15</v>
      </c>
      <c r="W143" s="140">
        <f>11+1+4</f>
        <v>16</v>
      </c>
      <c r="X143" s="140">
        <f>7+1+2</f>
        <v>10</v>
      </c>
      <c r="Y143" s="140">
        <f>9+3</f>
        <v>12</v>
      </c>
      <c r="Z143" s="140">
        <f>14+2</f>
        <v>16</v>
      </c>
      <c r="AA143" s="140">
        <f>11+2</f>
        <v>13</v>
      </c>
      <c r="AB143" s="140">
        <f>5+3</f>
        <v>8</v>
      </c>
      <c r="AC143" s="140">
        <f>6+4</f>
        <v>10</v>
      </c>
      <c r="AD143" s="140">
        <f>15+1</f>
        <v>16</v>
      </c>
      <c r="AE143" s="140">
        <f>4+2</f>
        <v>6</v>
      </c>
      <c r="AF143" s="139">
        <f>6+1</f>
        <v>7</v>
      </c>
      <c r="AG143" s="160">
        <f t="shared" si="19"/>
        <v>383</v>
      </c>
    </row>
    <row r="144" spans="1:35" ht="19.5" thickBot="1" x14ac:dyDescent="0.3">
      <c r="A144" s="309" t="s">
        <v>86</v>
      </c>
      <c r="B144" s="257">
        <f t="shared" ref="B144:AF144" si="20">+B146+B156+B158+B167</f>
        <v>160</v>
      </c>
      <c r="C144" s="158">
        <f t="shared" si="20"/>
        <v>118</v>
      </c>
      <c r="D144" s="158">
        <f t="shared" si="20"/>
        <v>151</v>
      </c>
      <c r="E144" s="158">
        <f t="shared" si="20"/>
        <v>130</v>
      </c>
      <c r="F144" s="158">
        <f t="shared" si="20"/>
        <v>124</v>
      </c>
      <c r="G144" s="158">
        <f t="shared" si="20"/>
        <v>149</v>
      </c>
      <c r="H144" s="158">
        <f t="shared" si="20"/>
        <v>158</v>
      </c>
      <c r="I144" s="158">
        <f t="shared" si="20"/>
        <v>150</v>
      </c>
      <c r="J144" s="158">
        <f t="shared" si="20"/>
        <v>139</v>
      </c>
      <c r="K144" s="158">
        <f t="shared" si="20"/>
        <v>147</v>
      </c>
      <c r="L144" s="158">
        <f t="shared" si="20"/>
        <v>143</v>
      </c>
      <c r="M144" s="158">
        <f t="shared" si="20"/>
        <v>137</v>
      </c>
      <c r="N144" s="158">
        <f t="shared" si="20"/>
        <v>167</v>
      </c>
      <c r="O144" s="158">
        <f t="shared" si="20"/>
        <v>159</v>
      </c>
      <c r="P144" s="158">
        <f t="shared" si="20"/>
        <v>140</v>
      </c>
      <c r="Q144" s="158">
        <f t="shared" si="20"/>
        <v>151</v>
      </c>
      <c r="R144" s="158">
        <f t="shared" si="20"/>
        <v>136</v>
      </c>
      <c r="S144" s="158">
        <f t="shared" si="20"/>
        <v>124</v>
      </c>
      <c r="T144" s="158">
        <f t="shared" si="20"/>
        <v>121</v>
      </c>
      <c r="U144" s="158">
        <f t="shared" si="20"/>
        <v>164</v>
      </c>
      <c r="V144" s="158">
        <f t="shared" si="20"/>
        <v>143</v>
      </c>
      <c r="W144" s="158">
        <f t="shared" si="20"/>
        <v>171</v>
      </c>
      <c r="X144" s="158">
        <f t="shared" si="20"/>
        <v>152</v>
      </c>
      <c r="Y144" s="158">
        <f t="shared" si="20"/>
        <v>133</v>
      </c>
      <c r="Z144" s="158">
        <f t="shared" si="20"/>
        <v>155</v>
      </c>
      <c r="AA144" s="158">
        <f t="shared" si="20"/>
        <v>153</v>
      </c>
      <c r="AB144" s="158">
        <f t="shared" si="20"/>
        <v>114</v>
      </c>
      <c r="AC144" s="158">
        <f t="shared" si="20"/>
        <v>158</v>
      </c>
      <c r="AD144" s="158">
        <f t="shared" si="20"/>
        <v>162</v>
      </c>
      <c r="AE144" s="158">
        <f t="shared" si="20"/>
        <v>120</v>
      </c>
      <c r="AF144" s="158">
        <f t="shared" si="20"/>
        <v>119</v>
      </c>
      <c r="AG144" s="157">
        <f t="shared" si="19"/>
        <v>4448</v>
      </c>
      <c r="AH144" s="85" t="str">
        <f>IF(AG144&lt;&gt;AG93,"*","")</f>
        <v/>
      </c>
      <c r="AI144" t="s">
        <v>85</v>
      </c>
    </row>
    <row r="145" spans="1:34" ht="19.5" thickBot="1" x14ac:dyDescent="0.3">
      <c r="A145" s="325" t="s">
        <v>84</v>
      </c>
      <c r="B145" s="264">
        <f t="shared" ref="B145:AF145" si="21">+B149+B155+B157+B172</f>
        <v>17</v>
      </c>
      <c r="C145" s="155">
        <f t="shared" si="21"/>
        <v>8</v>
      </c>
      <c r="D145" s="155">
        <f t="shared" si="21"/>
        <v>6</v>
      </c>
      <c r="E145" s="155">
        <f t="shared" si="21"/>
        <v>12</v>
      </c>
      <c r="F145" s="155">
        <f t="shared" si="21"/>
        <v>2</v>
      </c>
      <c r="G145" s="155">
        <f t="shared" si="21"/>
        <v>7</v>
      </c>
      <c r="H145" s="155">
        <f t="shared" si="21"/>
        <v>7</v>
      </c>
      <c r="I145" s="155">
        <f t="shared" si="21"/>
        <v>5</v>
      </c>
      <c r="J145" s="155">
        <f t="shared" si="21"/>
        <v>15</v>
      </c>
      <c r="K145" s="155">
        <f t="shared" si="21"/>
        <v>8</v>
      </c>
      <c r="L145" s="155">
        <f t="shared" si="21"/>
        <v>13</v>
      </c>
      <c r="M145" s="155">
        <f t="shared" si="21"/>
        <v>12</v>
      </c>
      <c r="N145" s="155">
        <f t="shared" si="21"/>
        <v>4</v>
      </c>
      <c r="O145" s="155">
        <f t="shared" si="21"/>
        <v>4</v>
      </c>
      <c r="P145" s="155">
        <f t="shared" si="21"/>
        <v>8</v>
      </c>
      <c r="Q145" s="155">
        <f t="shared" si="21"/>
        <v>8</v>
      </c>
      <c r="R145" s="155">
        <f t="shared" si="21"/>
        <v>12</v>
      </c>
      <c r="S145" s="155">
        <f t="shared" si="21"/>
        <v>4</v>
      </c>
      <c r="T145" s="155">
        <f t="shared" si="21"/>
        <v>3</v>
      </c>
      <c r="U145" s="155">
        <f t="shared" si="21"/>
        <v>9</v>
      </c>
      <c r="V145" s="155">
        <f t="shared" si="21"/>
        <v>4</v>
      </c>
      <c r="W145" s="155">
        <f t="shared" si="21"/>
        <v>28</v>
      </c>
      <c r="X145" s="155">
        <f t="shared" si="21"/>
        <v>10</v>
      </c>
      <c r="Y145" s="155">
        <f t="shared" si="21"/>
        <v>10</v>
      </c>
      <c r="Z145" s="155">
        <f t="shared" si="21"/>
        <v>5</v>
      </c>
      <c r="AA145" s="155">
        <f t="shared" si="21"/>
        <v>17</v>
      </c>
      <c r="AB145" s="155">
        <f t="shared" si="21"/>
        <v>1</v>
      </c>
      <c r="AC145" s="155">
        <f t="shared" si="21"/>
        <v>7</v>
      </c>
      <c r="AD145" s="155">
        <f t="shared" si="21"/>
        <v>9</v>
      </c>
      <c r="AE145" s="155">
        <f t="shared" si="21"/>
        <v>2</v>
      </c>
      <c r="AF145" s="154">
        <f t="shared" si="21"/>
        <v>6</v>
      </c>
      <c r="AG145" s="153">
        <f t="shared" si="19"/>
        <v>263</v>
      </c>
      <c r="AH145" s="152"/>
    </row>
    <row r="146" spans="1:34" ht="19.5" thickBot="1" x14ac:dyDescent="0.3">
      <c r="A146" s="326" t="s">
        <v>83</v>
      </c>
      <c r="B146" s="265">
        <f t="shared" ref="B146:AG147" si="22">+B148+B154</f>
        <v>0</v>
      </c>
      <c r="C146" s="8">
        <f t="shared" si="22"/>
        <v>0</v>
      </c>
      <c r="D146" s="8">
        <f t="shared" si="22"/>
        <v>0</v>
      </c>
      <c r="E146" s="8">
        <f t="shared" si="22"/>
        <v>0</v>
      </c>
      <c r="F146" s="8">
        <f t="shared" si="22"/>
        <v>0</v>
      </c>
      <c r="G146" s="8">
        <f t="shared" si="22"/>
        <v>0</v>
      </c>
      <c r="H146" s="8">
        <f t="shared" si="22"/>
        <v>0</v>
      </c>
      <c r="I146" s="8">
        <f t="shared" si="22"/>
        <v>0</v>
      </c>
      <c r="J146" s="8">
        <f t="shared" si="22"/>
        <v>0</v>
      </c>
      <c r="K146" s="8">
        <f t="shared" si="22"/>
        <v>0</v>
      </c>
      <c r="L146" s="8">
        <f t="shared" si="22"/>
        <v>0</v>
      </c>
      <c r="M146" s="8">
        <f t="shared" si="22"/>
        <v>0</v>
      </c>
      <c r="N146" s="8">
        <f t="shared" si="22"/>
        <v>0</v>
      </c>
      <c r="O146" s="8">
        <f t="shared" si="22"/>
        <v>0</v>
      </c>
      <c r="P146" s="8">
        <f t="shared" si="22"/>
        <v>0</v>
      </c>
      <c r="Q146" s="8">
        <f t="shared" si="22"/>
        <v>0</v>
      </c>
      <c r="R146" s="8">
        <f t="shared" si="22"/>
        <v>0</v>
      </c>
      <c r="S146" s="8">
        <f t="shared" si="22"/>
        <v>0</v>
      </c>
      <c r="T146" s="8">
        <f t="shared" si="22"/>
        <v>0</v>
      </c>
      <c r="U146" s="8">
        <f t="shared" si="22"/>
        <v>0</v>
      </c>
      <c r="V146" s="8">
        <f t="shared" si="22"/>
        <v>0</v>
      </c>
      <c r="W146" s="8">
        <f t="shared" si="22"/>
        <v>0</v>
      </c>
      <c r="X146" s="8">
        <f t="shared" si="22"/>
        <v>0</v>
      </c>
      <c r="Y146" s="8">
        <f t="shared" si="22"/>
        <v>0</v>
      </c>
      <c r="Z146" s="8">
        <f t="shared" si="22"/>
        <v>0</v>
      </c>
      <c r="AA146" s="8">
        <f t="shared" si="22"/>
        <v>0</v>
      </c>
      <c r="AB146" s="8">
        <f t="shared" si="22"/>
        <v>0</v>
      </c>
      <c r="AC146" s="8">
        <f t="shared" si="22"/>
        <v>0</v>
      </c>
      <c r="AD146" s="8">
        <f t="shared" si="22"/>
        <v>0</v>
      </c>
      <c r="AE146" s="8">
        <f t="shared" si="22"/>
        <v>0</v>
      </c>
      <c r="AF146" s="150">
        <f t="shared" si="22"/>
        <v>0</v>
      </c>
      <c r="AG146" s="149">
        <f t="shared" si="22"/>
        <v>0</v>
      </c>
    </row>
    <row r="147" spans="1:34" ht="19.5" thickBot="1" x14ac:dyDescent="0.3">
      <c r="A147" s="327" t="s">
        <v>82</v>
      </c>
      <c r="B147" s="266">
        <f t="shared" si="22"/>
        <v>0</v>
      </c>
      <c r="C147" s="143">
        <f t="shared" si="22"/>
        <v>0</v>
      </c>
      <c r="D147" s="143">
        <f t="shared" si="22"/>
        <v>0</v>
      </c>
      <c r="E147" s="143">
        <f t="shared" si="22"/>
        <v>0</v>
      </c>
      <c r="F147" s="143">
        <f t="shared" si="22"/>
        <v>0</v>
      </c>
      <c r="G147" s="143">
        <f t="shared" si="22"/>
        <v>0</v>
      </c>
      <c r="H147" s="143">
        <f t="shared" si="22"/>
        <v>0</v>
      </c>
      <c r="I147" s="143">
        <f t="shared" si="22"/>
        <v>0</v>
      </c>
      <c r="J147" s="143">
        <f t="shared" si="22"/>
        <v>0</v>
      </c>
      <c r="K147" s="143">
        <f t="shared" si="22"/>
        <v>0</v>
      </c>
      <c r="L147" s="143">
        <f t="shared" si="22"/>
        <v>0</v>
      </c>
      <c r="M147" s="143">
        <f t="shared" si="22"/>
        <v>0</v>
      </c>
      <c r="N147" s="143">
        <f t="shared" si="22"/>
        <v>0</v>
      </c>
      <c r="O147" s="143">
        <f t="shared" si="22"/>
        <v>0</v>
      </c>
      <c r="P147" s="143">
        <f t="shared" si="22"/>
        <v>0</v>
      </c>
      <c r="Q147" s="143">
        <f t="shared" si="22"/>
        <v>0</v>
      </c>
      <c r="R147" s="143">
        <f t="shared" si="22"/>
        <v>0</v>
      </c>
      <c r="S147" s="143">
        <f t="shared" si="22"/>
        <v>0</v>
      </c>
      <c r="T147" s="143">
        <f t="shared" si="22"/>
        <v>0</v>
      </c>
      <c r="U147" s="143">
        <f t="shared" si="22"/>
        <v>0</v>
      </c>
      <c r="V147" s="143">
        <f t="shared" si="22"/>
        <v>0</v>
      </c>
      <c r="W147" s="143">
        <f t="shared" si="22"/>
        <v>0</v>
      </c>
      <c r="X147" s="143">
        <f t="shared" si="22"/>
        <v>0</v>
      </c>
      <c r="Y147" s="143">
        <f t="shared" si="22"/>
        <v>0</v>
      </c>
      <c r="Z147" s="143">
        <f t="shared" si="22"/>
        <v>0</v>
      </c>
      <c r="AA147" s="143">
        <f t="shared" si="22"/>
        <v>0</v>
      </c>
      <c r="AB147" s="143">
        <f t="shared" si="22"/>
        <v>0</v>
      </c>
      <c r="AC147" s="143">
        <f t="shared" si="22"/>
        <v>0</v>
      </c>
      <c r="AD147" s="143">
        <f t="shared" si="22"/>
        <v>0</v>
      </c>
      <c r="AE147" s="143">
        <f t="shared" si="22"/>
        <v>0</v>
      </c>
      <c r="AF147" s="142"/>
      <c r="AG147" s="86">
        <f t="shared" ref="AG147:AG178" si="23">SUM(B147:AF147)</f>
        <v>0</v>
      </c>
    </row>
    <row r="148" spans="1:34" ht="19.5" thickBot="1" x14ac:dyDescent="0.3">
      <c r="A148" s="328" t="s">
        <v>81</v>
      </c>
      <c r="B148" s="267">
        <f t="shared" ref="B148:AF148" si="24">SUM(B150:B153)</f>
        <v>0</v>
      </c>
      <c r="C148" s="147">
        <f t="shared" si="24"/>
        <v>0</v>
      </c>
      <c r="D148" s="147">
        <f t="shared" si="24"/>
        <v>0</v>
      </c>
      <c r="E148" s="147">
        <f t="shared" si="24"/>
        <v>0</v>
      </c>
      <c r="F148" s="147">
        <f t="shared" si="24"/>
        <v>0</v>
      </c>
      <c r="G148" s="147">
        <f t="shared" si="24"/>
        <v>0</v>
      </c>
      <c r="H148" s="147">
        <f t="shared" si="24"/>
        <v>0</v>
      </c>
      <c r="I148" s="147">
        <f t="shared" si="24"/>
        <v>0</v>
      </c>
      <c r="J148" s="147">
        <f t="shared" si="24"/>
        <v>0</v>
      </c>
      <c r="K148" s="147">
        <f t="shared" si="24"/>
        <v>0</v>
      </c>
      <c r="L148" s="147">
        <f t="shared" si="24"/>
        <v>0</v>
      </c>
      <c r="M148" s="147">
        <f t="shared" si="24"/>
        <v>0</v>
      </c>
      <c r="N148" s="147">
        <f t="shared" si="24"/>
        <v>0</v>
      </c>
      <c r="O148" s="147">
        <f t="shared" si="24"/>
        <v>0</v>
      </c>
      <c r="P148" s="147">
        <f t="shared" si="24"/>
        <v>0</v>
      </c>
      <c r="Q148" s="147">
        <f t="shared" si="24"/>
        <v>0</v>
      </c>
      <c r="R148" s="147">
        <f t="shared" si="24"/>
        <v>0</v>
      </c>
      <c r="S148" s="147">
        <f t="shared" si="24"/>
        <v>0</v>
      </c>
      <c r="T148" s="147">
        <f t="shared" si="24"/>
        <v>0</v>
      </c>
      <c r="U148" s="147">
        <f t="shared" si="24"/>
        <v>0</v>
      </c>
      <c r="V148" s="147">
        <f t="shared" si="24"/>
        <v>0</v>
      </c>
      <c r="W148" s="147">
        <f t="shared" si="24"/>
        <v>0</v>
      </c>
      <c r="X148" s="147">
        <f t="shared" si="24"/>
        <v>0</v>
      </c>
      <c r="Y148" s="147">
        <f t="shared" si="24"/>
        <v>0</v>
      </c>
      <c r="Z148" s="147">
        <f t="shared" si="24"/>
        <v>0</v>
      </c>
      <c r="AA148" s="147">
        <f t="shared" si="24"/>
        <v>0</v>
      </c>
      <c r="AB148" s="147">
        <f t="shared" si="24"/>
        <v>0</v>
      </c>
      <c r="AC148" s="147">
        <f t="shared" si="24"/>
        <v>0</v>
      </c>
      <c r="AD148" s="147">
        <f t="shared" si="24"/>
        <v>0</v>
      </c>
      <c r="AE148" s="147">
        <f t="shared" si="24"/>
        <v>0</v>
      </c>
      <c r="AF148" s="146">
        <f t="shared" si="24"/>
        <v>0</v>
      </c>
      <c r="AG148" s="145">
        <f t="shared" si="23"/>
        <v>0</v>
      </c>
    </row>
    <row r="149" spans="1:34" ht="19.5" thickBot="1" x14ac:dyDescent="0.3">
      <c r="A149" s="327" t="s">
        <v>80</v>
      </c>
      <c r="B149" s="266"/>
      <c r="C149" s="143"/>
      <c r="D149" s="143"/>
      <c r="E149" s="143"/>
      <c r="F149" s="143"/>
      <c r="G149" s="143"/>
      <c r="H149" s="143"/>
      <c r="I149" s="143"/>
      <c r="J149" s="143"/>
      <c r="K149" s="143"/>
      <c r="L149" s="143"/>
      <c r="M149" s="143"/>
      <c r="N149" s="143"/>
      <c r="O149" s="143"/>
      <c r="P149" s="143"/>
      <c r="Q149" s="143"/>
      <c r="R149" s="143"/>
      <c r="S149" s="143"/>
      <c r="T149" s="143"/>
      <c r="U149" s="143"/>
      <c r="V149" s="143"/>
      <c r="W149" s="143"/>
      <c r="X149" s="143"/>
      <c r="Y149" s="143"/>
      <c r="Z149" s="143"/>
      <c r="AA149" s="143"/>
      <c r="AB149" s="143"/>
      <c r="AC149" s="143"/>
      <c r="AD149" s="143"/>
      <c r="AE149" s="143"/>
      <c r="AF149" s="142"/>
      <c r="AG149" s="86">
        <f t="shared" si="23"/>
        <v>0</v>
      </c>
    </row>
    <row r="150" spans="1:34" ht="18.75" x14ac:dyDescent="0.25">
      <c r="A150" s="329" t="s">
        <v>79</v>
      </c>
      <c r="B150" s="268"/>
      <c r="C150" s="136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5"/>
      <c r="AG150" s="134">
        <f t="shared" si="23"/>
        <v>0</v>
      </c>
    </row>
    <row r="151" spans="1:34" ht="18.75" x14ac:dyDescent="0.25">
      <c r="A151" s="330" t="s">
        <v>78</v>
      </c>
      <c r="B151" s="269"/>
      <c r="C151" s="130"/>
      <c r="D151" s="130"/>
      <c r="E151" s="130"/>
      <c r="F151" s="130"/>
      <c r="G151" s="130"/>
      <c r="H151" s="130"/>
      <c r="I151" s="130"/>
      <c r="J151" s="130"/>
      <c r="K151" s="130"/>
      <c r="L151" s="130"/>
      <c r="M151" s="130"/>
      <c r="N151" s="130"/>
      <c r="O151" s="130"/>
      <c r="P151" s="130"/>
      <c r="Q151" s="130"/>
      <c r="R151" s="130"/>
      <c r="S151" s="130"/>
      <c r="T151" s="130"/>
      <c r="U151" s="130"/>
      <c r="V151" s="130"/>
      <c r="W151" s="130"/>
      <c r="X151" s="130"/>
      <c r="Y151" s="130"/>
      <c r="Z151" s="130"/>
      <c r="AA151" s="130"/>
      <c r="AB151" s="130"/>
      <c r="AC151" s="130"/>
      <c r="AD151" s="130"/>
      <c r="AE151" s="130"/>
      <c r="AF151" s="129"/>
      <c r="AG151" s="64">
        <f t="shared" si="23"/>
        <v>0</v>
      </c>
    </row>
    <row r="152" spans="1:34" ht="18.75" x14ac:dyDescent="0.25">
      <c r="A152" s="330" t="s">
        <v>77</v>
      </c>
      <c r="B152" s="269"/>
      <c r="C152" s="130"/>
      <c r="D152" s="130"/>
      <c r="E152" s="130"/>
      <c r="F152" s="130"/>
      <c r="G152" s="130"/>
      <c r="H152" s="130"/>
      <c r="I152" s="130"/>
      <c r="J152" s="130"/>
      <c r="K152" s="130"/>
      <c r="L152" s="130"/>
      <c r="M152" s="130"/>
      <c r="N152" s="130"/>
      <c r="O152" s="130"/>
      <c r="P152" s="130"/>
      <c r="Q152" s="130"/>
      <c r="R152" s="130"/>
      <c r="S152" s="130"/>
      <c r="T152" s="130"/>
      <c r="U152" s="130"/>
      <c r="V152" s="130"/>
      <c r="W152" s="130"/>
      <c r="X152" s="130"/>
      <c r="Y152" s="130"/>
      <c r="Z152" s="130"/>
      <c r="AA152" s="130"/>
      <c r="AB152" s="130"/>
      <c r="AC152" s="130"/>
      <c r="AD152" s="130"/>
      <c r="AE152" s="130"/>
      <c r="AF152" s="129"/>
      <c r="AG152" s="64">
        <f t="shared" si="23"/>
        <v>0</v>
      </c>
    </row>
    <row r="153" spans="1:34" ht="19.5" thickBot="1" x14ac:dyDescent="0.3">
      <c r="A153" s="331" t="s">
        <v>76</v>
      </c>
      <c r="B153" s="270"/>
      <c r="C153" s="127"/>
      <c r="D153" s="127"/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  <c r="Y153" s="127"/>
      <c r="Z153" s="127"/>
      <c r="AA153" s="127"/>
      <c r="AB153" s="127"/>
      <c r="AC153" s="127"/>
      <c r="AD153" s="127"/>
      <c r="AE153" s="127"/>
      <c r="AF153" s="126"/>
      <c r="AG153" s="10">
        <f t="shared" si="23"/>
        <v>0</v>
      </c>
    </row>
    <row r="154" spans="1:34" ht="19.5" thickBot="1" x14ac:dyDescent="0.3">
      <c r="A154" s="328" t="s">
        <v>75</v>
      </c>
      <c r="B154" s="267"/>
      <c r="C154" s="147"/>
      <c r="D154" s="147"/>
      <c r="E154" s="147"/>
      <c r="F154" s="147"/>
      <c r="G154" s="147"/>
      <c r="H154" s="147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  <c r="AA154" s="147"/>
      <c r="AB154" s="147"/>
      <c r="AC154" s="147"/>
      <c r="AD154" s="147"/>
      <c r="AE154" s="147"/>
      <c r="AF154" s="146"/>
      <c r="AG154" s="145">
        <f t="shared" si="23"/>
        <v>0</v>
      </c>
    </row>
    <row r="155" spans="1:34" ht="19.5" thickBot="1" x14ac:dyDescent="0.3">
      <c r="A155" s="327" t="s">
        <v>74</v>
      </c>
      <c r="B155" s="266"/>
      <c r="C155" s="143"/>
      <c r="D155" s="143"/>
      <c r="E155" s="143"/>
      <c r="F155" s="143"/>
      <c r="G155" s="143"/>
      <c r="H155" s="143"/>
      <c r="I155" s="143"/>
      <c r="J155" s="143"/>
      <c r="K155" s="143"/>
      <c r="L155" s="143"/>
      <c r="M155" s="143"/>
      <c r="N155" s="143"/>
      <c r="O155" s="143"/>
      <c r="P155" s="143"/>
      <c r="Q155" s="143"/>
      <c r="R155" s="143"/>
      <c r="S155" s="143"/>
      <c r="T155" s="143"/>
      <c r="U155" s="143"/>
      <c r="V155" s="143"/>
      <c r="W155" s="143"/>
      <c r="X155" s="143"/>
      <c r="Y155" s="143"/>
      <c r="Z155" s="143"/>
      <c r="AA155" s="143"/>
      <c r="AB155" s="143"/>
      <c r="AC155" s="143"/>
      <c r="AD155" s="143"/>
      <c r="AE155" s="143"/>
      <c r="AF155" s="142"/>
      <c r="AG155" s="86">
        <f t="shared" si="23"/>
        <v>0</v>
      </c>
    </row>
    <row r="156" spans="1:34" ht="18.75" x14ac:dyDescent="0.25">
      <c r="A156" s="332" t="s">
        <v>73</v>
      </c>
      <c r="B156" s="271">
        <v>158</v>
      </c>
      <c r="C156" s="18">
        <v>118</v>
      </c>
      <c r="D156" s="18">
        <v>151</v>
      </c>
      <c r="E156" s="18">
        <v>129</v>
      </c>
      <c r="F156" s="18">
        <v>124</v>
      </c>
      <c r="G156" s="18">
        <v>149</v>
      </c>
      <c r="H156" s="18">
        <v>158</v>
      </c>
      <c r="I156" s="18">
        <v>149</v>
      </c>
      <c r="J156" s="18">
        <v>138</v>
      </c>
      <c r="K156" s="18">
        <v>147</v>
      </c>
      <c r="L156" s="18">
        <v>142</v>
      </c>
      <c r="M156" s="18">
        <v>137</v>
      </c>
      <c r="N156" s="18">
        <v>167</v>
      </c>
      <c r="O156" s="18">
        <v>159</v>
      </c>
      <c r="P156" s="18">
        <v>140</v>
      </c>
      <c r="Q156" s="18">
        <v>150</v>
      </c>
      <c r="R156" s="18">
        <v>136</v>
      </c>
      <c r="S156" s="18">
        <v>124</v>
      </c>
      <c r="T156" s="18">
        <v>121</v>
      </c>
      <c r="U156" s="18">
        <v>164</v>
      </c>
      <c r="V156" s="18">
        <v>143</v>
      </c>
      <c r="W156" s="18">
        <v>169</v>
      </c>
      <c r="X156" s="18">
        <v>151</v>
      </c>
      <c r="Y156" s="18">
        <v>132</v>
      </c>
      <c r="Z156" s="18">
        <v>154</v>
      </c>
      <c r="AA156" s="18">
        <v>153</v>
      </c>
      <c r="AB156" s="18">
        <v>113</v>
      </c>
      <c r="AC156" s="18">
        <v>157</v>
      </c>
      <c r="AD156" s="18">
        <v>161</v>
      </c>
      <c r="AE156" s="18">
        <v>120</v>
      </c>
      <c r="AF156" s="17">
        <v>118</v>
      </c>
      <c r="AG156" s="7">
        <f t="shared" si="23"/>
        <v>4432</v>
      </c>
      <c r="AH156" s="98" t="s">
        <v>72</v>
      </c>
    </row>
    <row r="157" spans="1:34" ht="19.5" thickBot="1" x14ac:dyDescent="0.3">
      <c r="A157" s="324" t="s">
        <v>71</v>
      </c>
      <c r="B157" s="263">
        <v>17</v>
      </c>
      <c r="C157" s="140">
        <v>8</v>
      </c>
      <c r="D157" s="140">
        <v>6</v>
      </c>
      <c r="E157" s="140">
        <v>12</v>
      </c>
      <c r="F157" s="140">
        <v>2</v>
      </c>
      <c r="G157" s="140">
        <v>7</v>
      </c>
      <c r="H157" s="140">
        <v>7</v>
      </c>
      <c r="I157" s="140">
        <v>5</v>
      </c>
      <c r="J157" s="140">
        <v>15</v>
      </c>
      <c r="K157" s="140">
        <v>8</v>
      </c>
      <c r="L157" s="140">
        <v>13</v>
      </c>
      <c r="M157" s="140">
        <v>12</v>
      </c>
      <c r="N157" s="140">
        <v>4</v>
      </c>
      <c r="O157" s="140">
        <v>4</v>
      </c>
      <c r="P157" s="140">
        <v>8</v>
      </c>
      <c r="Q157" s="140">
        <v>8</v>
      </c>
      <c r="R157" s="140">
        <v>12</v>
      </c>
      <c r="S157" s="140">
        <v>4</v>
      </c>
      <c r="T157" s="140">
        <v>3</v>
      </c>
      <c r="U157" s="140">
        <v>9</v>
      </c>
      <c r="V157" s="140">
        <v>4</v>
      </c>
      <c r="W157" s="140">
        <v>28</v>
      </c>
      <c r="X157" s="140">
        <v>10</v>
      </c>
      <c r="Y157" s="140">
        <v>10</v>
      </c>
      <c r="Z157" s="140">
        <v>5</v>
      </c>
      <c r="AA157" s="140">
        <v>17</v>
      </c>
      <c r="AB157" s="140">
        <v>1</v>
      </c>
      <c r="AC157" s="140">
        <v>7</v>
      </c>
      <c r="AD157" s="140">
        <v>9</v>
      </c>
      <c r="AE157" s="140">
        <v>2</v>
      </c>
      <c r="AF157" s="139">
        <v>6</v>
      </c>
      <c r="AG157" s="138">
        <f t="shared" si="23"/>
        <v>263</v>
      </c>
      <c r="AH157" s="98"/>
    </row>
    <row r="158" spans="1:34" ht="19.5" thickBot="1" x14ac:dyDescent="0.3">
      <c r="A158" s="333" t="s">
        <v>70</v>
      </c>
      <c r="B158" s="272">
        <f t="shared" ref="B158:AF158" si="25">SUM(B159:B166)</f>
        <v>1</v>
      </c>
      <c r="C158" s="35">
        <f t="shared" si="25"/>
        <v>0</v>
      </c>
      <c r="D158" s="35">
        <f t="shared" si="25"/>
        <v>0</v>
      </c>
      <c r="E158" s="35">
        <f t="shared" si="25"/>
        <v>1</v>
      </c>
      <c r="F158" s="35">
        <f t="shared" si="25"/>
        <v>0</v>
      </c>
      <c r="G158" s="35">
        <f t="shared" si="25"/>
        <v>0</v>
      </c>
      <c r="H158" s="35">
        <f t="shared" si="25"/>
        <v>0</v>
      </c>
      <c r="I158" s="35">
        <f t="shared" si="25"/>
        <v>1</v>
      </c>
      <c r="J158" s="35">
        <f t="shared" si="25"/>
        <v>0</v>
      </c>
      <c r="K158" s="35">
        <f t="shared" si="25"/>
        <v>0</v>
      </c>
      <c r="L158" s="35">
        <f t="shared" si="25"/>
        <v>0</v>
      </c>
      <c r="M158" s="35">
        <f t="shared" si="25"/>
        <v>0</v>
      </c>
      <c r="N158" s="35">
        <f t="shared" si="25"/>
        <v>0</v>
      </c>
      <c r="O158" s="35">
        <f t="shared" si="25"/>
        <v>0</v>
      </c>
      <c r="P158" s="35">
        <f t="shared" si="25"/>
        <v>0</v>
      </c>
      <c r="Q158" s="35">
        <f t="shared" si="25"/>
        <v>1</v>
      </c>
      <c r="R158" s="35">
        <f t="shared" si="25"/>
        <v>0</v>
      </c>
      <c r="S158" s="35">
        <f t="shared" si="25"/>
        <v>0</v>
      </c>
      <c r="T158" s="35">
        <f t="shared" si="25"/>
        <v>0</v>
      </c>
      <c r="U158" s="35">
        <f t="shared" si="25"/>
        <v>0</v>
      </c>
      <c r="V158" s="35">
        <f t="shared" si="25"/>
        <v>0</v>
      </c>
      <c r="W158" s="35">
        <f t="shared" si="25"/>
        <v>1</v>
      </c>
      <c r="X158" s="35">
        <f t="shared" si="25"/>
        <v>1</v>
      </c>
      <c r="Y158" s="35">
        <f t="shared" si="25"/>
        <v>1</v>
      </c>
      <c r="Z158" s="35">
        <f t="shared" si="25"/>
        <v>0</v>
      </c>
      <c r="AA158" s="35">
        <f t="shared" si="25"/>
        <v>0</v>
      </c>
      <c r="AB158" s="35">
        <f t="shared" si="25"/>
        <v>1</v>
      </c>
      <c r="AC158" s="35">
        <f t="shared" si="25"/>
        <v>0</v>
      </c>
      <c r="AD158" s="35">
        <f t="shared" si="25"/>
        <v>0</v>
      </c>
      <c r="AE158" s="35">
        <f t="shared" si="25"/>
        <v>0</v>
      </c>
      <c r="AF158" s="34">
        <f t="shared" si="25"/>
        <v>0</v>
      </c>
      <c r="AG158" s="33">
        <f t="shared" si="23"/>
        <v>8</v>
      </c>
    </row>
    <row r="159" spans="1:34" ht="18.75" x14ac:dyDescent="0.25">
      <c r="A159" s="329" t="s">
        <v>69</v>
      </c>
      <c r="B159" s="268"/>
      <c r="C159" s="136"/>
      <c r="D159" s="136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A159" s="136"/>
      <c r="AB159" s="136"/>
      <c r="AC159" s="136"/>
      <c r="AD159" s="136"/>
      <c r="AE159" s="136"/>
      <c r="AF159" s="135"/>
      <c r="AG159" s="134">
        <f t="shared" si="23"/>
        <v>0</v>
      </c>
    </row>
    <row r="160" spans="1:34" ht="18.75" x14ac:dyDescent="0.25">
      <c r="A160" s="330" t="s">
        <v>68</v>
      </c>
      <c r="B160" s="269"/>
      <c r="C160" s="130"/>
      <c r="D160" s="130"/>
      <c r="E160" s="130"/>
      <c r="F160" s="130"/>
      <c r="G160" s="130"/>
      <c r="H160" s="130"/>
      <c r="I160" s="130"/>
      <c r="J160" s="130"/>
      <c r="K160" s="130"/>
      <c r="L160" s="130"/>
      <c r="M160" s="130"/>
      <c r="N160" s="130"/>
      <c r="O160" s="130"/>
      <c r="P160" s="130"/>
      <c r="Q160" s="130"/>
      <c r="R160" s="130"/>
      <c r="S160" s="130"/>
      <c r="T160" s="130"/>
      <c r="U160" s="130"/>
      <c r="V160" s="130"/>
      <c r="W160" s="130"/>
      <c r="X160" s="130">
        <v>1</v>
      </c>
      <c r="Y160" s="130"/>
      <c r="Z160" s="130"/>
      <c r="AA160" s="130"/>
      <c r="AB160" s="130"/>
      <c r="AC160" s="130"/>
      <c r="AD160" s="130"/>
      <c r="AE160" s="130"/>
      <c r="AF160" s="129"/>
      <c r="AG160" s="64">
        <f t="shared" si="23"/>
        <v>1</v>
      </c>
    </row>
    <row r="161" spans="1:34" ht="18.75" x14ac:dyDescent="0.25">
      <c r="A161" s="330" t="s">
        <v>67</v>
      </c>
      <c r="B161" s="269">
        <v>1</v>
      </c>
      <c r="C161" s="130"/>
      <c r="D161" s="130"/>
      <c r="E161" s="130"/>
      <c r="F161" s="130"/>
      <c r="G161" s="130"/>
      <c r="H161" s="130"/>
      <c r="I161" s="130">
        <v>1</v>
      </c>
      <c r="J161" s="130"/>
      <c r="K161" s="130"/>
      <c r="L161" s="130"/>
      <c r="M161" s="130"/>
      <c r="N161" s="130"/>
      <c r="O161" s="130"/>
      <c r="P161" s="130"/>
      <c r="Q161" s="130"/>
      <c r="R161" s="130"/>
      <c r="S161" s="130"/>
      <c r="T161" s="130"/>
      <c r="U161" s="130"/>
      <c r="V161" s="130"/>
      <c r="W161" s="130"/>
      <c r="X161" s="130"/>
      <c r="Y161" s="130"/>
      <c r="Z161" s="130"/>
      <c r="AA161" s="130"/>
      <c r="AB161" s="130">
        <v>1</v>
      </c>
      <c r="AC161" s="130"/>
      <c r="AD161" s="130"/>
      <c r="AE161" s="130"/>
      <c r="AF161" s="129"/>
      <c r="AG161" s="64">
        <f t="shared" si="23"/>
        <v>3</v>
      </c>
    </row>
    <row r="162" spans="1:34" ht="18.75" x14ac:dyDescent="0.25">
      <c r="A162" s="330" t="s">
        <v>66</v>
      </c>
      <c r="B162" s="269"/>
      <c r="C162" s="130"/>
      <c r="D162" s="130"/>
      <c r="E162" s="130"/>
      <c r="F162" s="130"/>
      <c r="G162" s="130"/>
      <c r="H162" s="130"/>
      <c r="I162" s="130"/>
      <c r="J162" s="130"/>
      <c r="K162" s="130"/>
      <c r="L162" s="130"/>
      <c r="M162" s="130"/>
      <c r="N162" s="130"/>
      <c r="O162" s="130"/>
      <c r="P162" s="130"/>
      <c r="Q162" s="130"/>
      <c r="R162" s="130"/>
      <c r="S162" s="130"/>
      <c r="T162" s="130"/>
      <c r="U162" s="130"/>
      <c r="V162" s="130"/>
      <c r="W162" s="130"/>
      <c r="X162" s="130"/>
      <c r="Y162" s="130">
        <v>1</v>
      </c>
      <c r="Z162" s="130"/>
      <c r="AA162" s="130"/>
      <c r="AB162" s="130"/>
      <c r="AC162" s="130"/>
      <c r="AD162" s="130"/>
      <c r="AE162" s="130"/>
      <c r="AF162" s="129"/>
      <c r="AG162" s="64">
        <f t="shared" si="23"/>
        <v>1</v>
      </c>
    </row>
    <row r="163" spans="1:34" ht="18.75" x14ac:dyDescent="0.25">
      <c r="A163" s="330" t="s">
        <v>65</v>
      </c>
      <c r="B163" s="269"/>
      <c r="C163" s="130"/>
      <c r="D163" s="130"/>
      <c r="E163" s="130"/>
      <c r="F163" s="130"/>
      <c r="G163" s="130"/>
      <c r="H163" s="130"/>
      <c r="I163" s="130"/>
      <c r="J163" s="130"/>
      <c r="K163" s="130"/>
      <c r="L163" s="130"/>
      <c r="M163" s="130"/>
      <c r="N163" s="130"/>
      <c r="O163" s="130"/>
      <c r="P163" s="130"/>
      <c r="Q163" s="130"/>
      <c r="R163" s="130"/>
      <c r="S163" s="130"/>
      <c r="T163" s="130"/>
      <c r="U163" s="130"/>
      <c r="V163" s="130"/>
      <c r="W163" s="130"/>
      <c r="X163" s="130"/>
      <c r="Y163" s="130"/>
      <c r="Z163" s="130"/>
      <c r="AA163" s="130"/>
      <c r="AB163" s="130"/>
      <c r="AC163" s="130"/>
      <c r="AD163" s="130"/>
      <c r="AE163" s="130"/>
      <c r="AF163" s="129"/>
      <c r="AG163" s="64">
        <f t="shared" si="23"/>
        <v>0</v>
      </c>
    </row>
    <row r="164" spans="1:34" ht="18.75" x14ac:dyDescent="0.25">
      <c r="A164" s="330" t="s">
        <v>64</v>
      </c>
      <c r="B164" s="269"/>
      <c r="C164" s="130"/>
      <c r="D164" s="130"/>
      <c r="E164" s="130">
        <v>1</v>
      </c>
      <c r="F164" s="130"/>
      <c r="G164" s="130"/>
      <c r="H164" s="130"/>
      <c r="I164" s="130"/>
      <c r="J164" s="130"/>
      <c r="K164" s="130"/>
      <c r="L164" s="130"/>
      <c r="M164" s="130"/>
      <c r="N164" s="130"/>
      <c r="O164" s="130"/>
      <c r="P164" s="130"/>
      <c r="Q164" s="130">
        <v>1</v>
      </c>
      <c r="R164" s="130"/>
      <c r="S164" s="130"/>
      <c r="T164" s="130"/>
      <c r="U164" s="130"/>
      <c r="V164" s="130"/>
      <c r="W164" s="130">
        <v>1</v>
      </c>
      <c r="X164" s="130"/>
      <c r="Y164" s="130"/>
      <c r="Z164" s="130"/>
      <c r="AA164" s="130"/>
      <c r="AB164" s="130"/>
      <c r="AC164" s="130"/>
      <c r="AD164" s="130"/>
      <c r="AE164" s="130"/>
      <c r="AF164" s="129"/>
      <c r="AG164" s="64">
        <f t="shared" si="23"/>
        <v>3</v>
      </c>
    </row>
    <row r="165" spans="1:34" ht="18.75" x14ac:dyDescent="0.25">
      <c r="A165" s="330" t="s">
        <v>63</v>
      </c>
      <c r="B165" s="269"/>
      <c r="C165" s="130"/>
      <c r="D165" s="130"/>
      <c r="E165" s="130"/>
      <c r="F165" s="130"/>
      <c r="G165" s="130"/>
      <c r="H165" s="130"/>
      <c r="I165" s="130"/>
      <c r="J165" s="130"/>
      <c r="K165" s="130"/>
      <c r="L165" s="130"/>
      <c r="M165" s="130"/>
      <c r="N165" s="130"/>
      <c r="O165" s="130"/>
      <c r="P165" s="130"/>
      <c r="Q165" s="130"/>
      <c r="R165" s="130"/>
      <c r="S165" s="130"/>
      <c r="T165" s="130"/>
      <c r="U165" s="130"/>
      <c r="V165" s="130"/>
      <c r="W165" s="130"/>
      <c r="X165" s="130"/>
      <c r="Y165" s="130"/>
      <c r="Z165" s="130"/>
      <c r="AA165" s="130"/>
      <c r="AB165" s="130"/>
      <c r="AC165" s="130"/>
      <c r="AD165" s="130"/>
      <c r="AE165" s="130"/>
      <c r="AF165" s="129"/>
      <c r="AG165" s="64">
        <f t="shared" si="23"/>
        <v>0</v>
      </c>
    </row>
    <row r="166" spans="1:34" ht="19.5" thickBot="1" x14ac:dyDescent="0.3">
      <c r="A166" s="331" t="s">
        <v>62</v>
      </c>
      <c r="B166" s="270"/>
      <c r="C166" s="127"/>
      <c r="D166" s="127"/>
      <c r="E166" s="127"/>
      <c r="F166" s="127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  <c r="Y166" s="127"/>
      <c r="Z166" s="127"/>
      <c r="AA166" s="127"/>
      <c r="AB166" s="127"/>
      <c r="AC166" s="127"/>
      <c r="AD166" s="127"/>
      <c r="AE166" s="127"/>
      <c r="AF166" s="126"/>
      <c r="AG166" s="10">
        <f t="shared" si="23"/>
        <v>0</v>
      </c>
    </row>
    <row r="167" spans="1:34" ht="18.75" x14ac:dyDescent="0.25">
      <c r="A167" s="332" t="s">
        <v>61</v>
      </c>
      <c r="B167" s="271">
        <f t="shared" ref="B167:AF167" si="26">SUM(B168:B171)</f>
        <v>1</v>
      </c>
      <c r="C167" s="18">
        <f t="shared" si="26"/>
        <v>0</v>
      </c>
      <c r="D167" s="18">
        <f t="shared" si="26"/>
        <v>0</v>
      </c>
      <c r="E167" s="18">
        <f t="shared" si="26"/>
        <v>0</v>
      </c>
      <c r="F167" s="18">
        <f t="shared" si="26"/>
        <v>0</v>
      </c>
      <c r="G167" s="18">
        <f t="shared" si="26"/>
        <v>0</v>
      </c>
      <c r="H167" s="18">
        <f t="shared" si="26"/>
        <v>0</v>
      </c>
      <c r="I167" s="18">
        <f t="shared" si="26"/>
        <v>0</v>
      </c>
      <c r="J167" s="18">
        <f t="shared" si="26"/>
        <v>1</v>
      </c>
      <c r="K167" s="18">
        <f t="shared" si="26"/>
        <v>0</v>
      </c>
      <c r="L167" s="18">
        <f t="shared" si="26"/>
        <v>1</v>
      </c>
      <c r="M167" s="18">
        <f t="shared" si="26"/>
        <v>0</v>
      </c>
      <c r="N167" s="18">
        <f t="shared" si="26"/>
        <v>0</v>
      </c>
      <c r="O167" s="18">
        <f t="shared" si="26"/>
        <v>0</v>
      </c>
      <c r="P167" s="18">
        <f t="shared" si="26"/>
        <v>0</v>
      </c>
      <c r="Q167" s="18">
        <f t="shared" si="26"/>
        <v>0</v>
      </c>
      <c r="R167" s="18">
        <f t="shared" si="26"/>
        <v>0</v>
      </c>
      <c r="S167" s="18">
        <f t="shared" si="26"/>
        <v>0</v>
      </c>
      <c r="T167" s="18">
        <f t="shared" si="26"/>
        <v>0</v>
      </c>
      <c r="U167" s="18">
        <f t="shared" si="26"/>
        <v>0</v>
      </c>
      <c r="V167" s="18">
        <f t="shared" si="26"/>
        <v>0</v>
      </c>
      <c r="W167" s="18">
        <f t="shared" si="26"/>
        <v>1</v>
      </c>
      <c r="X167" s="18">
        <f t="shared" si="26"/>
        <v>0</v>
      </c>
      <c r="Y167" s="18">
        <f t="shared" si="26"/>
        <v>0</v>
      </c>
      <c r="Z167" s="18">
        <f t="shared" si="26"/>
        <v>1</v>
      </c>
      <c r="AA167" s="18">
        <f t="shared" si="26"/>
        <v>0</v>
      </c>
      <c r="AB167" s="18">
        <f t="shared" si="26"/>
        <v>0</v>
      </c>
      <c r="AC167" s="18">
        <f t="shared" si="26"/>
        <v>1</v>
      </c>
      <c r="AD167" s="18">
        <f t="shared" si="26"/>
        <v>1</v>
      </c>
      <c r="AE167" s="18">
        <f t="shared" si="26"/>
        <v>0</v>
      </c>
      <c r="AF167" s="17">
        <f t="shared" si="26"/>
        <v>1</v>
      </c>
      <c r="AG167" s="7">
        <f t="shared" si="23"/>
        <v>8</v>
      </c>
    </row>
    <row r="168" spans="1:34" ht="18.75" x14ac:dyDescent="0.25">
      <c r="A168" s="334" t="s">
        <v>60</v>
      </c>
      <c r="B168" s="269"/>
      <c r="C168" s="130"/>
      <c r="D168" s="130"/>
      <c r="E168" s="130"/>
      <c r="F168" s="130"/>
      <c r="G168" s="130"/>
      <c r="H168" s="130"/>
      <c r="I168" s="130"/>
      <c r="J168" s="130"/>
      <c r="K168" s="130"/>
      <c r="L168" s="130"/>
      <c r="M168" s="130"/>
      <c r="N168" s="130"/>
      <c r="O168" s="130"/>
      <c r="P168" s="130"/>
      <c r="Q168" s="130"/>
      <c r="R168" s="130"/>
      <c r="S168" s="130"/>
      <c r="T168" s="130"/>
      <c r="U168" s="130"/>
      <c r="V168" s="130"/>
      <c r="W168" s="130"/>
      <c r="X168" s="130"/>
      <c r="Y168" s="130"/>
      <c r="Z168" s="130">
        <v>1</v>
      </c>
      <c r="AA168" s="130"/>
      <c r="AB168" s="130"/>
      <c r="AC168" s="130"/>
      <c r="AD168" s="130"/>
      <c r="AE168" s="130"/>
      <c r="AF168" s="129"/>
      <c r="AG168" s="64">
        <f t="shared" si="23"/>
        <v>1</v>
      </c>
    </row>
    <row r="169" spans="1:34" ht="18.75" x14ac:dyDescent="0.25">
      <c r="A169" s="334" t="s">
        <v>59</v>
      </c>
      <c r="B169" s="269"/>
      <c r="C169" s="130"/>
      <c r="D169" s="130"/>
      <c r="E169" s="130"/>
      <c r="F169" s="130"/>
      <c r="G169" s="130"/>
      <c r="H169" s="130"/>
      <c r="I169" s="130"/>
      <c r="J169" s="130"/>
      <c r="K169" s="130"/>
      <c r="L169" s="130"/>
      <c r="M169" s="130"/>
      <c r="N169" s="130"/>
      <c r="O169" s="130"/>
      <c r="P169" s="130"/>
      <c r="Q169" s="130"/>
      <c r="R169" s="130"/>
      <c r="S169" s="130"/>
      <c r="T169" s="130"/>
      <c r="U169" s="130"/>
      <c r="V169" s="130"/>
      <c r="W169" s="130"/>
      <c r="X169" s="130"/>
      <c r="Y169" s="130"/>
      <c r="Z169" s="130"/>
      <c r="AA169" s="130"/>
      <c r="AB169" s="130"/>
      <c r="AC169" s="130"/>
      <c r="AD169" s="130"/>
      <c r="AE169" s="130"/>
      <c r="AF169" s="129">
        <v>1</v>
      </c>
      <c r="AG169" s="64">
        <f t="shared" si="23"/>
        <v>1</v>
      </c>
    </row>
    <row r="170" spans="1:34" ht="18.75" x14ac:dyDescent="0.25">
      <c r="A170" s="334" t="s">
        <v>58</v>
      </c>
      <c r="B170" s="269"/>
      <c r="C170" s="130"/>
      <c r="D170" s="130"/>
      <c r="E170" s="130"/>
      <c r="F170" s="130"/>
      <c r="G170" s="130"/>
      <c r="H170" s="130"/>
      <c r="I170" s="130"/>
      <c r="J170" s="130"/>
      <c r="K170" s="130"/>
      <c r="L170" s="130"/>
      <c r="M170" s="130"/>
      <c r="N170" s="130"/>
      <c r="O170" s="130"/>
      <c r="P170" s="130"/>
      <c r="Q170" s="130"/>
      <c r="R170" s="130"/>
      <c r="S170" s="130"/>
      <c r="T170" s="130"/>
      <c r="U170" s="130"/>
      <c r="V170" s="130"/>
      <c r="W170" s="130"/>
      <c r="X170" s="130"/>
      <c r="Y170" s="130"/>
      <c r="Z170" s="130"/>
      <c r="AA170" s="130"/>
      <c r="AB170" s="130"/>
      <c r="AC170" s="130"/>
      <c r="AD170" s="130"/>
      <c r="AE170" s="130"/>
      <c r="AF170" s="129"/>
      <c r="AG170" s="64">
        <f t="shared" si="23"/>
        <v>0</v>
      </c>
    </row>
    <row r="171" spans="1:34" ht="19.5" thickBot="1" x14ac:dyDescent="0.3">
      <c r="A171" s="335" t="s">
        <v>57</v>
      </c>
      <c r="B171" s="270">
        <v>1</v>
      </c>
      <c r="C171" s="127"/>
      <c r="D171" s="127"/>
      <c r="E171" s="127"/>
      <c r="F171" s="127"/>
      <c r="G171" s="127"/>
      <c r="H171" s="127"/>
      <c r="I171" s="127"/>
      <c r="J171" s="127">
        <v>1</v>
      </c>
      <c r="K171" s="127"/>
      <c r="L171" s="127">
        <v>1</v>
      </c>
      <c r="M171" s="127"/>
      <c r="N171" s="127"/>
      <c r="O171" s="127"/>
      <c r="P171" s="127"/>
      <c r="Q171" s="127"/>
      <c r="R171" s="127"/>
      <c r="S171" s="127"/>
      <c r="T171" s="127"/>
      <c r="U171" s="127"/>
      <c r="V171" s="127"/>
      <c r="W171" s="127">
        <v>1</v>
      </c>
      <c r="X171" s="127"/>
      <c r="Y171" s="127"/>
      <c r="Z171" s="127"/>
      <c r="AA171" s="127"/>
      <c r="AB171" s="127"/>
      <c r="AC171" s="127">
        <v>1</v>
      </c>
      <c r="AD171" s="127">
        <v>1</v>
      </c>
      <c r="AE171" s="127"/>
      <c r="AF171" s="126"/>
      <c r="AG171" s="10">
        <f t="shared" si="23"/>
        <v>6</v>
      </c>
    </row>
    <row r="172" spans="1:34" ht="19.5" thickBot="1" x14ac:dyDescent="0.3">
      <c r="A172" s="336" t="s">
        <v>56</v>
      </c>
      <c r="B172" s="273"/>
      <c r="C172" s="124"/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  <c r="S172" s="124"/>
      <c r="T172" s="124"/>
      <c r="U172" s="124"/>
      <c r="V172" s="124"/>
      <c r="W172" s="124"/>
      <c r="X172" s="124"/>
      <c r="Y172" s="124"/>
      <c r="Z172" s="124"/>
      <c r="AA172" s="124"/>
      <c r="AB172" s="124"/>
      <c r="AC172" s="124"/>
      <c r="AD172" s="124"/>
      <c r="AE172" s="124"/>
      <c r="AF172" s="123"/>
      <c r="AG172" s="122">
        <f t="shared" si="23"/>
        <v>0</v>
      </c>
    </row>
    <row r="173" spans="1:34" ht="19.5" thickBot="1" x14ac:dyDescent="0.3">
      <c r="A173" s="299" t="s">
        <v>55</v>
      </c>
      <c r="B173" s="247">
        <f t="shared" ref="B173:AF173" si="27">SUM(B174:B175)</f>
        <v>0</v>
      </c>
      <c r="C173" s="120">
        <f t="shared" si="27"/>
        <v>0</v>
      </c>
      <c r="D173" s="120">
        <f t="shared" si="27"/>
        <v>0</v>
      </c>
      <c r="E173" s="120">
        <f t="shared" si="27"/>
        <v>0</v>
      </c>
      <c r="F173" s="120">
        <f t="shared" si="27"/>
        <v>1</v>
      </c>
      <c r="G173" s="120">
        <f t="shared" si="27"/>
        <v>1</v>
      </c>
      <c r="H173" s="120">
        <f t="shared" si="27"/>
        <v>0</v>
      </c>
      <c r="I173" s="120">
        <f t="shared" si="27"/>
        <v>0</v>
      </c>
      <c r="J173" s="120">
        <f t="shared" si="27"/>
        <v>0</v>
      </c>
      <c r="K173" s="120">
        <f t="shared" si="27"/>
        <v>0</v>
      </c>
      <c r="L173" s="120">
        <f t="shared" si="27"/>
        <v>0</v>
      </c>
      <c r="M173" s="120">
        <f t="shared" si="27"/>
        <v>0</v>
      </c>
      <c r="N173" s="120">
        <f t="shared" si="27"/>
        <v>0</v>
      </c>
      <c r="O173" s="120">
        <f t="shared" si="27"/>
        <v>0</v>
      </c>
      <c r="P173" s="120">
        <f t="shared" si="27"/>
        <v>2</v>
      </c>
      <c r="Q173" s="120">
        <f t="shared" si="27"/>
        <v>0</v>
      </c>
      <c r="R173" s="120">
        <f t="shared" si="27"/>
        <v>1</v>
      </c>
      <c r="S173" s="120">
        <f t="shared" si="27"/>
        <v>0</v>
      </c>
      <c r="T173" s="120">
        <f t="shared" si="27"/>
        <v>1</v>
      </c>
      <c r="U173" s="120">
        <f t="shared" si="27"/>
        <v>1</v>
      </c>
      <c r="V173" s="120">
        <f t="shared" si="27"/>
        <v>2</v>
      </c>
      <c r="W173" s="120">
        <f t="shared" si="27"/>
        <v>1</v>
      </c>
      <c r="X173" s="120">
        <f t="shared" si="27"/>
        <v>2</v>
      </c>
      <c r="Y173" s="120">
        <f t="shared" si="27"/>
        <v>0</v>
      </c>
      <c r="Z173" s="120">
        <f t="shared" si="27"/>
        <v>3</v>
      </c>
      <c r="AA173" s="120">
        <f t="shared" si="27"/>
        <v>1</v>
      </c>
      <c r="AB173" s="120">
        <f t="shared" si="27"/>
        <v>1</v>
      </c>
      <c r="AC173" s="120">
        <f t="shared" si="27"/>
        <v>0</v>
      </c>
      <c r="AD173" s="120">
        <f t="shared" si="27"/>
        <v>0</v>
      </c>
      <c r="AE173" s="120">
        <f t="shared" si="27"/>
        <v>0</v>
      </c>
      <c r="AF173" s="119">
        <f t="shared" si="27"/>
        <v>0</v>
      </c>
      <c r="AG173" s="118">
        <f t="shared" si="23"/>
        <v>17</v>
      </c>
      <c r="AH173" s="98" t="s">
        <v>54</v>
      </c>
    </row>
    <row r="174" spans="1:34" ht="18.75" x14ac:dyDescent="0.25">
      <c r="A174" s="337" t="s">
        <v>53</v>
      </c>
      <c r="B174" s="274">
        <v>0</v>
      </c>
      <c r="C174" s="116">
        <v>0</v>
      </c>
      <c r="D174" s="116">
        <v>0</v>
      </c>
      <c r="E174" s="116">
        <v>0</v>
      </c>
      <c r="F174" s="116">
        <v>1</v>
      </c>
      <c r="G174" s="116">
        <v>1</v>
      </c>
      <c r="H174" s="116">
        <v>0</v>
      </c>
      <c r="I174" s="116">
        <v>0</v>
      </c>
      <c r="J174" s="116">
        <v>0</v>
      </c>
      <c r="K174" s="116">
        <v>0</v>
      </c>
      <c r="L174" s="116">
        <v>0</v>
      </c>
      <c r="M174" s="116">
        <v>0</v>
      </c>
      <c r="N174" s="116">
        <v>0</v>
      </c>
      <c r="O174" s="116">
        <v>0</v>
      </c>
      <c r="P174" s="116">
        <v>2</v>
      </c>
      <c r="Q174" s="116">
        <v>0</v>
      </c>
      <c r="R174" s="116">
        <v>1</v>
      </c>
      <c r="S174" s="116">
        <v>0</v>
      </c>
      <c r="T174" s="116">
        <v>1</v>
      </c>
      <c r="U174" s="116">
        <v>1</v>
      </c>
      <c r="V174" s="116">
        <v>1</v>
      </c>
      <c r="W174" s="116">
        <v>1</v>
      </c>
      <c r="X174" s="116">
        <v>1</v>
      </c>
      <c r="Y174" s="116">
        <v>0</v>
      </c>
      <c r="Z174" s="116">
        <v>2</v>
      </c>
      <c r="AA174" s="116">
        <v>0</v>
      </c>
      <c r="AB174" s="116">
        <v>1</v>
      </c>
      <c r="AC174" s="116">
        <v>0</v>
      </c>
      <c r="AD174" s="116">
        <v>0</v>
      </c>
      <c r="AE174" s="116">
        <v>0</v>
      </c>
      <c r="AF174" s="115">
        <v>0</v>
      </c>
      <c r="AG174" s="114">
        <f t="shared" si="23"/>
        <v>13</v>
      </c>
      <c r="AH174" s="98"/>
    </row>
    <row r="175" spans="1:34" ht="18.75" x14ac:dyDescent="0.25">
      <c r="A175" s="338" t="s">
        <v>52</v>
      </c>
      <c r="B175" s="275">
        <v>0</v>
      </c>
      <c r="C175" s="112">
        <v>0</v>
      </c>
      <c r="D175" s="112">
        <v>0</v>
      </c>
      <c r="E175" s="112">
        <v>0</v>
      </c>
      <c r="F175" s="112">
        <v>0</v>
      </c>
      <c r="G175" s="112">
        <v>0</v>
      </c>
      <c r="H175" s="112">
        <v>0</v>
      </c>
      <c r="I175" s="112">
        <v>0</v>
      </c>
      <c r="J175" s="112">
        <v>0</v>
      </c>
      <c r="K175" s="112">
        <v>0</v>
      </c>
      <c r="L175" s="112">
        <v>0</v>
      </c>
      <c r="M175" s="112">
        <v>0</v>
      </c>
      <c r="N175" s="112">
        <v>0</v>
      </c>
      <c r="O175" s="112">
        <v>0</v>
      </c>
      <c r="P175" s="112">
        <v>0</v>
      </c>
      <c r="Q175" s="112">
        <v>0</v>
      </c>
      <c r="R175" s="112">
        <v>0</v>
      </c>
      <c r="S175" s="112">
        <v>0</v>
      </c>
      <c r="T175" s="112">
        <v>0</v>
      </c>
      <c r="U175" s="112">
        <v>0</v>
      </c>
      <c r="V175" s="112">
        <v>1</v>
      </c>
      <c r="W175" s="112">
        <v>0</v>
      </c>
      <c r="X175" s="112">
        <v>1</v>
      </c>
      <c r="Y175" s="112">
        <v>0</v>
      </c>
      <c r="Z175" s="112">
        <v>1</v>
      </c>
      <c r="AA175" s="112">
        <v>1</v>
      </c>
      <c r="AB175" s="112">
        <v>0</v>
      </c>
      <c r="AC175" s="112">
        <v>0</v>
      </c>
      <c r="AD175" s="112">
        <v>0</v>
      </c>
      <c r="AE175" s="112">
        <v>0</v>
      </c>
      <c r="AF175" s="111">
        <v>0</v>
      </c>
      <c r="AG175" s="110">
        <f t="shared" si="23"/>
        <v>4</v>
      </c>
      <c r="AH175" s="98"/>
    </row>
    <row r="176" spans="1:34" ht="19.5" thickBot="1" x14ac:dyDescent="0.3">
      <c r="A176" s="339" t="s">
        <v>51</v>
      </c>
      <c r="B176" s="359">
        <f t="shared" ref="B176:AF176" si="28">SUM(B177:B178)</f>
        <v>1</v>
      </c>
      <c r="C176" s="220">
        <f t="shared" si="28"/>
        <v>2</v>
      </c>
      <c r="D176" s="220">
        <f t="shared" si="28"/>
        <v>7</v>
      </c>
      <c r="E176" s="220">
        <f t="shared" si="28"/>
        <v>5</v>
      </c>
      <c r="F176" s="220">
        <f t="shared" si="28"/>
        <v>0</v>
      </c>
      <c r="G176" s="220">
        <f t="shared" si="28"/>
        <v>2</v>
      </c>
      <c r="H176" s="220">
        <f t="shared" si="28"/>
        <v>1</v>
      </c>
      <c r="I176" s="220">
        <f t="shared" si="28"/>
        <v>1</v>
      </c>
      <c r="J176" s="220">
        <f t="shared" si="28"/>
        <v>2</v>
      </c>
      <c r="K176" s="220">
        <f t="shared" si="28"/>
        <v>0</v>
      </c>
      <c r="L176" s="220">
        <f t="shared" si="28"/>
        <v>2</v>
      </c>
      <c r="M176" s="220">
        <f t="shared" si="28"/>
        <v>0</v>
      </c>
      <c r="N176" s="220">
        <f t="shared" si="28"/>
        <v>5</v>
      </c>
      <c r="O176" s="220">
        <f t="shared" si="28"/>
        <v>4</v>
      </c>
      <c r="P176" s="220">
        <f t="shared" si="28"/>
        <v>4</v>
      </c>
      <c r="Q176" s="220">
        <f t="shared" si="28"/>
        <v>1</v>
      </c>
      <c r="R176" s="220">
        <f t="shared" si="28"/>
        <v>4</v>
      </c>
      <c r="S176" s="220">
        <f t="shared" si="28"/>
        <v>0</v>
      </c>
      <c r="T176" s="220">
        <f t="shared" si="28"/>
        <v>0</v>
      </c>
      <c r="U176" s="220">
        <f t="shared" si="28"/>
        <v>5</v>
      </c>
      <c r="V176" s="220">
        <f t="shared" si="28"/>
        <v>5</v>
      </c>
      <c r="W176" s="220">
        <f t="shared" si="28"/>
        <v>2</v>
      </c>
      <c r="X176" s="220">
        <f t="shared" si="28"/>
        <v>1</v>
      </c>
      <c r="Y176" s="220">
        <f t="shared" si="28"/>
        <v>2</v>
      </c>
      <c r="Z176" s="220">
        <f t="shared" si="28"/>
        <v>2</v>
      </c>
      <c r="AA176" s="220">
        <f t="shared" si="28"/>
        <v>2</v>
      </c>
      <c r="AB176" s="220">
        <f t="shared" si="28"/>
        <v>8</v>
      </c>
      <c r="AC176" s="220">
        <f t="shared" si="28"/>
        <v>1</v>
      </c>
      <c r="AD176" s="220">
        <f t="shared" si="28"/>
        <v>2</v>
      </c>
      <c r="AE176" s="220">
        <f t="shared" si="28"/>
        <v>2</v>
      </c>
      <c r="AF176" s="221">
        <f t="shared" si="28"/>
        <v>3</v>
      </c>
      <c r="AG176" s="222">
        <f t="shared" si="23"/>
        <v>76</v>
      </c>
      <c r="AH176" s="98" t="s">
        <v>48</v>
      </c>
    </row>
    <row r="177" spans="1:34" ht="18.75" x14ac:dyDescent="0.25">
      <c r="A177" s="340" t="s">
        <v>50</v>
      </c>
      <c r="B177" s="277">
        <v>0</v>
      </c>
      <c r="C177" s="105">
        <v>0</v>
      </c>
      <c r="D177" s="105">
        <v>1</v>
      </c>
      <c r="E177" s="105">
        <v>1</v>
      </c>
      <c r="F177" s="105">
        <v>0</v>
      </c>
      <c r="G177" s="105">
        <v>0</v>
      </c>
      <c r="H177" s="105">
        <v>0</v>
      </c>
      <c r="I177" s="105">
        <v>0</v>
      </c>
      <c r="J177" s="105">
        <v>0</v>
      </c>
      <c r="K177" s="105">
        <v>0</v>
      </c>
      <c r="L177" s="105">
        <v>0</v>
      </c>
      <c r="M177" s="105">
        <v>0</v>
      </c>
      <c r="N177" s="105">
        <v>1</v>
      </c>
      <c r="O177" s="105">
        <v>0</v>
      </c>
      <c r="P177" s="105">
        <v>0</v>
      </c>
      <c r="Q177" s="105">
        <v>0</v>
      </c>
      <c r="R177" s="105">
        <v>0</v>
      </c>
      <c r="S177" s="105">
        <v>0</v>
      </c>
      <c r="T177" s="105">
        <v>0</v>
      </c>
      <c r="U177" s="105">
        <v>0</v>
      </c>
      <c r="V177" s="105">
        <v>1</v>
      </c>
      <c r="W177" s="105">
        <v>1</v>
      </c>
      <c r="X177" s="105">
        <v>0</v>
      </c>
      <c r="Y177" s="105">
        <v>0</v>
      </c>
      <c r="Z177" s="105">
        <v>0</v>
      </c>
      <c r="AA177" s="105">
        <v>1</v>
      </c>
      <c r="AB177" s="105">
        <v>1</v>
      </c>
      <c r="AC177" s="105">
        <v>0</v>
      </c>
      <c r="AD177" s="105">
        <v>0</v>
      </c>
      <c r="AE177" s="105">
        <v>1</v>
      </c>
      <c r="AF177" s="104">
        <v>0</v>
      </c>
      <c r="AG177" s="103">
        <f t="shared" si="23"/>
        <v>8</v>
      </c>
      <c r="AH177" s="98" t="s">
        <v>48</v>
      </c>
    </row>
    <row r="178" spans="1:34" ht="19.5" thickBot="1" x14ac:dyDescent="0.3">
      <c r="A178" s="313" t="s">
        <v>49</v>
      </c>
      <c r="B178" s="278">
        <v>1</v>
      </c>
      <c r="C178" s="101">
        <v>2</v>
      </c>
      <c r="D178" s="101">
        <v>6</v>
      </c>
      <c r="E178" s="101">
        <v>4</v>
      </c>
      <c r="F178" s="101">
        <v>0</v>
      </c>
      <c r="G178" s="101">
        <v>2</v>
      </c>
      <c r="H178" s="101">
        <v>1</v>
      </c>
      <c r="I178" s="101">
        <v>1</v>
      </c>
      <c r="J178" s="101">
        <v>2</v>
      </c>
      <c r="K178" s="101">
        <v>0</v>
      </c>
      <c r="L178" s="101">
        <v>2</v>
      </c>
      <c r="M178" s="101">
        <v>0</v>
      </c>
      <c r="N178" s="101">
        <v>4</v>
      </c>
      <c r="O178" s="101">
        <v>4</v>
      </c>
      <c r="P178" s="101">
        <v>4</v>
      </c>
      <c r="Q178" s="101">
        <v>1</v>
      </c>
      <c r="R178" s="101">
        <v>4</v>
      </c>
      <c r="S178" s="101">
        <v>0</v>
      </c>
      <c r="T178" s="101">
        <v>0</v>
      </c>
      <c r="U178" s="101">
        <v>5</v>
      </c>
      <c r="V178" s="101">
        <v>4</v>
      </c>
      <c r="W178" s="101">
        <v>1</v>
      </c>
      <c r="X178" s="101">
        <v>1</v>
      </c>
      <c r="Y178" s="101">
        <v>2</v>
      </c>
      <c r="Z178" s="101">
        <v>2</v>
      </c>
      <c r="AA178" s="101">
        <v>1</v>
      </c>
      <c r="AB178" s="101">
        <v>7</v>
      </c>
      <c r="AC178" s="101">
        <v>1</v>
      </c>
      <c r="AD178" s="101">
        <v>2</v>
      </c>
      <c r="AE178" s="101">
        <v>1</v>
      </c>
      <c r="AF178" s="100">
        <v>3</v>
      </c>
      <c r="AG178" s="99">
        <f t="shared" si="23"/>
        <v>68</v>
      </c>
      <c r="AH178" s="98" t="s">
        <v>48</v>
      </c>
    </row>
    <row r="179" spans="1:34" ht="18.75" x14ac:dyDescent="0.25">
      <c r="A179" s="341" t="s">
        <v>47</v>
      </c>
      <c r="B179" s="279"/>
      <c r="C179" s="96"/>
      <c r="D179" s="96"/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  <c r="AA179" s="96"/>
      <c r="AB179" s="96"/>
      <c r="AC179" s="96"/>
      <c r="AD179" s="96"/>
      <c r="AE179" s="96"/>
      <c r="AF179" s="95"/>
      <c r="AG179" s="94">
        <f t="shared" ref="AG179:AG210" si="29">SUM(B179:AF179)</f>
        <v>0</v>
      </c>
    </row>
    <row r="180" spans="1:34" ht="19.5" thickBot="1" x14ac:dyDescent="0.3">
      <c r="A180" s="342" t="s">
        <v>46</v>
      </c>
      <c r="B180" s="280"/>
      <c r="C180" s="92"/>
      <c r="D180" s="92"/>
      <c r="E180" s="92"/>
      <c r="F180" s="92"/>
      <c r="G180" s="92"/>
      <c r="H180" s="92"/>
      <c r="I180" s="92"/>
      <c r="J180" s="92"/>
      <c r="K180" s="92"/>
      <c r="L180" s="92"/>
      <c r="M180" s="92"/>
      <c r="N180" s="92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92"/>
      <c r="AA180" s="92"/>
      <c r="AB180" s="92"/>
      <c r="AC180" s="92"/>
      <c r="AD180" s="92"/>
      <c r="AE180" s="92"/>
      <c r="AF180" s="91"/>
      <c r="AG180" s="90">
        <f t="shared" si="29"/>
        <v>0</v>
      </c>
    </row>
    <row r="181" spans="1:34" ht="19.5" thickBot="1" x14ac:dyDescent="0.3">
      <c r="A181" s="343" t="s">
        <v>45</v>
      </c>
      <c r="B181" s="281">
        <f t="shared" ref="B181:AF181" si="30">SUM(B182:B207)</f>
        <v>81</v>
      </c>
      <c r="C181" s="88">
        <f t="shared" si="30"/>
        <v>56</v>
      </c>
      <c r="D181" s="88">
        <f t="shared" si="30"/>
        <v>69</v>
      </c>
      <c r="E181" s="88">
        <f t="shared" si="30"/>
        <v>57</v>
      </c>
      <c r="F181" s="88">
        <f t="shared" si="30"/>
        <v>54</v>
      </c>
      <c r="G181" s="88">
        <f t="shared" si="30"/>
        <v>53</v>
      </c>
      <c r="H181" s="88">
        <f t="shared" si="30"/>
        <v>65</v>
      </c>
      <c r="I181" s="88">
        <f t="shared" si="30"/>
        <v>78</v>
      </c>
      <c r="J181" s="88">
        <f t="shared" si="30"/>
        <v>72</v>
      </c>
      <c r="K181" s="88">
        <f t="shared" si="30"/>
        <v>78</v>
      </c>
      <c r="L181" s="88">
        <f t="shared" si="30"/>
        <v>87</v>
      </c>
      <c r="M181" s="88">
        <f t="shared" si="30"/>
        <v>66</v>
      </c>
      <c r="N181" s="88">
        <f t="shared" si="30"/>
        <v>72</v>
      </c>
      <c r="O181" s="88">
        <f t="shared" si="30"/>
        <v>78</v>
      </c>
      <c r="P181" s="88">
        <f t="shared" si="30"/>
        <v>75</v>
      </c>
      <c r="Q181" s="88">
        <f t="shared" si="30"/>
        <v>92</v>
      </c>
      <c r="R181" s="88">
        <f t="shared" si="30"/>
        <v>66</v>
      </c>
      <c r="S181" s="88">
        <f t="shared" si="30"/>
        <v>86</v>
      </c>
      <c r="T181" s="88">
        <f t="shared" si="30"/>
        <v>72</v>
      </c>
      <c r="U181" s="88">
        <f t="shared" si="30"/>
        <v>78</v>
      </c>
      <c r="V181" s="88">
        <f t="shared" si="30"/>
        <v>90</v>
      </c>
      <c r="W181" s="88">
        <f t="shared" si="30"/>
        <v>108</v>
      </c>
      <c r="X181" s="88">
        <f t="shared" si="30"/>
        <v>97</v>
      </c>
      <c r="Y181" s="88">
        <f t="shared" si="30"/>
        <v>86</v>
      </c>
      <c r="Z181" s="88">
        <f t="shared" si="30"/>
        <v>105</v>
      </c>
      <c r="AA181" s="88">
        <f t="shared" si="30"/>
        <v>96</v>
      </c>
      <c r="AB181" s="88">
        <f t="shared" si="30"/>
        <v>46</v>
      </c>
      <c r="AC181" s="88">
        <f t="shared" si="30"/>
        <v>86</v>
      </c>
      <c r="AD181" s="88">
        <f t="shared" si="30"/>
        <v>108</v>
      </c>
      <c r="AE181" s="88">
        <f t="shared" si="30"/>
        <v>83</v>
      </c>
      <c r="AF181" s="87">
        <f t="shared" si="30"/>
        <v>68</v>
      </c>
      <c r="AG181" s="86">
        <f t="shared" si="29"/>
        <v>2408</v>
      </c>
      <c r="AH181" s="85"/>
    </row>
    <row r="182" spans="1:34" ht="18.75" x14ac:dyDescent="0.25">
      <c r="A182" s="76" t="s">
        <v>44</v>
      </c>
      <c r="B182" s="282">
        <v>3</v>
      </c>
      <c r="C182" s="84">
        <v>4</v>
      </c>
      <c r="D182" s="84">
        <v>9</v>
      </c>
      <c r="E182" s="84">
        <v>3</v>
      </c>
      <c r="F182" s="84">
        <v>3</v>
      </c>
      <c r="G182" s="84">
        <v>4</v>
      </c>
      <c r="H182" s="84">
        <v>4</v>
      </c>
      <c r="I182" s="84">
        <v>1</v>
      </c>
      <c r="J182" s="84">
        <v>1</v>
      </c>
      <c r="K182" s="84">
        <v>9</v>
      </c>
      <c r="L182" s="84">
        <v>5</v>
      </c>
      <c r="M182" s="84">
        <v>4</v>
      </c>
      <c r="N182" s="83">
        <v>9</v>
      </c>
      <c r="O182" s="83">
        <v>12</v>
      </c>
      <c r="P182" s="83">
        <v>7</v>
      </c>
      <c r="Q182" s="83">
        <v>4</v>
      </c>
      <c r="R182" s="83">
        <v>3</v>
      </c>
      <c r="S182" s="83">
        <v>1</v>
      </c>
      <c r="T182" s="83">
        <v>6</v>
      </c>
      <c r="U182" s="83">
        <v>10</v>
      </c>
      <c r="V182" s="83">
        <v>8</v>
      </c>
      <c r="W182" s="83">
        <v>7</v>
      </c>
      <c r="X182" s="83">
        <v>6</v>
      </c>
      <c r="Y182" s="83">
        <v>2</v>
      </c>
      <c r="Z182" s="83">
        <v>5</v>
      </c>
      <c r="AA182" s="83">
        <v>7</v>
      </c>
      <c r="AB182" s="83">
        <v>4</v>
      </c>
      <c r="AC182" s="83">
        <v>3</v>
      </c>
      <c r="AD182" s="83"/>
      <c r="AE182" s="83"/>
      <c r="AF182" s="82">
        <v>9</v>
      </c>
      <c r="AG182" s="11">
        <f t="shared" si="29"/>
        <v>153</v>
      </c>
    </row>
    <row r="183" spans="1:34" ht="18.75" x14ac:dyDescent="0.25">
      <c r="A183" s="76" t="s">
        <v>43</v>
      </c>
      <c r="B183" s="283"/>
      <c r="C183" s="69"/>
      <c r="D183" s="69"/>
      <c r="E183" s="69"/>
      <c r="F183" s="69"/>
      <c r="G183" s="69"/>
      <c r="H183" s="69"/>
      <c r="I183" s="69"/>
      <c r="J183" s="69"/>
      <c r="K183" s="69"/>
      <c r="L183" s="69">
        <v>1</v>
      </c>
      <c r="M183" s="69"/>
      <c r="N183" s="68"/>
      <c r="O183" s="68"/>
      <c r="P183" s="68"/>
      <c r="Q183" s="68"/>
      <c r="R183" s="68"/>
      <c r="S183" s="68">
        <v>1</v>
      </c>
      <c r="T183" s="68"/>
      <c r="U183" s="68"/>
      <c r="V183" s="68"/>
      <c r="W183" s="68">
        <v>1</v>
      </c>
      <c r="X183" s="68">
        <v>1</v>
      </c>
      <c r="Y183" s="68"/>
      <c r="Z183" s="68"/>
      <c r="AA183" s="68"/>
      <c r="AB183" s="68"/>
      <c r="AC183" s="68"/>
      <c r="AD183" s="68"/>
      <c r="AE183" s="68"/>
      <c r="AF183" s="67"/>
      <c r="AG183" s="64">
        <f t="shared" si="29"/>
        <v>4</v>
      </c>
    </row>
    <row r="184" spans="1:34" ht="18.75" x14ac:dyDescent="0.25">
      <c r="A184" s="76" t="s">
        <v>42</v>
      </c>
      <c r="B184" s="283">
        <v>2</v>
      </c>
      <c r="C184" s="69">
        <v>4</v>
      </c>
      <c r="D184" s="69"/>
      <c r="E184" s="69"/>
      <c r="F184" s="69">
        <v>1</v>
      </c>
      <c r="G184" s="69"/>
      <c r="H184" s="69"/>
      <c r="I184" s="69">
        <v>4</v>
      </c>
      <c r="J184" s="69">
        <v>4</v>
      </c>
      <c r="K184" s="69"/>
      <c r="L184" s="69"/>
      <c r="M184" s="69"/>
      <c r="N184" s="68"/>
      <c r="O184" s="68"/>
      <c r="P184" s="68">
        <v>1</v>
      </c>
      <c r="Q184" s="68">
        <v>8</v>
      </c>
      <c r="R184" s="68"/>
      <c r="S184" s="68">
        <v>3</v>
      </c>
      <c r="T184" s="68"/>
      <c r="U184" s="68"/>
      <c r="V184" s="68">
        <v>1</v>
      </c>
      <c r="W184" s="68">
        <v>1</v>
      </c>
      <c r="X184" s="68">
        <v>7</v>
      </c>
      <c r="Y184" s="68"/>
      <c r="Z184" s="68"/>
      <c r="AA184" s="68"/>
      <c r="AB184" s="68"/>
      <c r="AC184" s="68"/>
      <c r="AD184" s="68">
        <v>4</v>
      </c>
      <c r="AE184" s="68">
        <v>8</v>
      </c>
      <c r="AF184" s="67"/>
      <c r="AG184" s="64">
        <f t="shared" si="29"/>
        <v>48</v>
      </c>
    </row>
    <row r="185" spans="1:34" ht="18.75" x14ac:dyDescent="0.25">
      <c r="A185" s="76" t="s">
        <v>41</v>
      </c>
      <c r="B185" s="283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  <c r="AB185" s="68"/>
      <c r="AC185" s="68"/>
      <c r="AD185" s="68"/>
      <c r="AE185" s="68"/>
      <c r="AF185" s="67"/>
      <c r="AG185" s="64">
        <f t="shared" si="29"/>
        <v>0</v>
      </c>
    </row>
    <row r="186" spans="1:34" s="77" customFormat="1" ht="18.75" x14ac:dyDescent="0.25">
      <c r="A186" s="81" t="s">
        <v>40</v>
      </c>
      <c r="B186" s="284">
        <v>71</v>
      </c>
      <c r="C186" s="80">
        <v>48</v>
      </c>
      <c r="D186" s="80">
        <v>59</v>
      </c>
      <c r="E186" s="80">
        <v>50</v>
      </c>
      <c r="F186" s="80">
        <v>40</v>
      </c>
      <c r="G186" s="80">
        <v>48</v>
      </c>
      <c r="H186" s="80">
        <v>60</v>
      </c>
      <c r="I186" s="80">
        <v>70</v>
      </c>
      <c r="J186" s="80">
        <v>65</v>
      </c>
      <c r="K186" s="80">
        <v>66</v>
      </c>
      <c r="L186" s="80">
        <v>72</v>
      </c>
      <c r="M186" s="80">
        <v>57</v>
      </c>
      <c r="N186" s="79">
        <v>60</v>
      </c>
      <c r="O186" s="79">
        <v>64</v>
      </c>
      <c r="P186" s="79">
        <v>67</v>
      </c>
      <c r="Q186" s="79">
        <v>76</v>
      </c>
      <c r="R186" s="79">
        <v>62</v>
      </c>
      <c r="S186" s="79">
        <v>75</v>
      </c>
      <c r="T186" s="79">
        <v>66</v>
      </c>
      <c r="U186" s="79">
        <v>65</v>
      </c>
      <c r="V186" s="79">
        <v>77</v>
      </c>
      <c r="W186" s="79">
        <v>95</v>
      </c>
      <c r="X186" s="79">
        <v>81</v>
      </c>
      <c r="Y186" s="79">
        <v>82</v>
      </c>
      <c r="Z186" s="79">
        <v>94</v>
      </c>
      <c r="AA186" s="79">
        <v>85</v>
      </c>
      <c r="AB186" s="79">
        <v>41</v>
      </c>
      <c r="AC186" s="79">
        <v>82</v>
      </c>
      <c r="AD186" s="79">
        <v>102</v>
      </c>
      <c r="AE186" s="79">
        <v>74</v>
      </c>
      <c r="AF186" s="78">
        <v>57</v>
      </c>
      <c r="AG186" s="21">
        <f t="shared" si="29"/>
        <v>2111</v>
      </c>
    </row>
    <row r="187" spans="1:34" ht="18.75" x14ac:dyDescent="0.25">
      <c r="A187" s="76" t="s">
        <v>39</v>
      </c>
      <c r="B187" s="283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  <c r="AA187" s="68"/>
      <c r="AB187" s="68"/>
      <c r="AC187" s="68"/>
      <c r="AD187" s="68"/>
      <c r="AE187" s="68"/>
      <c r="AF187" s="67"/>
      <c r="AG187" s="64">
        <f t="shared" si="29"/>
        <v>0</v>
      </c>
    </row>
    <row r="188" spans="1:34" ht="18.75" x14ac:dyDescent="0.25">
      <c r="A188" s="76" t="s">
        <v>38</v>
      </c>
      <c r="B188" s="283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  <c r="AA188" s="68"/>
      <c r="AB188" s="68"/>
      <c r="AC188" s="68"/>
      <c r="AD188" s="68"/>
      <c r="AE188" s="68"/>
      <c r="AF188" s="67"/>
      <c r="AG188" s="64">
        <f t="shared" si="29"/>
        <v>0</v>
      </c>
    </row>
    <row r="189" spans="1:34" ht="18.75" x14ac:dyDescent="0.25">
      <c r="A189" s="76" t="s">
        <v>37</v>
      </c>
      <c r="B189" s="283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  <c r="AA189" s="68"/>
      <c r="AB189" s="68"/>
      <c r="AC189" s="68"/>
      <c r="AD189" s="68"/>
      <c r="AE189" s="68"/>
      <c r="AF189" s="67"/>
      <c r="AG189" s="64">
        <f t="shared" si="29"/>
        <v>0</v>
      </c>
    </row>
    <row r="190" spans="1:34" ht="18.75" x14ac:dyDescent="0.25">
      <c r="A190" s="76" t="s">
        <v>36</v>
      </c>
      <c r="B190" s="283"/>
      <c r="C190" s="69"/>
      <c r="D190" s="69"/>
      <c r="E190" s="69">
        <v>4</v>
      </c>
      <c r="F190" s="69">
        <v>4</v>
      </c>
      <c r="G190" s="69"/>
      <c r="H190" s="69"/>
      <c r="I190" s="69">
        <v>3</v>
      </c>
      <c r="J190" s="69"/>
      <c r="K190" s="69">
        <v>1</v>
      </c>
      <c r="L190" s="69">
        <v>7</v>
      </c>
      <c r="M190" s="69">
        <v>2</v>
      </c>
      <c r="N190" s="68"/>
      <c r="O190" s="68"/>
      <c r="P190" s="68"/>
      <c r="Q190" s="68">
        <v>2</v>
      </c>
      <c r="R190" s="68"/>
      <c r="S190" s="68">
        <v>3</v>
      </c>
      <c r="T190" s="68"/>
      <c r="U190" s="68"/>
      <c r="V190" s="68"/>
      <c r="W190" s="68">
        <v>4</v>
      </c>
      <c r="X190" s="68"/>
      <c r="Y190" s="68">
        <v>1</v>
      </c>
      <c r="Z190" s="68">
        <v>4</v>
      </c>
      <c r="AA190" s="68"/>
      <c r="AB190" s="68"/>
      <c r="AC190" s="68"/>
      <c r="AD190" s="68"/>
      <c r="AE190" s="68"/>
      <c r="AF190" s="67"/>
      <c r="AG190" s="64">
        <f t="shared" si="29"/>
        <v>35</v>
      </c>
    </row>
    <row r="191" spans="1:34" ht="18.75" x14ac:dyDescent="0.25">
      <c r="A191" s="66" t="s">
        <v>35</v>
      </c>
      <c r="B191" s="283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8"/>
      <c r="O191" s="68"/>
      <c r="P191" s="68"/>
      <c r="Q191" s="68"/>
      <c r="R191" s="68"/>
      <c r="S191" s="68">
        <v>1</v>
      </c>
      <c r="T191" s="68"/>
      <c r="U191" s="68"/>
      <c r="V191" s="68"/>
      <c r="W191" s="68"/>
      <c r="X191" s="68"/>
      <c r="Y191" s="68"/>
      <c r="Z191" s="68"/>
      <c r="AA191" s="68"/>
      <c r="AB191" s="68"/>
      <c r="AC191" s="68"/>
      <c r="AD191" s="68"/>
      <c r="AE191" s="68"/>
      <c r="AF191" s="67"/>
      <c r="AG191" s="64">
        <f t="shared" si="29"/>
        <v>1</v>
      </c>
    </row>
    <row r="192" spans="1:34" ht="18.75" x14ac:dyDescent="0.25">
      <c r="A192" s="66" t="s">
        <v>34</v>
      </c>
      <c r="B192" s="283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  <c r="AA192" s="68"/>
      <c r="AB192" s="68"/>
      <c r="AC192" s="68"/>
      <c r="AD192" s="68"/>
      <c r="AE192" s="68"/>
      <c r="AF192" s="67"/>
      <c r="AG192" s="64">
        <f t="shared" si="29"/>
        <v>0</v>
      </c>
    </row>
    <row r="193" spans="1:34" ht="18.75" x14ac:dyDescent="0.25">
      <c r="A193" s="66" t="s">
        <v>33</v>
      </c>
      <c r="B193" s="283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  <c r="AA193" s="68"/>
      <c r="AB193" s="68"/>
      <c r="AC193" s="68"/>
      <c r="AD193" s="68"/>
      <c r="AE193" s="68"/>
      <c r="AF193" s="67"/>
      <c r="AG193" s="64">
        <f t="shared" si="29"/>
        <v>0</v>
      </c>
    </row>
    <row r="194" spans="1:34" ht="18.75" x14ac:dyDescent="0.25">
      <c r="A194" s="66" t="s">
        <v>32</v>
      </c>
      <c r="B194" s="283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  <c r="AA194" s="68"/>
      <c r="AB194" s="68"/>
      <c r="AC194" s="68"/>
      <c r="AD194" s="68"/>
      <c r="AE194" s="68"/>
      <c r="AF194" s="67"/>
      <c r="AG194" s="64">
        <f t="shared" si="29"/>
        <v>0</v>
      </c>
    </row>
    <row r="195" spans="1:34" ht="18.75" x14ac:dyDescent="0.25">
      <c r="A195" s="75" t="s">
        <v>31</v>
      </c>
      <c r="B195" s="285">
        <v>1</v>
      </c>
      <c r="C195" s="74"/>
      <c r="D195" s="74">
        <v>1</v>
      </c>
      <c r="E195" s="74"/>
      <c r="F195" s="74">
        <v>3</v>
      </c>
      <c r="G195" s="74"/>
      <c r="H195" s="74">
        <v>1</v>
      </c>
      <c r="I195" s="74"/>
      <c r="J195" s="74">
        <v>1</v>
      </c>
      <c r="K195" s="74"/>
      <c r="L195" s="74"/>
      <c r="M195" s="74"/>
      <c r="N195" s="73">
        <v>2</v>
      </c>
      <c r="O195" s="73">
        <v>1</v>
      </c>
      <c r="P195" s="73"/>
      <c r="Q195" s="73"/>
      <c r="R195" s="73"/>
      <c r="S195" s="73"/>
      <c r="T195" s="73"/>
      <c r="U195" s="73">
        <v>3</v>
      </c>
      <c r="V195" s="73">
        <v>2</v>
      </c>
      <c r="W195" s="73"/>
      <c r="X195" s="73"/>
      <c r="Y195" s="73"/>
      <c r="Z195" s="73"/>
      <c r="AA195" s="73">
        <v>3</v>
      </c>
      <c r="AB195" s="73"/>
      <c r="AC195" s="73">
        <v>1</v>
      </c>
      <c r="AD195" s="73">
        <v>1</v>
      </c>
      <c r="AE195" s="73"/>
      <c r="AF195" s="72">
        <v>2</v>
      </c>
      <c r="AG195" s="71">
        <f t="shared" si="29"/>
        <v>22</v>
      </c>
    </row>
    <row r="196" spans="1:34" ht="18.75" x14ac:dyDescent="0.25">
      <c r="A196" s="70" t="s">
        <v>30</v>
      </c>
      <c r="B196" s="283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  <c r="AB196" s="68"/>
      <c r="AC196" s="68"/>
      <c r="AD196" s="68"/>
      <c r="AE196" s="68"/>
      <c r="AF196" s="67"/>
      <c r="AG196" s="64">
        <f t="shared" si="29"/>
        <v>0</v>
      </c>
    </row>
    <row r="197" spans="1:34" ht="18.75" x14ac:dyDescent="0.25">
      <c r="A197" s="70" t="s">
        <v>29</v>
      </c>
      <c r="B197" s="283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  <c r="AA197" s="68"/>
      <c r="AB197" s="68"/>
      <c r="AC197" s="68"/>
      <c r="AD197" s="68"/>
      <c r="AE197" s="68"/>
      <c r="AF197" s="67"/>
      <c r="AG197" s="64">
        <f t="shared" si="29"/>
        <v>0</v>
      </c>
    </row>
    <row r="198" spans="1:34" ht="18.75" x14ac:dyDescent="0.25">
      <c r="A198" s="70" t="s">
        <v>28</v>
      </c>
      <c r="B198" s="283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  <c r="AA198" s="68"/>
      <c r="AB198" s="68"/>
      <c r="AC198" s="68"/>
      <c r="AD198" s="68"/>
      <c r="AE198" s="68"/>
      <c r="AF198" s="67"/>
      <c r="AG198" s="64">
        <f t="shared" si="29"/>
        <v>0</v>
      </c>
    </row>
    <row r="199" spans="1:34" ht="18.75" x14ac:dyDescent="0.25">
      <c r="A199" s="70" t="s">
        <v>27</v>
      </c>
      <c r="B199" s="283"/>
      <c r="C199" s="69"/>
      <c r="D199" s="69"/>
      <c r="E199" s="69"/>
      <c r="F199" s="69">
        <v>2</v>
      </c>
      <c r="G199" s="69"/>
      <c r="H199" s="69"/>
      <c r="I199" s="69"/>
      <c r="J199" s="69"/>
      <c r="K199" s="69"/>
      <c r="L199" s="69"/>
      <c r="M199" s="69"/>
      <c r="N199" s="68"/>
      <c r="O199" s="68"/>
      <c r="P199" s="68"/>
      <c r="Q199" s="68"/>
      <c r="R199" s="68"/>
      <c r="S199" s="68"/>
      <c r="T199" s="68"/>
      <c r="U199" s="68"/>
      <c r="V199" s="68">
        <v>1</v>
      </c>
      <c r="W199" s="68"/>
      <c r="X199" s="68"/>
      <c r="Y199" s="68"/>
      <c r="Z199" s="68"/>
      <c r="AA199" s="68"/>
      <c r="AB199" s="68"/>
      <c r="AC199" s="68"/>
      <c r="AD199" s="68"/>
      <c r="AE199" s="68"/>
      <c r="AF199" s="67"/>
      <c r="AG199" s="64">
        <f t="shared" si="29"/>
        <v>3</v>
      </c>
    </row>
    <row r="200" spans="1:34" ht="18.75" x14ac:dyDescent="0.25">
      <c r="A200" s="70" t="s">
        <v>26</v>
      </c>
      <c r="B200" s="283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  <c r="AA200" s="68"/>
      <c r="AB200" s="68"/>
      <c r="AC200" s="68"/>
      <c r="AD200" s="68"/>
      <c r="AE200" s="68"/>
      <c r="AF200" s="67"/>
      <c r="AG200" s="64">
        <f t="shared" si="29"/>
        <v>0</v>
      </c>
    </row>
    <row r="201" spans="1:34" ht="18.75" x14ac:dyDescent="0.25">
      <c r="A201" s="70" t="s">
        <v>25</v>
      </c>
      <c r="B201" s="283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8"/>
      <c r="O201" s="68"/>
      <c r="P201" s="68"/>
      <c r="Q201" s="68"/>
      <c r="R201" s="68"/>
      <c r="S201" s="68">
        <v>2</v>
      </c>
      <c r="T201" s="68"/>
      <c r="U201" s="68"/>
      <c r="V201" s="68"/>
      <c r="W201" s="68"/>
      <c r="X201" s="68"/>
      <c r="Y201" s="68"/>
      <c r="Z201" s="68">
        <v>1</v>
      </c>
      <c r="AA201" s="68"/>
      <c r="AB201" s="68"/>
      <c r="AC201" s="68"/>
      <c r="AD201" s="68"/>
      <c r="AE201" s="68"/>
      <c r="AF201" s="67"/>
      <c r="AG201" s="64">
        <f t="shared" si="29"/>
        <v>3</v>
      </c>
    </row>
    <row r="202" spans="1:34" ht="18.75" x14ac:dyDescent="0.25">
      <c r="A202" s="66" t="s">
        <v>24</v>
      </c>
      <c r="B202" s="283"/>
      <c r="C202" s="69"/>
      <c r="D202" s="69"/>
      <c r="E202" s="69"/>
      <c r="F202" s="69"/>
      <c r="G202" s="69"/>
      <c r="H202" s="69"/>
      <c r="I202" s="69"/>
      <c r="J202" s="69"/>
      <c r="K202" s="69"/>
      <c r="L202" s="69">
        <v>2</v>
      </c>
      <c r="M202" s="69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>
        <v>1</v>
      </c>
      <c r="AA202" s="68"/>
      <c r="AB202" s="68"/>
      <c r="AC202" s="68"/>
      <c r="AD202" s="68"/>
      <c r="AE202" s="68"/>
      <c r="AF202" s="67"/>
      <c r="AG202" s="64">
        <f t="shared" si="29"/>
        <v>3</v>
      </c>
    </row>
    <row r="203" spans="1:34" ht="18.75" x14ac:dyDescent="0.25">
      <c r="A203" s="66" t="s">
        <v>23</v>
      </c>
      <c r="B203" s="283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  <c r="AA203" s="68"/>
      <c r="AB203" s="68"/>
      <c r="AC203" s="68"/>
      <c r="AD203" s="68"/>
      <c r="AE203" s="68"/>
      <c r="AF203" s="67"/>
      <c r="AG203" s="64">
        <f t="shared" si="29"/>
        <v>0</v>
      </c>
    </row>
    <row r="204" spans="1:34" ht="18.75" x14ac:dyDescent="0.25">
      <c r="A204" s="66" t="s">
        <v>22</v>
      </c>
      <c r="B204" s="283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8"/>
      <c r="O204" s="68"/>
      <c r="P204" s="68"/>
      <c r="Q204" s="68">
        <v>1</v>
      </c>
      <c r="R204" s="68"/>
      <c r="S204" s="68"/>
      <c r="T204" s="68"/>
      <c r="U204" s="68"/>
      <c r="V204" s="68"/>
      <c r="W204" s="68"/>
      <c r="X204" s="68">
        <v>1</v>
      </c>
      <c r="Y204" s="68"/>
      <c r="Z204" s="68"/>
      <c r="AA204" s="68"/>
      <c r="AB204" s="68"/>
      <c r="AC204" s="68"/>
      <c r="AD204" s="68"/>
      <c r="AE204" s="68"/>
      <c r="AF204" s="67"/>
      <c r="AG204" s="64">
        <f t="shared" si="29"/>
        <v>2</v>
      </c>
    </row>
    <row r="205" spans="1:34" ht="18.75" x14ac:dyDescent="0.25">
      <c r="A205" s="66" t="s">
        <v>21</v>
      </c>
      <c r="B205" s="286">
        <v>3</v>
      </c>
      <c r="C205" s="62"/>
      <c r="D205" s="62"/>
      <c r="E205" s="62"/>
      <c r="F205" s="62">
        <v>1</v>
      </c>
      <c r="G205" s="62">
        <v>1</v>
      </c>
      <c r="H205" s="62"/>
      <c r="I205" s="62"/>
      <c r="J205" s="62">
        <v>1</v>
      </c>
      <c r="K205" s="62">
        <v>1</v>
      </c>
      <c r="L205" s="62"/>
      <c r="M205" s="62">
        <v>2</v>
      </c>
      <c r="N205" s="61">
        <v>1</v>
      </c>
      <c r="O205" s="61">
        <v>1</v>
      </c>
      <c r="P205" s="61"/>
      <c r="Q205" s="61">
        <v>1</v>
      </c>
      <c r="R205" s="61">
        <v>1</v>
      </c>
      <c r="S205" s="61"/>
      <c r="T205" s="61"/>
      <c r="U205" s="61"/>
      <c r="V205" s="61"/>
      <c r="W205" s="61"/>
      <c r="X205" s="61">
        <v>1</v>
      </c>
      <c r="Y205" s="61">
        <v>1</v>
      </c>
      <c r="Z205" s="61"/>
      <c r="AA205" s="61">
        <v>1</v>
      </c>
      <c r="AB205" s="61">
        <v>1</v>
      </c>
      <c r="AC205" s="61"/>
      <c r="AD205" s="61"/>
      <c r="AE205" s="61">
        <v>1</v>
      </c>
      <c r="AF205" s="60"/>
      <c r="AG205" s="64">
        <f t="shared" si="29"/>
        <v>18</v>
      </c>
    </row>
    <row r="206" spans="1:34" ht="18.75" x14ac:dyDescent="0.25">
      <c r="A206" s="65" t="s">
        <v>20</v>
      </c>
      <c r="B206" s="286">
        <v>1</v>
      </c>
      <c r="C206" s="62"/>
      <c r="D206" s="62"/>
      <c r="E206" s="62"/>
      <c r="F206" s="62"/>
      <c r="G206" s="62"/>
      <c r="H206" s="62"/>
      <c r="I206" s="62"/>
      <c r="J206" s="62"/>
      <c r="K206" s="62">
        <v>1</v>
      </c>
      <c r="L206" s="62"/>
      <c r="M206" s="62">
        <v>1</v>
      </c>
      <c r="N206" s="61"/>
      <c r="O206" s="61"/>
      <c r="P206" s="61"/>
      <c r="Q206" s="61"/>
      <c r="R206" s="61"/>
      <c r="S206" s="61"/>
      <c r="T206" s="61"/>
      <c r="U206" s="61"/>
      <c r="V206" s="61">
        <v>1</v>
      </c>
      <c r="W206" s="61"/>
      <c r="X206" s="61"/>
      <c r="Y206" s="61"/>
      <c r="Z206" s="61"/>
      <c r="AA206" s="61"/>
      <c r="AB206" s="61"/>
      <c r="AC206" s="61"/>
      <c r="AD206" s="61">
        <v>1</v>
      </c>
      <c r="AE206" s="61"/>
      <c r="AF206" s="60"/>
      <c r="AG206" s="64">
        <f t="shared" si="29"/>
        <v>5</v>
      </c>
    </row>
    <row r="207" spans="1:34" ht="19.5" thickBot="1" x14ac:dyDescent="0.3">
      <c r="A207" s="63" t="s">
        <v>19</v>
      </c>
      <c r="B207" s="286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  <c r="AB207" s="61"/>
      <c r="AC207" s="61"/>
      <c r="AD207" s="61"/>
      <c r="AE207" s="61"/>
      <c r="AF207" s="60"/>
      <c r="AG207" s="10">
        <f t="shared" si="29"/>
        <v>0</v>
      </c>
    </row>
    <row r="208" spans="1:34" ht="19.5" thickBot="1" x14ac:dyDescent="0.3">
      <c r="A208" s="59" t="s">
        <v>18</v>
      </c>
      <c r="B208" s="287">
        <f t="shared" ref="B208:AF208" si="31">SUM(B209:B213)</f>
        <v>160</v>
      </c>
      <c r="C208" s="57">
        <f t="shared" si="31"/>
        <v>118</v>
      </c>
      <c r="D208" s="57">
        <f t="shared" si="31"/>
        <v>151</v>
      </c>
      <c r="E208" s="57">
        <f t="shared" si="31"/>
        <v>130</v>
      </c>
      <c r="F208" s="57">
        <f t="shared" si="31"/>
        <v>124</v>
      </c>
      <c r="G208" s="57">
        <f t="shared" si="31"/>
        <v>149</v>
      </c>
      <c r="H208" s="57">
        <f t="shared" si="31"/>
        <v>158</v>
      </c>
      <c r="I208" s="57">
        <f t="shared" si="31"/>
        <v>150</v>
      </c>
      <c r="J208" s="57">
        <f t="shared" si="31"/>
        <v>139</v>
      </c>
      <c r="K208" s="57">
        <f t="shared" si="31"/>
        <v>147</v>
      </c>
      <c r="L208" s="57">
        <f t="shared" si="31"/>
        <v>143</v>
      </c>
      <c r="M208" s="57">
        <f t="shared" si="31"/>
        <v>137</v>
      </c>
      <c r="N208" s="56">
        <f t="shared" si="31"/>
        <v>167</v>
      </c>
      <c r="O208" s="56">
        <f t="shared" si="31"/>
        <v>159</v>
      </c>
      <c r="P208" s="56">
        <f t="shared" si="31"/>
        <v>140</v>
      </c>
      <c r="Q208" s="56">
        <f t="shared" si="31"/>
        <v>151</v>
      </c>
      <c r="R208" s="56">
        <f t="shared" si="31"/>
        <v>136</v>
      </c>
      <c r="S208" s="56">
        <f t="shared" si="31"/>
        <v>124</v>
      </c>
      <c r="T208" s="56">
        <f t="shared" si="31"/>
        <v>121</v>
      </c>
      <c r="U208" s="56">
        <f t="shared" si="31"/>
        <v>164</v>
      </c>
      <c r="V208" s="56">
        <f t="shared" si="31"/>
        <v>143</v>
      </c>
      <c r="W208" s="56">
        <f t="shared" si="31"/>
        <v>171</v>
      </c>
      <c r="X208" s="56">
        <f t="shared" si="31"/>
        <v>152</v>
      </c>
      <c r="Y208" s="56">
        <f t="shared" si="31"/>
        <v>133</v>
      </c>
      <c r="Z208" s="56">
        <f t="shared" si="31"/>
        <v>155</v>
      </c>
      <c r="AA208" s="56">
        <f t="shared" si="31"/>
        <v>153</v>
      </c>
      <c r="AB208" s="56">
        <f t="shared" si="31"/>
        <v>114</v>
      </c>
      <c r="AC208" s="56">
        <f t="shared" si="31"/>
        <v>158</v>
      </c>
      <c r="AD208" s="56">
        <f t="shared" si="31"/>
        <v>162</v>
      </c>
      <c r="AE208" s="56">
        <f t="shared" si="31"/>
        <v>120</v>
      </c>
      <c r="AF208" s="55">
        <f t="shared" si="31"/>
        <v>119</v>
      </c>
      <c r="AG208" s="54">
        <f t="shared" si="29"/>
        <v>4448</v>
      </c>
      <c r="AH208" s="53" t="str">
        <f>IF(AG208&lt;&gt;AG93,"X","")</f>
        <v/>
      </c>
    </row>
    <row r="209" spans="1:34" ht="18.75" x14ac:dyDescent="0.25">
      <c r="A209" s="344" t="s">
        <v>17</v>
      </c>
      <c r="B209" s="288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  <c r="AA209" s="50"/>
      <c r="AB209" s="50"/>
      <c r="AC209" s="50"/>
      <c r="AD209" s="50"/>
      <c r="AE209" s="50"/>
      <c r="AF209" s="49"/>
      <c r="AG209" s="48">
        <f t="shared" si="29"/>
        <v>0</v>
      </c>
    </row>
    <row r="210" spans="1:34" ht="18.75" x14ac:dyDescent="0.25">
      <c r="A210" s="345" t="s">
        <v>16</v>
      </c>
      <c r="B210" s="289">
        <v>1</v>
      </c>
      <c r="C210" s="46"/>
      <c r="D210" s="46">
        <v>1</v>
      </c>
      <c r="E210" s="46">
        <v>1</v>
      </c>
      <c r="F210" s="46">
        <v>1</v>
      </c>
      <c r="G210" s="46"/>
      <c r="H210" s="46">
        <v>1</v>
      </c>
      <c r="I210" s="46"/>
      <c r="J210" s="46">
        <v>1</v>
      </c>
      <c r="K210" s="46"/>
      <c r="L210" s="46">
        <v>1</v>
      </c>
      <c r="M210" s="46"/>
      <c r="N210" s="45"/>
      <c r="O210" s="45"/>
      <c r="P210" s="45">
        <v>1</v>
      </c>
      <c r="Q210" s="45"/>
      <c r="R210" s="45"/>
      <c r="S210" s="45">
        <v>1</v>
      </c>
      <c r="T210" s="45">
        <v>1</v>
      </c>
      <c r="U210" s="45"/>
      <c r="V210" s="45">
        <v>1</v>
      </c>
      <c r="W210" s="45"/>
      <c r="X210" s="45">
        <v>1</v>
      </c>
      <c r="Y210" s="45">
        <v>1</v>
      </c>
      <c r="Z210" s="45">
        <v>2</v>
      </c>
      <c r="AA210" s="45">
        <v>1</v>
      </c>
      <c r="AB210" s="45"/>
      <c r="AC210" s="45">
        <v>2</v>
      </c>
      <c r="AD210" s="45">
        <v>2</v>
      </c>
      <c r="AE210" s="45"/>
      <c r="AF210" s="44">
        <v>1</v>
      </c>
      <c r="AG210" s="43">
        <f t="shared" si="29"/>
        <v>21</v>
      </c>
    </row>
    <row r="211" spans="1:34" ht="18.75" x14ac:dyDescent="0.25">
      <c r="A211" s="345" t="s">
        <v>15</v>
      </c>
      <c r="B211" s="289">
        <v>10</v>
      </c>
      <c r="C211" s="46">
        <v>7</v>
      </c>
      <c r="D211" s="46">
        <v>17</v>
      </c>
      <c r="E211" s="46">
        <v>11</v>
      </c>
      <c r="F211" s="46">
        <v>11</v>
      </c>
      <c r="G211" s="46">
        <v>15</v>
      </c>
      <c r="H211" s="46">
        <v>11</v>
      </c>
      <c r="I211" s="46">
        <v>9</v>
      </c>
      <c r="J211" s="46">
        <v>11</v>
      </c>
      <c r="K211" s="46">
        <v>21</v>
      </c>
      <c r="L211" s="46">
        <v>12</v>
      </c>
      <c r="M211" s="46">
        <v>8</v>
      </c>
      <c r="N211" s="45">
        <v>21</v>
      </c>
      <c r="O211" s="45">
        <v>23</v>
      </c>
      <c r="P211" s="45">
        <v>14</v>
      </c>
      <c r="Q211" s="45">
        <v>10</v>
      </c>
      <c r="R211" s="45">
        <v>13</v>
      </c>
      <c r="S211" s="45">
        <v>5</v>
      </c>
      <c r="T211" s="45">
        <v>11</v>
      </c>
      <c r="U211" s="45">
        <v>20</v>
      </c>
      <c r="V211" s="45">
        <v>17</v>
      </c>
      <c r="W211" s="45">
        <v>19</v>
      </c>
      <c r="X211" s="45">
        <v>17</v>
      </c>
      <c r="Y211" s="45">
        <v>10</v>
      </c>
      <c r="Z211" s="45">
        <v>10</v>
      </c>
      <c r="AA211" s="45">
        <v>18</v>
      </c>
      <c r="AB211" s="45">
        <v>13</v>
      </c>
      <c r="AC211" s="45">
        <v>16</v>
      </c>
      <c r="AD211" s="45">
        <v>7</v>
      </c>
      <c r="AE211" s="45">
        <v>4</v>
      </c>
      <c r="AF211" s="44">
        <v>15</v>
      </c>
      <c r="AG211" s="43">
        <f t="shared" ref="AG211:AG223" si="32">SUM(B211:AF211)</f>
        <v>406</v>
      </c>
    </row>
    <row r="212" spans="1:34" ht="18.75" x14ac:dyDescent="0.25">
      <c r="A212" s="345" t="s">
        <v>14</v>
      </c>
      <c r="B212" s="289">
        <v>79</v>
      </c>
      <c r="C212" s="46">
        <v>95</v>
      </c>
      <c r="D212" s="46">
        <v>103</v>
      </c>
      <c r="E212" s="46">
        <v>80</v>
      </c>
      <c r="F212" s="46">
        <v>98</v>
      </c>
      <c r="G212" s="46">
        <v>103</v>
      </c>
      <c r="H212" s="46">
        <v>120</v>
      </c>
      <c r="I212" s="46">
        <v>122</v>
      </c>
      <c r="J212" s="46">
        <v>86</v>
      </c>
      <c r="K212" s="46">
        <v>95</v>
      </c>
      <c r="L212" s="46">
        <v>111</v>
      </c>
      <c r="M212" s="46">
        <v>119</v>
      </c>
      <c r="N212" s="45">
        <v>103</v>
      </c>
      <c r="O212" s="45">
        <v>96</v>
      </c>
      <c r="P212" s="45">
        <v>100</v>
      </c>
      <c r="Q212" s="45">
        <v>123</v>
      </c>
      <c r="R212" s="45">
        <v>87</v>
      </c>
      <c r="S212" s="45">
        <v>99</v>
      </c>
      <c r="T212" s="45">
        <v>89</v>
      </c>
      <c r="U212" s="45">
        <v>111</v>
      </c>
      <c r="V212" s="45">
        <v>109</v>
      </c>
      <c r="W212" s="45">
        <v>128</v>
      </c>
      <c r="X212" s="45">
        <v>123</v>
      </c>
      <c r="Y212" s="45">
        <v>98</v>
      </c>
      <c r="Z212" s="45">
        <v>126</v>
      </c>
      <c r="AA212" s="45">
        <v>121</v>
      </c>
      <c r="AB212" s="45">
        <v>79</v>
      </c>
      <c r="AC212" s="45">
        <v>99</v>
      </c>
      <c r="AD212" s="45">
        <v>107</v>
      </c>
      <c r="AE212" s="45">
        <v>93</v>
      </c>
      <c r="AF212" s="44">
        <v>89</v>
      </c>
      <c r="AG212" s="43">
        <f t="shared" si="32"/>
        <v>3191</v>
      </c>
    </row>
    <row r="213" spans="1:34" ht="19.5" thickBot="1" x14ac:dyDescent="0.3">
      <c r="A213" s="346" t="s">
        <v>13</v>
      </c>
      <c r="B213" s="290">
        <v>70</v>
      </c>
      <c r="C213" s="41">
        <v>16</v>
      </c>
      <c r="D213" s="41">
        <v>30</v>
      </c>
      <c r="E213" s="41">
        <v>38</v>
      </c>
      <c r="F213" s="41">
        <v>14</v>
      </c>
      <c r="G213" s="41">
        <v>31</v>
      </c>
      <c r="H213" s="41">
        <v>26</v>
      </c>
      <c r="I213" s="41">
        <v>19</v>
      </c>
      <c r="J213" s="41">
        <v>41</v>
      </c>
      <c r="K213" s="41">
        <v>31</v>
      </c>
      <c r="L213" s="41">
        <v>19</v>
      </c>
      <c r="M213" s="41">
        <v>10</v>
      </c>
      <c r="N213" s="40">
        <v>43</v>
      </c>
      <c r="O213" s="40">
        <v>40</v>
      </c>
      <c r="P213" s="40">
        <v>25</v>
      </c>
      <c r="Q213" s="40">
        <v>18</v>
      </c>
      <c r="R213" s="40">
        <v>36</v>
      </c>
      <c r="S213" s="40">
        <v>19</v>
      </c>
      <c r="T213" s="40">
        <v>20</v>
      </c>
      <c r="U213" s="40">
        <v>33</v>
      </c>
      <c r="V213" s="40">
        <v>16</v>
      </c>
      <c r="W213" s="40">
        <v>24</v>
      </c>
      <c r="X213" s="40">
        <v>11</v>
      </c>
      <c r="Y213" s="40">
        <v>24</v>
      </c>
      <c r="Z213" s="40">
        <v>17</v>
      </c>
      <c r="AA213" s="40">
        <v>13</v>
      </c>
      <c r="AB213" s="40">
        <v>22</v>
      </c>
      <c r="AC213" s="40">
        <v>41</v>
      </c>
      <c r="AD213" s="40">
        <v>46</v>
      </c>
      <c r="AE213" s="40">
        <v>23</v>
      </c>
      <c r="AF213" s="39">
        <v>14</v>
      </c>
      <c r="AG213" s="38">
        <f t="shared" si="32"/>
        <v>830</v>
      </c>
    </row>
    <row r="214" spans="1:34" ht="19.5" thickBot="1" x14ac:dyDescent="0.3">
      <c r="A214" s="333" t="s">
        <v>12</v>
      </c>
      <c r="B214" s="291">
        <f t="shared" ref="B214:AF214" si="33">SUM(B215:B221)</f>
        <v>73</v>
      </c>
      <c r="C214" s="36">
        <f t="shared" si="33"/>
        <v>49</v>
      </c>
      <c r="D214" s="36">
        <f t="shared" si="33"/>
        <v>63</v>
      </c>
      <c r="E214" s="36">
        <f t="shared" si="33"/>
        <v>51</v>
      </c>
      <c r="F214" s="36">
        <f t="shared" si="33"/>
        <v>37</v>
      </c>
      <c r="G214" s="36">
        <f t="shared" si="33"/>
        <v>45</v>
      </c>
      <c r="H214" s="36">
        <f t="shared" si="33"/>
        <v>52</v>
      </c>
      <c r="I214" s="36">
        <f t="shared" si="33"/>
        <v>65</v>
      </c>
      <c r="J214" s="36">
        <f t="shared" si="33"/>
        <v>62</v>
      </c>
      <c r="K214" s="36">
        <f t="shared" si="33"/>
        <v>60</v>
      </c>
      <c r="L214" s="36">
        <f t="shared" si="33"/>
        <v>63</v>
      </c>
      <c r="M214" s="36">
        <f t="shared" si="33"/>
        <v>42</v>
      </c>
      <c r="N214" s="35">
        <f t="shared" si="33"/>
        <v>43</v>
      </c>
      <c r="O214" s="35">
        <f t="shared" si="33"/>
        <v>55</v>
      </c>
      <c r="P214" s="35">
        <f t="shared" si="33"/>
        <v>61</v>
      </c>
      <c r="Q214" s="35">
        <f t="shared" si="33"/>
        <v>76</v>
      </c>
      <c r="R214" s="35">
        <f t="shared" si="33"/>
        <v>60</v>
      </c>
      <c r="S214" s="35">
        <f t="shared" si="33"/>
        <v>71</v>
      </c>
      <c r="T214" s="35">
        <f t="shared" si="33"/>
        <v>60</v>
      </c>
      <c r="U214" s="35">
        <f t="shared" si="33"/>
        <v>52</v>
      </c>
      <c r="V214" s="35">
        <f t="shared" si="33"/>
        <v>71</v>
      </c>
      <c r="W214" s="35">
        <f t="shared" si="33"/>
        <v>93</v>
      </c>
      <c r="X214" s="35">
        <f t="shared" si="33"/>
        <v>81</v>
      </c>
      <c r="Y214" s="35">
        <f t="shared" si="33"/>
        <v>69</v>
      </c>
      <c r="Z214" s="35">
        <f t="shared" si="33"/>
        <v>80</v>
      </c>
      <c r="AA214" s="35">
        <f t="shared" si="33"/>
        <v>85</v>
      </c>
      <c r="AB214" s="35">
        <f t="shared" si="33"/>
        <v>35</v>
      </c>
      <c r="AC214" s="35">
        <f t="shared" si="33"/>
        <v>77</v>
      </c>
      <c r="AD214" s="35">
        <f t="shared" si="33"/>
        <v>99</v>
      </c>
      <c r="AE214" s="35">
        <f t="shared" si="33"/>
        <v>79</v>
      </c>
      <c r="AF214" s="34">
        <f t="shared" si="33"/>
        <v>57</v>
      </c>
      <c r="AG214" s="33">
        <f t="shared" si="32"/>
        <v>1966</v>
      </c>
    </row>
    <row r="215" spans="1:34" ht="18.75" x14ac:dyDescent="0.25">
      <c r="A215" s="81" t="s">
        <v>11</v>
      </c>
      <c r="B215" s="292">
        <v>53</v>
      </c>
      <c r="C215" s="31">
        <v>39</v>
      </c>
      <c r="D215" s="31">
        <v>38</v>
      </c>
      <c r="E215" s="31">
        <v>37</v>
      </c>
      <c r="F215" s="31">
        <v>31</v>
      </c>
      <c r="G215" s="31">
        <v>35</v>
      </c>
      <c r="H215" s="31">
        <v>42</v>
      </c>
      <c r="I215" s="31">
        <v>48</v>
      </c>
      <c r="J215" s="31">
        <v>50</v>
      </c>
      <c r="K215" s="31">
        <v>46</v>
      </c>
      <c r="L215" s="31">
        <v>50</v>
      </c>
      <c r="M215" s="31">
        <v>32</v>
      </c>
      <c r="N215" s="30">
        <v>31</v>
      </c>
      <c r="O215" s="30">
        <v>45</v>
      </c>
      <c r="P215" s="30">
        <v>44</v>
      </c>
      <c r="Q215" s="30">
        <v>60</v>
      </c>
      <c r="R215" s="30">
        <v>47</v>
      </c>
      <c r="S215" s="30">
        <v>48</v>
      </c>
      <c r="T215" s="30">
        <v>45</v>
      </c>
      <c r="U215" s="30">
        <v>43</v>
      </c>
      <c r="V215" s="30">
        <v>51</v>
      </c>
      <c r="W215" s="30">
        <v>77</v>
      </c>
      <c r="X215" s="30">
        <v>65</v>
      </c>
      <c r="Y215" s="30">
        <v>52</v>
      </c>
      <c r="Z215" s="30">
        <v>57</v>
      </c>
      <c r="AA215" s="30">
        <v>58</v>
      </c>
      <c r="AB215" s="30">
        <v>29</v>
      </c>
      <c r="AC215" s="30">
        <v>55</v>
      </c>
      <c r="AD215" s="30">
        <v>74</v>
      </c>
      <c r="AE215" s="30">
        <v>69</v>
      </c>
      <c r="AF215" s="29">
        <v>45</v>
      </c>
      <c r="AG215" s="28">
        <f t="shared" si="32"/>
        <v>1496</v>
      </c>
    </row>
    <row r="216" spans="1:34" ht="18.75" x14ac:dyDescent="0.25">
      <c r="A216" s="347" t="s">
        <v>10</v>
      </c>
      <c r="B216" s="293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>
        <v>1</v>
      </c>
      <c r="N216" s="24"/>
      <c r="O216" s="24"/>
      <c r="P216" s="24"/>
      <c r="Q216" s="24"/>
      <c r="R216" s="24">
        <v>1</v>
      </c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>
        <v>1</v>
      </c>
      <c r="AD216" s="24"/>
      <c r="AE216" s="24"/>
      <c r="AF216" s="23">
        <v>1</v>
      </c>
      <c r="AG216" s="21">
        <f t="shared" si="32"/>
        <v>4</v>
      </c>
    </row>
    <row r="217" spans="1:34" ht="18.75" x14ac:dyDescent="0.25">
      <c r="A217" s="348" t="s">
        <v>9</v>
      </c>
      <c r="B217" s="293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>
        <v>2</v>
      </c>
      <c r="Z217" s="24"/>
      <c r="AA217" s="24"/>
      <c r="AB217" s="24"/>
      <c r="AC217" s="24"/>
      <c r="AD217" s="24"/>
      <c r="AE217" s="24"/>
      <c r="AF217" s="23"/>
      <c r="AG217" s="21">
        <f t="shared" si="32"/>
        <v>2</v>
      </c>
    </row>
    <row r="218" spans="1:34" ht="18.75" x14ac:dyDescent="0.25">
      <c r="A218" s="348" t="s">
        <v>150</v>
      </c>
      <c r="B218" s="293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3"/>
      <c r="AG218" s="21">
        <f t="shared" si="32"/>
        <v>0</v>
      </c>
    </row>
    <row r="219" spans="1:34" ht="18.75" x14ac:dyDescent="0.25">
      <c r="A219" s="348" t="s">
        <v>154</v>
      </c>
      <c r="B219" s="293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3"/>
      <c r="AG219" s="21">
        <f t="shared" si="32"/>
        <v>0</v>
      </c>
    </row>
    <row r="220" spans="1:34" ht="18.75" x14ac:dyDescent="0.25">
      <c r="A220" s="348" t="s">
        <v>8</v>
      </c>
      <c r="B220" s="293">
        <v>1</v>
      </c>
      <c r="C220" s="25"/>
      <c r="D220" s="25"/>
      <c r="E220" s="25"/>
      <c r="F220" s="25"/>
      <c r="G220" s="25">
        <v>1</v>
      </c>
      <c r="H220" s="25"/>
      <c r="I220" s="25">
        <v>1</v>
      </c>
      <c r="J220" s="25"/>
      <c r="K220" s="25">
        <v>1</v>
      </c>
      <c r="L220" s="25"/>
      <c r="M220" s="25"/>
      <c r="N220" s="24">
        <v>1</v>
      </c>
      <c r="O220" s="24">
        <v>2</v>
      </c>
      <c r="P220" s="24">
        <v>1</v>
      </c>
      <c r="Q220" s="24"/>
      <c r="R220" s="24"/>
      <c r="S220" s="24"/>
      <c r="T220" s="24">
        <v>1</v>
      </c>
      <c r="U220" s="24">
        <v>1</v>
      </c>
      <c r="V220" s="24">
        <v>1</v>
      </c>
      <c r="W220" s="24">
        <v>1</v>
      </c>
      <c r="X220" s="24">
        <v>4</v>
      </c>
      <c r="Y220" s="24">
        <v>1</v>
      </c>
      <c r="Z220" s="24">
        <v>7</v>
      </c>
      <c r="AA220" s="24">
        <v>5</v>
      </c>
      <c r="AB220" s="24">
        <v>2</v>
      </c>
      <c r="AC220" s="24"/>
      <c r="AD220" s="24"/>
      <c r="AE220" s="24"/>
      <c r="AF220" s="23"/>
      <c r="AG220" s="21">
        <f t="shared" si="32"/>
        <v>31</v>
      </c>
    </row>
    <row r="221" spans="1:34" ht="19.5" thickBot="1" x14ac:dyDescent="0.3">
      <c r="A221" s="358" t="s">
        <v>7</v>
      </c>
      <c r="B221" s="356">
        <v>19</v>
      </c>
      <c r="C221" s="16">
        <v>10</v>
      </c>
      <c r="D221" s="16">
        <v>25</v>
      </c>
      <c r="E221" s="16">
        <v>14</v>
      </c>
      <c r="F221" s="16">
        <v>6</v>
      </c>
      <c r="G221" s="16">
        <v>9</v>
      </c>
      <c r="H221" s="16">
        <v>10</v>
      </c>
      <c r="I221" s="16">
        <v>16</v>
      </c>
      <c r="J221" s="16">
        <v>12</v>
      </c>
      <c r="K221" s="16">
        <v>13</v>
      </c>
      <c r="L221" s="16">
        <v>13</v>
      </c>
      <c r="M221" s="16">
        <v>9</v>
      </c>
      <c r="N221" s="15">
        <v>11</v>
      </c>
      <c r="O221" s="15">
        <v>8</v>
      </c>
      <c r="P221" s="15">
        <v>16</v>
      </c>
      <c r="Q221" s="15">
        <v>16</v>
      </c>
      <c r="R221" s="15">
        <v>12</v>
      </c>
      <c r="S221" s="15">
        <v>23</v>
      </c>
      <c r="T221" s="15">
        <v>14</v>
      </c>
      <c r="U221" s="15">
        <v>8</v>
      </c>
      <c r="V221" s="15">
        <v>19</v>
      </c>
      <c r="W221" s="15">
        <v>15</v>
      </c>
      <c r="X221" s="15">
        <v>12</v>
      </c>
      <c r="Y221" s="15">
        <v>14</v>
      </c>
      <c r="Z221" s="15">
        <v>16</v>
      </c>
      <c r="AA221" s="15">
        <v>22</v>
      </c>
      <c r="AB221" s="15">
        <v>4</v>
      </c>
      <c r="AC221" s="15">
        <v>21</v>
      </c>
      <c r="AD221" s="15">
        <v>25</v>
      </c>
      <c r="AE221" s="15">
        <v>10</v>
      </c>
      <c r="AF221" s="22">
        <v>11</v>
      </c>
      <c r="AG221" s="21">
        <f t="shared" si="32"/>
        <v>433</v>
      </c>
    </row>
    <row r="222" spans="1:34" ht="18.75" x14ac:dyDescent="0.25">
      <c r="A222" s="332" t="s">
        <v>6</v>
      </c>
      <c r="B222" s="357">
        <v>73</v>
      </c>
      <c r="C222" s="19">
        <v>49</v>
      </c>
      <c r="D222" s="19">
        <v>63</v>
      </c>
      <c r="E222" s="19">
        <v>49</v>
      </c>
      <c r="F222" s="19">
        <v>37</v>
      </c>
      <c r="G222" s="19">
        <v>45</v>
      </c>
      <c r="H222" s="19">
        <v>52</v>
      </c>
      <c r="I222" s="19">
        <v>65</v>
      </c>
      <c r="J222" s="19">
        <v>62</v>
      </c>
      <c r="K222" s="19">
        <v>60</v>
      </c>
      <c r="L222" s="19">
        <v>63</v>
      </c>
      <c r="M222" s="19">
        <v>42</v>
      </c>
      <c r="N222" s="18">
        <v>43</v>
      </c>
      <c r="O222" s="18">
        <v>55</v>
      </c>
      <c r="P222" s="18">
        <v>61</v>
      </c>
      <c r="Q222" s="18">
        <v>76</v>
      </c>
      <c r="R222" s="18">
        <v>60</v>
      </c>
      <c r="S222" s="18">
        <v>71</v>
      </c>
      <c r="T222" s="18">
        <v>60</v>
      </c>
      <c r="U222" s="18">
        <v>52</v>
      </c>
      <c r="V222" s="18">
        <v>71</v>
      </c>
      <c r="W222" s="18">
        <v>90</v>
      </c>
      <c r="X222" s="18">
        <v>81</v>
      </c>
      <c r="Y222" s="18">
        <v>73</v>
      </c>
      <c r="Z222" s="18">
        <v>80</v>
      </c>
      <c r="AA222" s="18">
        <v>85</v>
      </c>
      <c r="AB222" s="18">
        <v>35</v>
      </c>
      <c r="AC222" s="18">
        <v>76</v>
      </c>
      <c r="AD222" s="18">
        <v>97</v>
      </c>
      <c r="AE222" s="18">
        <v>79</v>
      </c>
      <c r="AF222" s="17">
        <v>57</v>
      </c>
      <c r="AG222" s="7">
        <f t="shared" si="32"/>
        <v>1962</v>
      </c>
    </row>
    <row r="223" spans="1:34" ht="19.5" thickBot="1" x14ac:dyDescent="0.3">
      <c r="A223" s="358" t="s">
        <v>5</v>
      </c>
      <c r="B223" s="356">
        <f t="shared" ref="B223:AF223" si="34">+B214-B222</f>
        <v>0</v>
      </c>
      <c r="C223" s="16">
        <f t="shared" si="34"/>
        <v>0</v>
      </c>
      <c r="D223" s="16">
        <f t="shared" si="34"/>
        <v>0</v>
      </c>
      <c r="E223" s="16">
        <f t="shared" si="34"/>
        <v>2</v>
      </c>
      <c r="F223" s="16">
        <f t="shared" si="34"/>
        <v>0</v>
      </c>
      <c r="G223" s="16">
        <f t="shared" si="34"/>
        <v>0</v>
      </c>
      <c r="H223" s="16">
        <f t="shared" si="34"/>
        <v>0</v>
      </c>
      <c r="I223" s="16">
        <f t="shared" si="34"/>
        <v>0</v>
      </c>
      <c r="J223" s="16">
        <f t="shared" si="34"/>
        <v>0</v>
      </c>
      <c r="K223" s="16">
        <f t="shared" si="34"/>
        <v>0</v>
      </c>
      <c r="L223" s="16">
        <f t="shared" si="34"/>
        <v>0</v>
      </c>
      <c r="M223" s="16">
        <f t="shared" si="34"/>
        <v>0</v>
      </c>
      <c r="N223" s="15">
        <f t="shared" si="34"/>
        <v>0</v>
      </c>
      <c r="O223" s="15">
        <f t="shared" si="34"/>
        <v>0</v>
      </c>
      <c r="P223" s="15">
        <f t="shared" si="34"/>
        <v>0</v>
      </c>
      <c r="Q223" s="15">
        <f t="shared" si="34"/>
        <v>0</v>
      </c>
      <c r="R223" s="15">
        <f t="shared" si="34"/>
        <v>0</v>
      </c>
      <c r="S223" s="15">
        <f t="shared" si="34"/>
        <v>0</v>
      </c>
      <c r="T223" s="15">
        <f t="shared" si="34"/>
        <v>0</v>
      </c>
      <c r="U223" s="15">
        <f t="shared" si="34"/>
        <v>0</v>
      </c>
      <c r="V223" s="15">
        <f t="shared" si="34"/>
        <v>0</v>
      </c>
      <c r="W223" s="15">
        <f t="shared" si="34"/>
        <v>3</v>
      </c>
      <c r="X223" s="15">
        <f t="shared" si="34"/>
        <v>0</v>
      </c>
      <c r="Y223" s="15">
        <f t="shared" si="34"/>
        <v>-4</v>
      </c>
      <c r="Z223" s="15">
        <f t="shared" si="34"/>
        <v>0</v>
      </c>
      <c r="AA223" s="15">
        <f t="shared" si="34"/>
        <v>0</v>
      </c>
      <c r="AB223" s="15">
        <f t="shared" si="34"/>
        <v>0</v>
      </c>
      <c r="AC223" s="15">
        <f t="shared" si="34"/>
        <v>1</v>
      </c>
      <c r="AD223" s="15">
        <f t="shared" si="34"/>
        <v>2</v>
      </c>
      <c r="AE223" s="15">
        <f t="shared" si="34"/>
        <v>0</v>
      </c>
      <c r="AF223" s="14">
        <f t="shared" si="34"/>
        <v>0</v>
      </c>
      <c r="AG223" s="13">
        <f t="shared" si="32"/>
        <v>4</v>
      </c>
    </row>
    <row r="224" spans="1:34" ht="18.75" x14ac:dyDescent="0.25">
      <c r="A224" s="351" t="s">
        <v>4</v>
      </c>
      <c r="B224" s="265">
        <v>6</v>
      </c>
      <c r="C224" s="8">
        <v>13</v>
      </c>
      <c r="D224" s="8">
        <v>7</v>
      </c>
      <c r="E224" s="8">
        <v>4</v>
      </c>
      <c r="F224" s="8">
        <v>8</v>
      </c>
      <c r="G224" s="8">
        <v>5</v>
      </c>
      <c r="H224" s="8">
        <v>1</v>
      </c>
      <c r="I224" s="8">
        <v>8</v>
      </c>
      <c r="J224" s="8">
        <v>8</v>
      </c>
      <c r="K224" s="8">
        <v>9</v>
      </c>
      <c r="L224" s="8">
        <v>7</v>
      </c>
      <c r="M224" s="8">
        <v>5</v>
      </c>
      <c r="N224" s="8">
        <v>9</v>
      </c>
      <c r="O224" s="8">
        <v>8</v>
      </c>
      <c r="P224" s="8">
        <v>5</v>
      </c>
      <c r="Q224" s="8">
        <v>11</v>
      </c>
      <c r="R224" s="8">
        <v>8</v>
      </c>
      <c r="S224" s="8">
        <v>5</v>
      </c>
      <c r="T224" s="8">
        <v>16</v>
      </c>
      <c r="U224" s="8">
        <v>11</v>
      </c>
      <c r="V224" s="8">
        <v>6</v>
      </c>
      <c r="W224" s="8">
        <v>11</v>
      </c>
      <c r="X224" s="8">
        <v>7</v>
      </c>
      <c r="Y224" s="8">
        <v>11</v>
      </c>
      <c r="Z224" s="8">
        <v>17</v>
      </c>
      <c r="AA224" s="8">
        <v>11</v>
      </c>
      <c r="AB224" s="8">
        <v>10</v>
      </c>
      <c r="AC224" s="8">
        <v>6</v>
      </c>
      <c r="AD224" s="8">
        <f t="shared" ref="AD224:AF224" si="35">SUM(AD225:AD227)</f>
        <v>19</v>
      </c>
      <c r="AE224" s="8">
        <f t="shared" si="35"/>
        <v>13</v>
      </c>
      <c r="AF224" s="8">
        <f t="shared" si="35"/>
        <v>6</v>
      </c>
      <c r="AG224" s="7">
        <f t="shared" ref="AG224:AG227" si="36">SUM(B224:AF224)</f>
        <v>271</v>
      </c>
      <c r="AH224" s="406" t="s">
        <v>3</v>
      </c>
    </row>
    <row r="225" spans="1:34" ht="18.75" x14ac:dyDescent="0.25">
      <c r="A225" s="352" t="s">
        <v>2</v>
      </c>
      <c r="B225" s="5">
        <v>5</v>
      </c>
      <c r="C225" s="3">
        <v>8</v>
      </c>
      <c r="D225" s="3">
        <v>4</v>
      </c>
      <c r="E225" s="3">
        <v>1</v>
      </c>
      <c r="F225" s="3">
        <v>3</v>
      </c>
      <c r="G225" s="3">
        <v>3</v>
      </c>
      <c r="H225" s="3">
        <v>0</v>
      </c>
      <c r="I225" s="3">
        <v>4</v>
      </c>
      <c r="J225" s="3">
        <v>4</v>
      </c>
      <c r="K225" s="3">
        <v>5</v>
      </c>
      <c r="L225" s="3">
        <v>5</v>
      </c>
      <c r="M225" s="3">
        <v>2</v>
      </c>
      <c r="N225" s="5">
        <v>8</v>
      </c>
      <c r="O225" s="3">
        <v>3</v>
      </c>
      <c r="P225" s="3">
        <v>2</v>
      </c>
      <c r="Q225" s="3">
        <v>8</v>
      </c>
      <c r="R225" s="3">
        <v>5</v>
      </c>
      <c r="S225" s="3">
        <v>2</v>
      </c>
      <c r="T225" s="3">
        <v>13</v>
      </c>
      <c r="U225" s="3">
        <v>7</v>
      </c>
      <c r="V225" s="3">
        <v>1</v>
      </c>
      <c r="W225" s="3">
        <v>6</v>
      </c>
      <c r="X225" s="3">
        <v>5</v>
      </c>
      <c r="Y225" s="3">
        <v>6</v>
      </c>
      <c r="Z225" s="4">
        <v>9</v>
      </c>
      <c r="AA225" s="3">
        <v>6</v>
      </c>
      <c r="AB225" s="3">
        <v>4</v>
      </c>
      <c r="AC225" s="3">
        <v>1</v>
      </c>
      <c r="AD225" s="3">
        <v>13</v>
      </c>
      <c r="AE225" s="3">
        <v>5</v>
      </c>
      <c r="AF225" s="2">
        <v>3</v>
      </c>
      <c r="AG225" s="1">
        <f t="shared" si="36"/>
        <v>151</v>
      </c>
      <c r="AH225" s="407"/>
    </row>
    <row r="226" spans="1:34" ht="18.75" x14ac:dyDescent="0.25">
      <c r="A226" s="352" t="s">
        <v>1</v>
      </c>
      <c r="B226" s="5">
        <v>1</v>
      </c>
      <c r="C226" s="3">
        <v>5</v>
      </c>
      <c r="D226" s="3">
        <v>3</v>
      </c>
      <c r="E226" s="3">
        <v>3</v>
      </c>
      <c r="F226" s="3">
        <v>5</v>
      </c>
      <c r="G226" s="3">
        <v>2</v>
      </c>
      <c r="H226" s="3">
        <v>1</v>
      </c>
      <c r="I226" s="3">
        <v>4</v>
      </c>
      <c r="J226" s="3">
        <v>4</v>
      </c>
      <c r="K226" s="3">
        <v>4</v>
      </c>
      <c r="L226" s="3">
        <v>2</v>
      </c>
      <c r="M226" s="3">
        <v>3</v>
      </c>
      <c r="N226" s="5">
        <v>2</v>
      </c>
      <c r="O226" s="3">
        <v>5</v>
      </c>
      <c r="P226" s="3">
        <v>3</v>
      </c>
      <c r="Q226" s="3">
        <v>3</v>
      </c>
      <c r="R226" s="3">
        <v>3</v>
      </c>
      <c r="S226" s="3">
        <v>3</v>
      </c>
      <c r="T226" s="3">
        <v>3</v>
      </c>
      <c r="U226" s="3">
        <v>4</v>
      </c>
      <c r="V226" s="3">
        <v>5</v>
      </c>
      <c r="W226" s="3">
        <v>5</v>
      </c>
      <c r="X226" s="3">
        <v>2</v>
      </c>
      <c r="Y226" s="3">
        <v>5</v>
      </c>
      <c r="Z226" s="4">
        <v>8</v>
      </c>
      <c r="AA226" s="3">
        <v>5</v>
      </c>
      <c r="AB226" s="3">
        <v>6</v>
      </c>
      <c r="AC226" s="3">
        <v>5</v>
      </c>
      <c r="AD226" s="3">
        <v>6</v>
      </c>
      <c r="AE226" s="3">
        <v>8</v>
      </c>
      <c r="AF226" s="2">
        <v>3</v>
      </c>
      <c r="AG226" s="1">
        <f t="shared" si="36"/>
        <v>121</v>
      </c>
      <c r="AH226" s="407"/>
    </row>
    <row r="227" spans="1:34" ht="19.5" thickBot="1" x14ac:dyDescent="0.3">
      <c r="A227" s="353" t="s">
        <v>0</v>
      </c>
      <c r="B227" s="297"/>
      <c r="C227" s="240"/>
      <c r="D227" s="240"/>
      <c r="E227" s="240"/>
      <c r="F227" s="240"/>
      <c r="G227" s="240"/>
      <c r="H227" s="240"/>
      <c r="I227" s="240"/>
      <c r="J227" s="240"/>
      <c r="K227" s="241"/>
      <c r="L227" s="241"/>
      <c r="M227" s="241"/>
      <c r="N227" s="242"/>
      <c r="O227" s="243"/>
      <c r="P227" s="243"/>
      <c r="Q227" s="243"/>
      <c r="R227" s="243"/>
      <c r="S227" s="243"/>
      <c r="T227" s="243"/>
      <c r="U227" s="243"/>
      <c r="V227" s="243"/>
      <c r="W227" s="243"/>
      <c r="X227" s="243"/>
      <c r="Y227" s="243"/>
      <c r="Z227" s="243"/>
      <c r="AA227" s="243"/>
      <c r="AB227" s="243"/>
      <c r="AC227" s="243"/>
      <c r="AD227" s="243"/>
      <c r="AE227" s="243"/>
      <c r="AF227" s="244"/>
      <c r="AG227" s="10">
        <f t="shared" si="36"/>
        <v>0</v>
      </c>
      <c r="AH227" s="408"/>
    </row>
    <row r="247" ht="18.75" customHeight="1" x14ac:dyDescent="0.25"/>
    <row r="248" ht="18.75" customHeight="1" x14ac:dyDescent="0.25"/>
    <row r="249" ht="18.75" customHeight="1" x14ac:dyDescent="0.25"/>
    <row r="250" ht="18.75" customHeight="1" x14ac:dyDescent="0.25"/>
    <row r="251" ht="18.75" customHeight="1" x14ac:dyDescent="0.25"/>
    <row r="252" ht="18.75" customHeight="1" x14ac:dyDescent="0.25"/>
    <row r="253" ht="18.75" customHeight="1" x14ac:dyDescent="0.25"/>
    <row r="254" ht="18.75" customHeight="1" x14ac:dyDescent="0.25"/>
    <row r="255" ht="18.75" customHeight="1" x14ac:dyDescent="0.25"/>
    <row r="256" ht="18.75" customHeight="1" x14ac:dyDescent="0.25"/>
    <row r="257" ht="18.75" customHeight="1" x14ac:dyDescent="0.25"/>
    <row r="258" ht="19.5" customHeight="1" x14ac:dyDescent="0.25"/>
    <row r="260" ht="18.75" customHeight="1" x14ac:dyDescent="0.25"/>
    <row r="263" ht="18.75" customHeight="1" x14ac:dyDescent="0.25"/>
  </sheetData>
  <dataConsolidate link="1"/>
  <mergeCells count="3">
    <mergeCell ref="A1:AG1"/>
    <mergeCell ref="AI84:AI86"/>
    <mergeCell ref="AH224:AH227"/>
  </mergeCells>
  <conditionalFormatting sqref="B29:AF52">
    <cfRule type="cellIs" dxfId="100" priority="6" operator="lessThan">
      <formula>0</formula>
    </cfRule>
  </conditionalFormatting>
  <conditionalFormatting sqref="D54:D77">
    <cfRule type="cellIs" dxfId="99" priority="2" operator="lessThan">
      <formula>0</formula>
    </cfRule>
  </conditionalFormatting>
  <conditionalFormatting sqref="G54:G77">
    <cfRule type="cellIs" dxfId="98" priority="1" operator="lessThan">
      <formula>0</formula>
    </cfRule>
  </conditionalFormatting>
  <conditionalFormatting sqref="AH81">
    <cfRule type="cellIs" dxfId="97" priority="4" operator="equal">
      <formula>"*"</formula>
    </cfRule>
  </conditionalFormatting>
  <conditionalFormatting sqref="AH84 AH87">
    <cfRule type="cellIs" dxfId="96" priority="5" operator="equal">
      <formula>"*"</formula>
    </cfRule>
  </conditionalFormatting>
  <conditionalFormatting sqref="AH93">
    <cfRule type="cellIs" dxfId="95" priority="10" operator="equal">
      <formula>"*"</formula>
    </cfRule>
  </conditionalFormatting>
  <conditionalFormatting sqref="AH130">
    <cfRule type="cellIs" dxfId="94" priority="8" operator="equal">
      <formula>"*"</formula>
    </cfRule>
  </conditionalFormatting>
  <conditionalFormatting sqref="AH144:AH145">
    <cfRule type="cellIs" dxfId="93" priority="9" operator="equal">
      <formula>"*"</formula>
    </cfRule>
  </conditionalFormatting>
  <conditionalFormatting sqref="AH181">
    <cfRule type="cellIs" dxfId="92" priority="7" operator="equal">
      <formula>"*"</formula>
    </cfRule>
  </conditionalFormatting>
  <conditionalFormatting sqref="AH208">
    <cfRule type="cellIs" dxfId="91" priority="3" operator="equal">
      <formula>"X"</formula>
    </cfRule>
  </conditionalFormatting>
  <dataValidations disablePrompts="1" count="1">
    <dataValidation type="whole" allowBlank="1" showInputMessage="1" showErrorMessage="1" errorTitle="ERROR" error="Por favor ingrese solo Números" sqref="A98:A99 A101:A115" xr:uid="{3772A7C8-EACC-4999-A7F0-E7759E0066B5}">
      <formula1>0</formula1>
      <formula2>1000000000</formula2>
    </dataValidation>
  </dataValidations>
  <pageMargins left="0.7" right="0.7" top="0.75" bottom="0.75" header="0.3" footer="0.3"/>
  <pageSetup orientation="portrait" horizontalDpi="300" verticalDpi="30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295D5-AA31-46BF-9D0C-AD2AD7BA3321}">
  <sheetPr codeName="Hoja6"/>
  <dimension ref="A1:AI261"/>
  <sheetViews>
    <sheetView zoomScale="80" zoomScaleNormal="80" workbookViewId="0">
      <pane xSplit="1" ySplit="3" topLeftCell="B4" activePane="bottomRight" state="frozen"/>
      <selection activeCell="AG3" sqref="AG3"/>
      <selection pane="topRight" activeCell="AG3" sqref="AG3"/>
      <selection pane="bottomLeft" activeCell="AG3" sqref="AG3"/>
      <selection pane="bottomRight" activeCell="B4" sqref="B4"/>
    </sheetView>
  </sheetViews>
  <sheetFormatPr baseColWidth="10" defaultRowHeight="15" x14ac:dyDescent="0.25"/>
  <cols>
    <col min="1" max="1" width="34.7109375" customWidth="1"/>
    <col min="2" max="13" width="8.28515625" customWidth="1"/>
    <col min="14" max="14" width="10.140625" customWidth="1"/>
    <col min="15" max="27" width="8.28515625" customWidth="1"/>
    <col min="28" max="28" width="9.7109375" customWidth="1"/>
    <col min="29" max="32" width="8.28515625" customWidth="1"/>
    <col min="33" max="33" width="11.140625" customWidth="1"/>
    <col min="34" max="34" width="12.42578125" customWidth="1"/>
  </cols>
  <sheetData>
    <row r="1" spans="1:33" ht="21.75" thickBot="1" x14ac:dyDescent="0.3">
      <c r="A1" s="400"/>
      <c r="B1" s="401"/>
      <c r="C1" s="401"/>
      <c r="D1" s="401"/>
      <c r="E1" s="401"/>
      <c r="F1" s="401"/>
      <c r="G1" s="401"/>
      <c r="H1" s="401"/>
      <c r="I1" s="401"/>
      <c r="J1" s="401"/>
      <c r="K1" s="401"/>
      <c r="L1" s="401"/>
      <c r="M1" s="401"/>
      <c r="N1" s="401"/>
      <c r="O1" s="401"/>
      <c r="P1" s="401"/>
      <c r="Q1" s="401"/>
      <c r="R1" s="401"/>
      <c r="S1" s="401"/>
      <c r="T1" s="401"/>
      <c r="U1" s="401"/>
      <c r="V1" s="401"/>
      <c r="W1" s="401"/>
      <c r="X1" s="401"/>
      <c r="Y1" s="401"/>
      <c r="Z1" s="401"/>
      <c r="AA1" s="401"/>
      <c r="AB1" s="401"/>
      <c r="AC1" s="401"/>
      <c r="AD1" s="401"/>
      <c r="AE1" s="401"/>
      <c r="AF1" s="401"/>
      <c r="AG1" s="402"/>
    </row>
    <row r="2" spans="1:33" ht="21.75" thickBot="1" x14ac:dyDescent="0.3">
      <c r="A2" s="298" t="s">
        <v>155</v>
      </c>
      <c r="B2" s="246">
        <v>1</v>
      </c>
      <c r="C2" s="217">
        <f t="shared" ref="C2:AA2" si="0">+B2+1</f>
        <v>2</v>
      </c>
      <c r="D2" s="217">
        <f t="shared" si="0"/>
        <v>3</v>
      </c>
      <c r="E2" s="217">
        <f t="shared" si="0"/>
        <v>4</v>
      </c>
      <c r="F2" s="215">
        <f t="shared" si="0"/>
        <v>5</v>
      </c>
      <c r="G2" s="215">
        <f t="shared" si="0"/>
        <v>6</v>
      </c>
      <c r="H2" s="215">
        <f t="shared" si="0"/>
        <v>7</v>
      </c>
      <c r="I2" s="215">
        <f t="shared" si="0"/>
        <v>8</v>
      </c>
      <c r="J2" s="215">
        <f t="shared" si="0"/>
        <v>9</v>
      </c>
      <c r="K2" s="217">
        <f t="shared" si="0"/>
        <v>10</v>
      </c>
      <c r="L2" s="217">
        <f t="shared" si="0"/>
        <v>11</v>
      </c>
      <c r="M2" s="215">
        <f t="shared" si="0"/>
        <v>12</v>
      </c>
      <c r="N2" s="215">
        <f t="shared" si="0"/>
        <v>13</v>
      </c>
      <c r="O2" s="215">
        <f t="shared" si="0"/>
        <v>14</v>
      </c>
      <c r="P2" s="215">
        <f t="shared" si="0"/>
        <v>15</v>
      </c>
      <c r="Q2" s="215">
        <f t="shared" si="0"/>
        <v>16</v>
      </c>
      <c r="R2" s="217">
        <f t="shared" si="0"/>
        <v>17</v>
      </c>
      <c r="S2" s="217">
        <f t="shared" si="0"/>
        <v>18</v>
      </c>
      <c r="T2" s="215">
        <f t="shared" si="0"/>
        <v>19</v>
      </c>
      <c r="U2" s="215">
        <f t="shared" si="0"/>
        <v>20</v>
      </c>
      <c r="V2" s="215">
        <f t="shared" si="0"/>
        <v>21</v>
      </c>
      <c r="W2" s="215">
        <f t="shared" si="0"/>
        <v>22</v>
      </c>
      <c r="X2" s="215">
        <f t="shared" si="0"/>
        <v>23</v>
      </c>
      <c r="Y2" s="217">
        <f t="shared" si="0"/>
        <v>24</v>
      </c>
      <c r="Z2" s="217">
        <f t="shared" si="0"/>
        <v>25</v>
      </c>
      <c r="AA2" s="215">
        <f t="shared" si="0"/>
        <v>26</v>
      </c>
      <c r="AB2" s="215">
        <v>27</v>
      </c>
      <c r="AC2" s="215">
        <f>+AB2+1</f>
        <v>28</v>
      </c>
      <c r="AD2" s="215">
        <v>29</v>
      </c>
      <c r="AE2" s="215">
        <v>30</v>
      </c>
      <c r="AF2" s="215">
        <v>31</v>
      </c>
      <c r="AG2" s="214" t="s">
        <v>148</v>
      </c>
    </row>
    <row r="3" spans="1:33" ht="19.5" thickBot="1" x14ac:dyDescent="0.3">
      <c r="A3" s="299" t="s">
        <v>147</v>
      </c>
      <c r="B3" s="247">
        <f t="shared" ref="B3:AF3" si="1">SUM(B4:B27)</f>
        <v>126</v>
      </c>
      <c r="C3" s="120">
        <f t="shared" si="1"/>
        <v>159</v>
      </c>
      <c r="D3" s="120">
        <f t="shared" si="1"/>
        <v>137</v>
      </c>
      <c r="E3" s="120">
        <f t="shared" si="1"/>
        <v>132</v>
      </c>
      <c r="F3" s="120">
        <f t="shared" si="1"/>
        <v>156</v>
      </c>
      <c r="G3" s="120">
        <f t="shared" si="1"/>
        <v>131</v>
      </c>
      <c r="H3" s="120">
        <f t="shared" si="1"/>
        <v>137</v>
      </c>
      <c r="I3" s="120">
        <f t="shared" si="1"/>
        <v>126</v>
      </c>
      <c r="J3" s="120">
        <f t="shared" si="1"/>
        <v>133</v>
      </c>
      <c r="K3" s="120">
        <f t="shared" si="1"/>
        <v>153</v>
      </c>
      <c r="L3" s="120">
        <f t="shared" si="1"/>
        <v>143</v>
      </c>
      <c r="M3" s="120">
        <f t="shared" si="1"/>
        <v>155</v>
      </c>
      <c r="N3" s="120">
        <f t="shared" si="1"/>
        <v>169</v>
      </c>
      <c r="O3" s="120">
        <f t="shared" si="1"/>
        <v>154</v>
      </c>
      <c r="P3" s="120">
        <f t="shared" si="1"/>
        <v>146</v>
      </c>
      <c r="Q3" s="120">
        <f t="shared" si="1"/>
        <v>153</v>
      </c>
      <c r="R3" s="120">
        <f t="shared" si="1"/>
        <v>129</v>
      </c>
      <c r="S3" s="120">
        <f t="shared" si="1"/>
        <v>131</v>
      </c>
      <c r="T3" s="120">
        <f t="shared" si="1"/>
        <v>168</v>
      </c>
      <c r="U3" s="120">
        <f t="shared" si="1"/>
        <v>129</v>
      </c>
      <c r="V3" s="120">
        <f t="shared" si="1"/>
        <v>101</v>
      </c>
      <c r="W3" s="120">
        <f t="shared" si="1"/>
        <v>112</v>
      </c>
      <c r="X3" s="120">
        <f t="shared" si="1"/>
        <v>134</v>
      </c>
      <c r="Y3" s="120">
        <f t="shared" si="1"/>
        <v>127</v>
      </c>
      <c r="Z3" s="120">
        <f t="shared" si="1"/>
        <v>144</v>
      </c>
      <c r="AA3" s="120">
        <f t="shared" si="1"/>
        <v>151</v>
      </c>
      <c r="AB3" s="120">
        <f t="shared" si="1"/>
        <v>114</v>
      </c>
      <c r="AC3" s="120">
        <f t="shared" si="1"/>
        <v>135</v>
      </c>
      <c r="AD3" s="120">
        <f t="shared" si="1"/>
        <v>138</v>
      </c>
      <c r="AE3" s="120">
        <f t="shared" si="1"/>
        <v>88</v>
      </c>
      <c r="AF3" s="120">
        <f t="shared" si="1"/>
        <v>0</v>
      </c>
      <c r="AG3" s="118">
        <f t="shared" ref="AG3:AG66" si="2">SUM(B3:AF3)</f>
        <v>4111</v>
      </c>
    </row>
    <row r="4" spans="1:33" ht="18.75" x14ac:dyDescent="0.25">
      <c r="A4" s="300" t="s">
        <v>144</v>
      </c>
      <c r="B4" s="248">
        <v>1</v>
      </c>
      <c r="C4" s="199">
        <v>2</v>
      </c>
      <c r="D4" s="199"/>
      <c r="E4" s="199">
        <v>8</v>
      </c>
      <c r="F4" s="199">
        <v>4</v>
      </c>
      <c r="G4" s="199">
        <v>3</v>
      </c>
      <c r="H4" s="199">
        <v>5</v>
      </c>
      <c r="I4" s="199">
        <v>3</v>
      </c>
      <c r="J4" s="199"/>
      <c r="K4" s="199">
        <v>5</v>
      </c>
      <c r="L4" s="199">
        <v>5</v>
      </c>
      <c r="M4" s="199">
        <v>8</v>
      </c>
      <c r="N4" s="199">
        <v>5</v>
      </c>
      <c r="O4" s="199">
        <v>3</v>
      </c>
      <c r="P4" s="199">
        <v>2</v>
      </c>
      <c r="Q4" s="199">
        <v>5</v>
      </c>
      <c r="R4" s="199">
        <v>4</v>
      </c>
      <c r="S4" s="199">
        <v>3</v>
      </c>
      <c r="T4" s="199">
        <v>6</v>
      </c>
      <c r="U4" s="199">
        <v>4</v>
      </c>
      <c r="V4" s="199">
        <v>1</v>
      </c>
      <c r="W4" s="199">
        <v>4</v>
      </c>
      <c r="X4" s="199">
        <v>1</v>
      </c>
      <c r="Y4" s="199">
        <v>4</v>
      </c>
      <c r="Z4" s="199">
        <v>2</v>
      </c>
      <c r="AA4" s="199">
        <v>2</v>
      </c>
      <c r="AB4" s="199">
        <v>3</v>
      </c>
      <c r="AC4" s="199">
        <v>7</v>
      </c>
      <c r="AD4" s="199">
        <v>1</v>
      </c>
      <c r="AE4" s="199">
        <v>1</v>
      </c>
      <c r="AF4" s="206"/>
      <c r="AG4" s="134">
        <f t="shared" si="2"/>
        <v>102</v>
      </c>
    </row>
    <row r="5" spans="1:33" ht="18.75" x14ac:dyDescent="0.25">
      <c r="A5" s="301" t="s">
        <v>143</v>
      </c>
      <c r="B5" s="249"/>
      <c r="C5" s="162">
        <v>5</v>
      </c>
      <c r="D5" s="162">
        <v>3</v>
      </c>
      <c r="E5" s="162">
        <v>13</v>
      </c>
      <c r="F5" s="162">
        <v>4</v>
      </c>
      <c r="G5" s="162">
        <v>2</v>
      </c>
      <c r="H5" s="162">
        <v>5</v>
      </c>
      <c r="I5" s="162">
        <v>4</v>
      </c>
      <c r="J5" s="162">
        <v>7</v>
      </c>
      <c r="K5" s="162">
        <v>9</v>
      </c>
      <c r="L5" s="162">
        <v>8</v>
      </c>
      <c r="M5" s="162">
        <v>4</v>
      </c>
      <c r="N5" s="162">
        <v>3</v>
      </c>
      <c r="O5" s="162">
        <v>3</v>
      </c>
      <c r="P5" s="162">
        <v>2</v>
      </c>
      <c r="Q5" s="162">
        <v>5</v>
      </c>
      <c r="R5" s="162">
        <v>12</v>
      </c>
      <c r="S5" s="162">
        <v>7</v>
      </c>
      <c r="T5" s="162">
        <v>6</v>
      </c>
      <c r="U5" s="162">
        <v>3</v>
      </c>
      <c r="V5" s="162">
        <v>4</v>
      </c>
      <c r="W5" s="162">
        <v>1</v>
      </c>
      <c r="X5" s="162">
        <v>4</v>
      </c>
      <c r="Y5" s="162">
        <v>5</v>
      </c>
      <c r="Z5" s="162">
        <v>10</v>
      </c>
      <c r="AA5" s="162">
        <v>4</v>
      </c>
      <c r="AB5" s="162">
        <v>1</v>
      </c>
      <c r="AC5" s="162">
        <v>5</v>
      </c>
      <c r="AD5" s="162">
        <v>4</v>
      </c>
      <c r="AE5" s="162">
        <v>1</v>
      </c>
      <c r="AF5" s="161"/>
      <c r="AG5" s="64">
        <f t="shared" si="2"/>
        <v>144</v>
      </c>
    </row>
    <row r="6" spans="1:33" ht="18.75" x14ac:dyDescent="0.25">
      <c r="A6" s="301" t="s">
        <v>142</v>
      </c>
      <c r="B6" s="249">
        <v>4</v>
      </c>
      <c r="C6" s="162">
        <v>7</v>
      </c>
      <c r="D6" s="162">
        <v>13</v>
      </c>
      <c r="E6" s="162">
        <v>7</v>
      </c>
      <c r="F6" s="162">
        <v>7</v>
      </c>
      <c r="G6" s="162">
        <v>2</v>
      </c>
      <c r="H6" s="162">
        <v>6</v>
      </c>
      <c r="I6" s="162">
        <v>6</v>
      </c>
      <c r="J6" s="162">
        <v>2</v>
      </c>
      <c r="K6" s="162">
        <v>6</v>
      </c>
      <c r="L6" s="162">
        <v>6</v>
      </c>
      <c r="M6" s="162">
        <v>8</v>
      </c>
      <c r="N6" s="162">
        <v>1</v>
      </c>
      <c r="O6" s="162">
        <v>3</v>
      </c>
      <c r="P6" s="162">
        <v>7</v>
      </c>
      <c r="Q6" s="162">
        <v>4</v>
      </c>
      <c r="R6" s="162">
        <v>7</v>
      </c>
      <c r="S6" s="162">
        <v>7</v>
      </c>
      <c r="T6" s="162">
        <v>11</v>
      </c>
      <c r="U6" s="162">
        <v>7</v>
      </c>
      <c r="V6" s="162">
        <v>6</v>
      </c>
      <c r="W6" s="162">
        <v>5</v>
      </c>
      <c r="X6" s="162">
        <v>3</v>
      </c>
      <c r="Y6" s="162">
        <v>5</v>
      </c>
      <c r="Z6" s="162">
        <v>7</v>
      </c>
      <c r="AA6" s="162">
        <v>5</v>
      </c>
      <c r="AB6" s="162">
        <v>3</v>
      </c>
      <c r="AC6" s="162">
        <v>4</v>
      </c>
      <c r="AD6" s="162">
        <v>9</v>
      </c>
      <c r="AE6" s="162">
        <v>1</v>
      </c>
      <c r="AF6" s="161"/>
      <c r="AG6" s="64">
        <f t="shared" si="2"/>
        <v>169</v>
      </c>
    </row>
    <row r="7" spans="1:33" ht="18.75" x14ac:dyDescent="0.25">
      <c r="A7" s="301" t="s">
        <v>141</v>
      </c>
      <c r="B7" s="249">
        <v>9</v>
      </c>
      <c r="C7" s="162">
        <v>8</v>
      </c>
      <c r="D7" s="162">
        <v>11</v>
      </c>
      <c r="E7" s="162">
        <v>8</v>
      </c>
      <c r="F7" s="162">
        <v>4</v>
      </c>
      <c r="G7" s="162">
        <v>6</v>
      </c>
      <c r="H7" s="162">
        <v>8</v>
      </c>
      <c r="I7" s="162">
        <v>7</v>
      </c>
      <c r="J7" s="162">
        <v>4</v>
      </c>
      <c r="K7" s="162">
        <v>8</v>
      </c>
      <c r="L7" s="162">
        <v>13</v>
      </c>
      <c r="M7" s="162">
        <v>11</v>
      </c>
      <c r="N7" s="162">
        <v>7</v>
      </c>
      <c r="O7" s="162">
        <v>3</v>
      </c>
      <c r="P7" s="162">
        <v>7</v>
      </c>
      <c r="Q7" s="162">
        <v>8</v>
      </c>
      <c r="R7" s="162">
        <v>13</v>
      </c>
      <c r="S7" s="162">
        <v>8</v>
      </c>
      <c r="T7" s="162">
        <v>10</v>
      </c>
      <c r="U7" s="162">
        <v>6</v>
      </c>
      <c r="V7" s="162">
        <v>3</v>
      </c>
      <c r="W7" s="162">
        <v>2</v>
      </c>
      <c r="X7" s="162">
        <v>6</v>
      </c>
      <c r="Y7" s="162">
        <v>8</v>
      </c>
      <c r="Z7" s="162">
        <v>9</v>
      </c>
      <c r="AA7" s="162">
        <v>7</v>
      </c>
      <c r="AB7" s="162">
        <v>6</v>
      </c>
      <c r="AC7" s="162">
        <v>3</v>
      </c>
      <c r="AD7" s="162">
        <v>7</v>
      </c>
      <c r="AE7" s="162">
        <v>2</v>
      </c>
      <c r="AF7" s="161"/>
      <c r="AG7" s="64">
        <f t="shared" si="2"/>
        <v>212</v>
      </c>
    </row>
    <row r="8" spans="1:33" ht="18.75" x14ac:dyDescent="0.25">
      <c r="A8" s="301" t="s">
        <v>140</v>
      </c>
      <c r="B8" s="249">
        <v>5</v>
      </c>
      <c r="C8" s="162">
        <v>9</v>
      </c>
      <c r="D8" s="162">
        <v>7</v>
      </c>
      <c r="E8" s="162">
        <v>6</v>
      </c>
      <c r="F8" s="162">
        <v>6</v>
      </c>
      <c r="G8" s="162">
        <v>4</v>
      </c>
      <c r="H8" s="162">
        <v>4</v>
      </c>
      <c r="I8" s="162">
        <v>4</v>
      </c>
      <c r="J8" s="162">
        <v>1</v>
      </c>
      <c r="K8" s="162">
        <v>10</v>
      </c>
      <c r="L8" s="162">
        <v>15</v>
      </c>
      <c r="M8" s="162">
        <v>11</v>
      </c>
      <c r="N8" s="162">
        <v>10</v>
      </c>
      <c r="O8" s="162">
        <v>4</v>
      </c>
      <c r="P8" s="162">
        <v>10</v>
      </c>
      <c r="Q8" s="162">
        <v>3</v>
      </c>
      <c r="R8" s="162">
        <v>13</v>
      </c>
      <c r="S8" s="162">
        <v>9</v>
      </c>
      <c r="T8" s="162">
        <v>8</v>
      </c>
      <c r="U8" s="162">
        <v>4</v>
      </c>
      <c r="V8" s="162">
        <v>3</v>
      </c>
      <c r="W8" s="162">
        <v>5</v>
      </c>
      <c r="X8" s="162">
        <v>4</v>
      </c>
      <c r="Y8" s="162">
        <v>13</v>
      </c>
      <c r="Z8" s="162">
        <v>15</v>
      </c>
      <c r="AA8" s="162">
        <v>6</v>
      </c>
      <c r="AB8" s="162">
        <v>7</v>
      </c>
      <c r="AC8" s="162">
        <v>6</v>
      </c>
      <c r="AD8" s="162">
        <v>3</v>
      </c>
      <c r="AE8" s="162">
        <v>3</v>
      </c>
      <c r="AF8" s="161"/>
      <c r="AG8" s="64">
        <f t="shared" si="2"/>
        <v>208</v>
      </c>
    </row>
    <row r="9" spans="1:33" ht="18.75" x14ac:dyDescent="0.25">
      <c r="A9" s="301" t="s">
        <v>139</v>
      </c>
      <c r="B9" s="249">
        <v>8</v>
      </c>
      <c r="C9" s="162">
        <v>12</v>
      </c>
      <c r="D9" s="162">
        <v>17</v>
      </c>
      <c r="E9" s="162">
        <v>16</v>
      </c>
      <c r="F9" s="162">
        <v>10</v>
      </c>
      <c r="G9" s="162">
        <v>7</v>
      </c>
      <c r="H9" s="162">
        <v>6</v>
      </c>
      <c r="I9" s="162">
        <v>6</v>
      </c>
      <c r="J9" s="162">
        <v>5</v>
      </c>
      <c r="K9" s="162">
        <v>9</v>
      </c>
      <c r="L9" s="162">
        <v>6</v>
      </c>
      <c r="M9" s="162">
        <v>4</v>
      </c>
      <c r="N9" s="162">
        <v>5</v>
      </c>
      <c r="O9" s="162">
        <v>7</v>
      </c>
      <c r="P9" s="162">
        <v>3</v>
      </c>
      <c r="Q9" s="162">
        <v>3</v>
      </c>
      <c r="R9" s="162">
        <v>9</v>
      </c>
      <c r="S9" s="162">
        <v>12</v>
      </c>
      <c r="T9" s="162">
        <v>5</v>
      </c>
      <c r="U9" s="162">
        <v>5</v>
      </c>
      <c r="V9" s="162">
        <v>4</v>
      </c>
      <c r="W9" s="162">
        <v>3</v>
      </c>
      <c r="X9" s="162">
        <v>12</v>
      </c>
      <c r="Y9" s="162">
        <v>2</v>
      </c>
      <c r="Z9" s="162">
        <v>8</v>
      </c>
      <c r="AA9" s="162">
        <v>2</v>
      </c>
      <c r="AB9" s="162">
        <v>1</v>
      </c>
      <c r="AC9" s="162"/>
      <c r="AD9" s="162">
        <v>5</v>
      </c>
      <c r="AE9" s="162">
        <v>4</v>
      </c>
      <c r="AF9" s="161"/>
      <c r="AG9" s="64">
        <f t="shared" si="2"/>
        <v>196</v>
      </c>
    </row>
    <row r="10" spans="1:33" ht="18.75" x14ac:dyDescent="0.25">
      <c r="A10" s="301" t="s">
        <v>138</v>
      </c>
      <c r="B10" s="249"/>
      <c r="C10" s="162">
        <v>10</v>
      </c>
      <c r="D10" s="162">
        <v>8</v>
      </c>
      <c r="E10" s="162">
        <v>11</v>
      </c>
      <c r="F10" s="162">
        <v>5</v>
      </c>
      <c r="G10" s="162"/>
      <c r="H10" s="162">
        <v>5</v>
      </c>
      <c r="I10" s="162">
        <v>3</v>
      </c>
      <c r="J10" s="162">
        <v>8</v>
      </c>
      <c r="K10" s="162">
        <v>18</v>
      </c>
      <c r="L10" s="162">
        <v>5</v>
      </c>
      <c r="M10" s="162">
        <v>5</v>
      </c>
      <c r="N10" s="162">
        <v>10</v>
      </c>
      <c r="O10" s="162">
        <v>6</v>
      </c>
      <c r="P10" s="162">
        <v>1</v>
      </c>
      <c r="Q10" s="162">
        <v>5</v>
      </c>
      <c r="R10" s="162">
        <v>9</v>
      </c>
      <c r="S10" s="162">
        <v>4</v>
      </c>
      <c r="T10" s="162">
        <v>2</v>
      </c>
      <c r="U10" s="162">
        <v>8</v>
      </c>
      <c r="V10" s="162">
        <v>8</v>
      </c>
      <c r="W10" s="162">
        <v>5</v>
      </c>
      <c r="X10" s="162">
        <v>9</v>
      </c>
      <c r="Y10" s="162">
        <v>10</v>
      </c>
      <c r="Z10" s="162">
        <v>11</v>
      </c>
      <c r="AA10" s="162">
        <v>8</v>
      </c>
      <c r="AB10" s="162">
        <v>1</v>
      </c>
      <c r="AC10" s="162">
        <v>2</v>
      </c>
      <c r="AD10" s="162">
        <v>4</v>
      </c>
      <c r="AE10" s="162">
        <v>6</v>
      </c>
      <c r="AF10" s="161"/>
      <c r="AG10" s="64">
        <f t="shared" si="2"/>
        <v>187</v>
      </c>
    </row>
    <row r="11" spans="1:33" ht="18.75" x14ac:dyDescent="0.25">
      <c r="A11" s="301" t="s">
        <v>137</v>
      </c>
      <c r="B11" s="249">
        <v>2</v>
      </c>
      <c r="C11" s="162">
        <v>12</v>
      </c>
      <c r="D11" s="162">
        <v>6</v>
      </c>
      <c r="E11" s="162">
        <v>15</v>
      </c>
      <c r="F11" s="162">
        <v>3</v>
      </c>
      <c r="G11" s="162">
        <v>8</v>
      </c>
      <c r="H11" s="162">
        <v>6</v>
      </c>
      <c r="I11" s="162">
        <v>3</v>
      </c>
      <c r="J11" s="162">
        <v>4</v>
      </c>
      <c r="K11" s="162">
        <v>7</v>
      </c>
      <c r="L11" s="162">
        <v>11</v>
      </c>
      <c r="M11" s="162">
        <v>5</v>
      </c>
      <c r="N11" s="162">
        <v>6</v>
      </c>
      <c r="O11" s="162">
        <v>7</v>
      </c>
      <c r="P11" s="162">
        <v>9</v>
      </c>
      <c r="Q11" s="162">
        <v>3</v>
      </c>
      <c r="R11" s="162">
        <v>7</v>
      </c>
      <c r="S11" s="162">
        <v>18</v>
      </c>
      <c r="T11" s="162">
        <v>7</v>
      </c>
      <c r="U11" s="162">
        <v>5</v>
      </c>
      <c r="V11" s="162">
        <v>3</v>
      </c>
      <c r="W11" s="162">
        <v>3</v>
      </c>
      <c r="X11" s="162">
        <v>2</v>
      </c>
      <c r="Y11" s="162">
        <v>7</v>
      </c>
      <c r="Z11" s="162">
        <v>9</v>
      </c>
      <c r="AA11" s="162">
        <v>5</v>
      </c>
      <c r="AB11" s="162">
        <v>7</v>
      </c>
      <c r="AC11" s="162">
        <v>8</v>
      </c>
      <c r="AD11" s="162">
        <v>4</v>
      </c>
      <c r="AE11" s="162">
        <v>5</v>
      </c>
      <c r="AF11" s="161"/>
      <c r="AG11" s="64">
        <f t="shared" si="2"/>
        <v>197</v>
      </c>
    </row>
    <row r="12" spans="1:33" ht="18.75" x14ac:dyDescent="0.25">
      <c r="A12" s="301" t="s">
        <v>136</v>
      </c>
      <c r="B12" s="249">
        <v>2</v>
      </c>
      <c r="C12" s="162">
        <v>15</v>
      </c>
      <c r="D12" s="162">
        <v>8</v>
      </c>
      <c r="E12" s="162">
        <v>7</v>
      </c>
      <c r="F12" s="162">
        <v>5</v>
      </c>
      <c r="G12" s="162">
        <v>7</v>
      </c>
      <c r="H12" s="162">
        <v>4</v>
      </c>
      <c r="I12" s="162">
        <v>12</v>
      </c>
      <c r="J12" s="162">
        <v>9</v>
      </c>
      <c r="K12" s="162">
        <v>12</v>
      </c>
      <c r="L12" s="162">
        <v>11</v>
      </c>
      <c r="M12" s="162">
        <v>8</v>
      </c>
      <c r="N12" s="162">
        <v>14</v>
      </c>
      <c r="O12" s="162">
        <v>10</v>
      </c>
      <c r="P12" s="162">
        <v>5</v>
      </c>
      <c r="Q12" s="162">
        <v>6</v>
      </c>
      <c r="R12" s="162">
        <v>9</v>
      </c>
      <c r="S12" s="162">
        <v>9</v>
      </c>
      <c r="T12" s="162">
        <v>11</v>
      </c>
      <c r="U12" s="162">
        <v>7</v>
      </c>
      <c r="V12" s="162">
        <v>3</v>
      </c>
      <c r="W12" s="162">
        <v>3</v>
      </c>
      <c r="X12" s="162">
        <v>11</v>
      </c>
      <c r="Y12" s="162">
        <v>8</v>
      </c>
      <c r="Z12" s="162">
        <v>6</v>
      </c>
      <c r="AA12" s="162">
        <v>2</v>
      </c>
      <c r="AB12" s="162">
        <v>8</v>
      </c>
      <c r="AC12" s="162">
        <v>2</v>
      </c>
      <c r="AD12" s="162">
        <v>8</v>
      </c>
      <c r="AE12" s="162">
        <v>10</v>
      </c>
      <c r="AF12" s="161"/>
      <c r="AG12" s="64">
        <f t="shared" si="2"/>
        <v>232</v>
      </c>
    </row>
    <row r="13" spans="1:33" ht="18.75" x14ac:dyDescent="0.25">
      <c r="A13" s="301" t="s">
        <v>135</v>
      </c>
      <c r="B13" s="249">
        <v>31</v>
      </c>
      <c r="C13" s="162">
        <v>11</v>
      </c>
      <c r="D13" s="162">
        <v>4</v>
      </c>
      <c r="E13" s="162">
        <v>9</v>
      </c>
      <c r="F13" s="162">
        <v>45</v>
      </c>
      <c r="G13" s="162">
        <v>38</v>
      </c>
      <c r="H13" s="162">
        <v>30</v>
      </c>
      <c r="I13" s="162">
        <v>33</v>
      </c>
      <c r="J13" s="162">
        <v>36</v>
      </c>
      <c r="K13" s="162">
        <v>16</v>
      </c>
      <c r="L13" s="162">
        <v>5</v>
      </c>
      <c r="M13" s="162">
        <v>28</v>
      </c>
      <c r="N13" s="162">
        <v>38</v>
      </c>
      <c r="O13" s="162">
        <v>34</v>
      </c>
      <c r="P13" s="162">
        <v>36</v>
      </c>
      <c r="Q13" s="162">
        <v>40</v>
      </c>
      <c r="R13" s="162">
        <v>10</v>
      </c>
      <c r="S13" s="162">
        <v>9</v>
      </c>
      <c r="T13" s="162">
        <v>35</v>
      </c>
      <c r="U13" s="162">
        <v>24</v>
      </c>
      <c r="V13" s="162">
        <v>28</v>
      </c>
      <c r="W13" s="162">
        <v>34</v>
      </c>
      <c r="X13" s="162">
        <v>27</v>
      </c>
      <c r="Y13" s="162">
        <v>12</v>
      </c>
      <c r="Z13" s="162">
        <v>9</v>
      </c>
      <c r="AA13" s="162">
        <v>41</v>
      </c>
      <c r="AB13" s="162">
        <v>35</v>
      </c>
      <c r="AC13" s="162">
        <v>33</v>
      </c>
      <c r="AD13" s="162">
        <v>40</v>
      </c>
      <c r="AE13" s="162">
        <v>13</v>
      </c>
      <c r="AF13" s="161"/>
      <c r="AG13" s="64">
        <f t="shared" si="2"/>
        <v>784</v>
      </c>
    </row>
    <row r="14" spans="1:33" ht="18.75" x14ac:dyDescent="0.25">
      <c r="A14" s="301" t="s">
        <v>134</v>
      </c>
      <c r="B14" s="249">
        <v>13</v>
      </c>
      <c r="C14" s="162">
        <v>18</v>
      </c>
      <c r="D14" s="162">
        <v>10</v>
      </c>
      <c r="E14" s="162">
        <v>5</v>
      </c>
      <c r="F14" s="162">
        <v>13</v>
      </c>
      <c r="G14" s="162">
        <v>14</v>
      </c>
      <c r="H14" s="162">
        <v>18</v>
      </c>
      <c r="I14" s="162">
        <v>6</v>
      </c>
      <c r="J14" s="162">
        <v>9</v>
      </c>
      <c r="K14" s="162">
        <v>11</v>
      </c>
      <c r="L14" s="162">
        <v>12</v>
      </c>
      <c r="M14" s="162">
        <v>14</v>
      </c>
      <c r="N14" s="162">
        <v>15</v>
      </c>
      <c r="O14" s="162">
        <v>24</v>
      </c>
      <c r="P14" s="162">
        <v>4</v>
      </c>
      <c r="Q14" s="162">
        <v>14</v>
      </c>
      <c r="R14" s="162">
        <v>11</v>
      </c>
      <c r="S14" s="162">
        <v>10</v>
      </c>
      <c r="T14" s="162">
        <v>20</v>
      </c>
      <c r="U14" s="162">
        <v>12</v>
      </c>
      <c r="V14" s="162">
        <v>12</v>
      </c>
      <c r="W14" s="162">
        <v>19</v>
      </c>
      <c r="X14" s="162">
        <v>17</v>
      </c>
      <c r="Y14" s="162">
        <v>15</v>
      </c>
      <c r="Z14" s="162">
        <v>11</v>
      </c>
      <c r="AA14" s="162">
        <v>20</v>
      </c>
      <c r="AB14" s="162">
        <v>13</v>
      </c>
      <c r="AC14" s="162">
        <v>12</v>
      </c>
      <c r="AD14" s="162">
        <v>13</v>
      </c>
      <c r="AE14" s="162">
        <v>9</v>
      </c>
      <c r="AF14" s="161"/>
      <c r="AG14" s="64">
        <f t="shared" si="2"/>
        <v>394</v>
      </c>
    </row>
    <row r="15" spans="1:33" ht="18.75" x14ac:dyDescent="0.25">
      <c r="A15" s="301" t="s">
        <v>133</v>
      </c>
      <c r="B15" s="249">
        <v>8</v>
      </c>
      <c r="C15" s="162">
        <v>10</v>
      </c>
      <c r="D15" s="162">
        <v>11</v>
      </c>
      <c r="E15" s="162">
        <v>5</v>
      </c>
      <c r="F15" s="162">
        <v>11</v>
      </c>
      <c r="G15" s="162">
        <v>12</v>
      </c>
      <c r="H15" s="162">
        <v>16</v>
      </c>
      <c r="I15" s="162">
        <v>9</v>
      </c>
      <c r="J15" s="162">
        <v>9</v>
      </c>
      <c r="K15" s="162">
        <v>7</v>
      </c>
      <c r="L15" s="162">
        <v>10</v>
      </c>
      <c r="M15" s="162">
        <v>15</v>
      </c>
      <c r="N15" s="162">
        <v>17</v>
      </c>
      <c r="O15" s="162">
        <v>13</v>
      </c>
      <c r="P15" s="162">
        <v>9</v>
      </c>
      <c r="Q15" s="162">
        <v>5</v>
      </c>
      <c r="R15" s="162">
        <v>9</v>
      </c>
      <c r="S15" s="162">
        <v>9</v>
      </c>
      <c r="T15" s="162">
        <v>17</v>
      </c>
      <c r="U15" s="162">
        <v>9</v>
      </c>
      <c r="V15" s="162">
        <v>6</v>
      </c>
      <c r="W15" s="162">
        <v>3</v>
      </c>
      <c r="X15" s="162">
        <v>7</v>
      </c>
      <c r="Y15" s="162">
        <v>12</v>
      </c>
      <c r="Z15" s="162">
        <v>9</v>
      </c>
      <c r="AA15" s="162">
        <v>9</v>
      </c>
      <c r="AB15" s="162">
        <v>10</v>
      </c>
      <c r="AC15" s="162">
        <v>16</v>
      </c>
      <c r="AD15" s="162">
        <v>8</v>
      </c>
      <c r="AE15" s="162">
        <v>10</v>
      </c>
      <c r="AF15" s="161"/>
      <c r="AG15" s="64">
        <f t="shared" si="2"/>
        <v>301</v>
      </c>
    </row>
    <row r="16" spans="1:33" ht="18.75" x14ac:dyDescent="0.25">
      <c r="A16" s="301" t="s">
        <v>132</v>
      </c>
      <c r="B16" s="249">
        <v>13</v>
      </c>
      <c r="C16" s="162">
        <v>5</v>
      </c>
      <c r="D16" s="162">
        <v>13</v>
      </c>
      <c r="E16" s="162">
        <v>3</v>
      </c>
      <c r="F16" s="162">
        <v>13</v>
      </c>
      <c r="G16" s="162">
        <v>7</v>
      </c>
      <c r="H16" s="162">
        <v>3</v>
      </c>
      <c r="I16" s="162">
        <v>9</v>
      </c>
      <c r="J16" s="162">
        <v>10</v>
      </c>
      <c r="K16" s="162">
        <v>9</v>
      </c>
      <c r="L16" s="162">
        <v>6</v>
      </c>
      <c r="M16" s="162">
        <v>9</v>
      </c>
      <c r="N16" s="162">
        <v>11</v>
      </c>
      <c r="O16" s="162">
        <v>8</v>
      </c>
      <c r="P16" s="162">
        <v>8</v>
      </c>
      <c r="Q16" s="162">
        <v>15</v>
      </c>
      <c r="R16" s="162">
        <v>3</v>
      </c>
      <c r="S16" s="162">
        <v>12</v>
      </c>
      <c r="T16" s="162">
        <v>8</v>
      </c>
      <c r="U16" s="162">
        <v>8</v>
      </c>
      <c r="V16" s="162">
        <v>7</v>
      </c>
      <c r="W16" s="162">
        <v>10</v>
      </c>
      <c r="X16" s="162">
        <v>4</v>
      </c>
      <c r="Y16" s="162">
        <v>8</v>
      </c>
      <c r="Z16" s="162">
        <v>5</v>
      </c>
      <c r="AA16" s="162">
        <v>7</v>
      </c>
      <c r="AB16" s="162">
        <v>5</v>
      </c>
      <c r="AC16" s="162">
        <v>15</v>
      </c>
      <c r="AD16" s="162">
        <v>8</v>
      </c>
      <c r="AE16" s="162">
        <v>9</v>
      </c>
      <c r="AF16" s="161"/>
      <c r="AG16" s="64">
        <f t="shared" si="2"/>
        <v>251</v>
      </c>
    </row>
    <row r="17" spans="1:33" ht="18.75" x14ac:dyDescent="0.25">
      <c r="A17" s="301" t="s">
        <v>131</v>
      </c>
      <c r="B17" s="249">
        <v>5</v>
      </c>
      <c r="C17" s="162">
        <v>5</v>
      </c>
      <c r="D17" s="162">
        <v>8</v>
      </c>
      <c r="E17" s="162">
        <v>3</v>
      </c>
      <c r="F17" s="162">
        <v>9</v>
      </c>
      <c r="G17" s="162">
        <v>2</v>
      </c>
      <c r="H17" s="162">
        <v>9</v>
      </c>
      <c r="I17" s="162">
        <v>6</v>
      </c>
      <c r="J17" s="162">
        <v>11</v>
      </c>
      <c r="K17" s="162">
        <v>10</v>
      </c>
      <c r="L17" s="162">
        <v>12</v>
      </c>
      <c r="M17" s="162">
        <v>5</v>
      </c>
      <c r="N17" s="162">
        <v>5</v>
      </c>
      <c r="O17" s="162">
        <v>7</v>
      </c>
      <c r="P17" s="162">
        <v>12</v>
      </c>
      <c r="Q17" s="162">
        <v>8</v>
      </c>
      <c r="R17" s="162">
        <v>3</v>
      </c>
      <c r="S17" s="162">
        <v>7</v>
      </c>
      <c r="T17" s="162">
        <v>10</v>
      </c>
      <c r="U17" s="162">
        <v>3</v>
      </c>
      <c r="V17" s="162">
        <v>5</v>
      </c>
      <c r="W17" s="162">
        <v>5</v>
      </c>
      <c r="X17" s="162">
        <v>10</v>
      </c>
      <c r="Y17" s="162">
        <v>3</v>
      </c>
      <c r="Z17" s="162">
        <v>4</v>
      </c>
      <c r="AA17" s="162">
        <v>10</v>
      </c>
      <c r="AB17" s="162">
        <v>2</v>
      </c>
      <c r="AC17" s="162">
        <v>11</v>
      </c>
      <c r="AD17" s="162">
        <v>7</v>
      </c>
      <c r="AE17" s="162">
        <v>4</v>
      </c>
      <c r="AF17" s="161"/>
      <c r="AG17" s="64">
        <f t="shared" si="2"/>
        <v>201</v>
      </c>
    </row>
    <row r="18" spans="1:33" ht="18.75" x14ac:dyDescent="0.25">
      <c r="A18" s="301" t="s">
        <v>130</v>
      </c>
      <c r="B18" s="249">
        <v>5</v>
      </c>
      <c r="C18" s="162">
        <v>7</v>
      </c>
      <c r="D18" s="162">
        <v>9</v>
      </c>
      <c r="E18" s="162">
        <v>4</v>
      </c>
      <c r="F18" s="162">
        <v>5</v>
      </c>
      <c r="G18" s="162">
        <v>3</v>
      </c>
      <c r="H18" s="162">
        <v>3</v>
      </c>
      <c r="I18" s="162">
        <v>3</v>
      </c>
      <c r="J18" s="162">
        <v>5</v>
      </c>
      <c r="K18" s="162">
        <v>3</v>
      </c>
      <c r="L18" s="162">
        <v>5</v>
      </c>
      <c r="M18" s="162">
        <v>4</v>
      </c>
      <c r="N18" s="162">
        <v>4</v>
      </c>
      <c r="O18" s="162">
        <v>6</v>
      </c>
      <c r="P18" s="162">
        <v>9</v>
      </c>
      <c r="Q18" s="162">
        <v>6</v>
      </c>
      <c r="R18" s="162">
        <v>3</v>
      </c>
      <c r="S18" s="162">
        <v>2</v>
      </c>
      <c r="T18" s="162">
        <v>5</v>
      </c>
      <c r="U18" s="162">
        <v>6</v>
      </c>
      <c r="V18" s="162">
        <v>2</v>
      </c>
      <c r="W18" s="162">
        <v>3</v>
      </c>
      <c r="X18" s="162">
        <v>3</v>
      </c>
      <c r="Y18" s="162">
        <v>2</v>
      </c>
      <c r="Z18" s="162">
        <v>4</v>
      </c>
      <c r="AA18" s="162">
        <v>8</v>
      </c>
      <c r="AB18" s="162">
        <v>4</v>
      </c>
      <c r="AC18" s="162">
        <v>3</v>
      </c>
      <c r="AD18" s="162">
        <v>3</v>
      </c>
      <c r="AE18" s="162"/>
      <c r="AF18" s="161"/>
      <c r="AG18" s="64">
        <f t="shared" si="2"/>
        <v>129</v>
      </c>
    </row>
    <row r="19" spans="1:33" ht="18.75" x14ac:dyDescent="0.25">
      <c r="A19" s="301" t="s">
        <v>129</v>
      </c>
      <c r="B19" s="249">
        <v>6</v>
      </c>
      <c r="C19" s="162">
        <v>3</v>
      </c>
      <c r="D19" s="162">
        <v>4</v>
      </c>
      <c r="E19" s="162">
        <v>4</v>
      </c>
      <c r="F19" s="162">
        <v>3</v>
      </c>
      <c r="G19" s="162">
        <v>3</v>
      </c>
      <c r="H19" s="162">
        <v>4</v>
      </c>
      <c r="I19" s="162">
        <v>4</v>
      </c>
      <c r="J19" s="162">
        <v>5</v>
      </c>
      <c r="K19" s="162">
        <v>2</v>
      </c>
      <c r="L19" s="162">
        <v>3</v>
      </c>
      <c r="M19" s="162">
        <v>3</v>
      </c>
      <c r="N19" s="162">
        <v>5</v>
      </c>
      <c r="O19" s="162">
        <v>5</v>
      </c>
      <c r="P19" s="162">
        <v>8</v>
      </c>
      <c r="Q19" s="162">
        <v>10</v>
      </c>
      <c r="R19" s="162">
        <v>2</v>
      </c>
      <c r="S19" s="162">
        <v>2</v>
      </c>
      <c r="T19" s="162">
        <v>3</v>
      </c>
      <c r="U19" s="162">
        <v>5</v>
      </c>
      <c r="V19" s="162">
        <v>1</v>
      </c>
      <c r="W19" s="162">
        <v>5</v>
      </c>
      <c r="X19" s="162">
        <v>2</v>
      </c>
      <c r="Y19" s="162"/>
      <c r="Z19" s="162">
        <v>8</v>
      </c>
      <c r="AA19" s="162">
        <v>4</v>
      </c>
      <c r="AB19" s="162">
        <v>1</v>
      </c>
      <c r="AC19" s="162">
        <v>2</v>
      </c>
      <c r="AD19" s="162">
        <v>3</v>
      </c>
      <c r="AE19" s="162">
        <v>2</v>
      </c>
      <c r="AF19" s="161"/>
      <c r="AG19" s="64">
        <f t="shared" si="2"/>
        <v>112</v>
      </c>
    </row>
    <row r="20" spans="1:33" ht="18.75" x14ac:dyDescent="0.25">
      <c r="A20" s="301" t="s">
        <v>128</v>
      </c>
      <c r="B20" s="249">
        <v>4</v>
      </c>
      <c r="C20" s="162">
        <v>5</v>
      </c>
      <c r="D20" s="162"/>
      <c r="E20" s="162">
        <v>1</v>
      </c>
      <c r="F20" s="162">
        <v>3</v>
      </c>
      <c r="G20" s="162">
        <v>2</v>
      </c>
      <c r="H20" s="162">
        <v>1</v>
      </c>
      <c r="I20" s="162">
        <v>2</v>
      </c>
      <c r="J20" s="162">
        <v>2</v>
      </c>
      <c r="K20" s="162">
        <v>1</v>
      </c>
      <c r="L20" s="162">
        <v>3</v>
      </c>
      <c r="M20" s="162">
        <v>4</v>
      </c>
      <c r="N20" s="162">
        <v>5</v>
      </c>
      <c r="O20" s="162">
        <v>4</v>
      </c>
      <c r="P20" s="162">
        <v>3</v>
      </c>
      <c r="Q20" s="162">
        <v>3</v>
      </c>
      <c r="R20" s="162">
        <v>1</v>
      </c>
      <c r="S20" s="162">
        <v>2</v>
      </c>
      <c r="T20" s="162">
        <v>1</v>
      </c>
      <c r="U20" s="162">
        <v>8</v>
      </c>
      <c r="V20" s="162">
        <v>1</v>
      </c>
      <c r="W20" s="162">
        <v>1</v>
      </c>
      <c r="X20" s="162">
        <v>2</v>
      </c>
      <c r="Y20" s="162">
        <v>5</v>
      </c>
      <c r="Z20" s="162">
        <v>10</v>
      </c>
      <c r="AA20" s="162">
        <v>1</v>
      </c>
      <c r="AB20" s="162">
        <v>2</v>
      </c>
      <c r="AC20" s="162">
        <v>1</v>
      </c>
      <c r="AD20" s="162">
        <v>2</v>
      </c>
      <c r="AE20" s="162">
        <v>2</v>
      </c>
      <c r="AF20" s="161"/>
      <c r="AG20" s="64">
        <f t="shared" si="2"/>
        <v>82</v>
      </c>
    </row>
    <row r="21" spans="1:33" ht="18.75" x14ac:dyDescent="0.25">
      <c r="A21" s="301" t="s">
        <v>127</v>
      </c>
      <c r="B21" s="249">
        <v>2</v>
      </c>
      <c r="C21" s="162">
        <v>4</v>
      </c>
      <c r="D21" s="162"/>
      <c r="E21" s="162">
        <v>2</v>
      </c>
      <c r="F21" s="162"/>
      <c r="G21" s="162">
        <v>2</v>
      </c>
      <c r="H21" s="162">
        <v>1</v>
      </c>
      <c r="I21" s="162">
        <v>2</v>
      </c>
      <c r="J21" s="162"/>
      <c r="K21" s="162">
        <v>4</v>
      </c>
      <c r="L21" s="162">
        <v>2</v>
      </c>
      <c r="M21" s="162">
        <v>3</v>
      </c>
      <c r="N21" s="162">
        <v>1</v>
      </c>
      <c r="O21" s="162">
        <v>3</v>
      </c>
      <c r="P21" s="162">
        <v>3</v>
      </c>
      <c r="Q21" s="162">
        <v>3</v>
      </c>
      <c r="R21" s="162">
        <v>1</v>
      </c>
      <c r="S21" s="162"/>
      <c r="T21" s="162">
        <v>2</v>
      </c>
      <c r="U21" s="162">
        <v>2</v>
      </c>
      <c r="V21" s="162"/>
      <c r="W21" s="162"/>
      <c r="X21" s="162">
        <v>4</v>
      </c>
      <c r="Y21" s="162"/>
      <c r="Z21" s="162">
        <v>1</v>
      </c>
      <c r="AA21" s="162">
        <v>4</v>
      </c>
      <c r="AB21" s="162"/>
      <c r="AC21" s="162">
        <v>2</v>
      </c>
      <c r="AD21" s="162">
        <v>1</v>
      </c>
      <c r="AE21" s="162">
        <v>3</v>
      </c>
      <c r="AF21" s="161"/>
      <c r="AG21" s="64">
        <f t="shared" si="2"/>
        <v>52</v>
      </c>
    </row>
    <row r="22" spans="1:33" ht="18.75" x14ac:dyDescent="0.25">
      <c r="A22" s="301" t="s">
        <v>126</v>
      </c>
      <c r="B22" s="249">
        <v>2</v>
      </c>
      <c r="C22" s="162">
        <v>3</v>
      </c>
      <c r="D22" s="162">
        <v>2</v>
      </c>
      <c r="E22" s="162"/>
      <c r="F22" s="162">
        <v>2</v>
      </c>
      <c r="G22" s="162">
        <v>2</v>
      </c>
      <c r="H22" s="162"/>
      <c r="I22" s="162">
        <v>1</v>
      </c>
      <c r="J22" s="162">
        <v>1</v>
      </c>
      <c r="K22" s="162">
        <v>3</v>
      </c>
      <c r="L22" s="162">
        <v>1</v>
      </c>
      <c r="M22" s="162">
        <v>2</v>
      </c>
      <c r="N22" s="162">
        <v>2</v>
      </c>
      <c r="O22" s="162"/>
      <c r="P22" s="162">
        <v>3</v>
      </c>
      <c r="Q22" s="162">
        <v>2</v>
      </c>
      <c r="R22" s="162"/>
      <c r="S22" s="162"/>
      <c r="T22" s="162"/>
      <c r="U22" s="162">
        <v>2</v>
      </c>
      <c r="V22" s="162"/>
      <c r="W22" s="162"/>
      <c r="X22" s="162"/>
      <c r="Y22" s="162">
        <v>1</v>
      </c>
      <c r="Z22" s="162">
        <v>2</v>
      </c>
      <c r="AA22" s="162">
        <v>2</v>
      </c>
      <c r="AB22" s="162"/>
      <c r="AC22" s="162"/>
      <c r="AD22" s="162">
        <v>1</v>
      </c>
      <c r="AE22" s="162"/>
      <c r="AF22" s="161"/>
      <c r="AG22" s="64">
        <f t="shared" si="2"/>
        <v>34</v>
      </c>
    </row>
    <row r="23" spans="1:33" ht="18.75" x14ac:dyDescent="0.25">
      <c r="A23" s="301" t="s">
        <v>125</v>
      </c>
      <c r="B23" s="249">
        <v>2</v>
      </c>
      <c r="C23" s="162">
        <v>1</v>
      </c>
      <c r="D23" s="162"/>
      <c r="E23" s="162"/>
      <c r="F23" s="162"/>
      <c r="G23" s="162">
        <v>2</v>
      </c>
      <c r="H23" s="162"/>
      <c r="I23" s="162">
        <v>1</v>
      </c>
      <c r="J23" s="162">
        <v>5</v>
      </c>
      <c r="K23" s="162">
        <v>1</v>
      </c>
      <c r="L23" s="162"/>
      <c r="M23" s="162"/>
      <c r="N23" s="162">
        <v>2</v>
      </c>
      <c r="O23" s="162">
        <v>1</v>
      </c>
      <c r="P23" s="162"/>
      <c r="Q23" s="162"/>
      <c r="R23" s="162">
        <v>2</v>
      </c>
      <c r="S23" s="162">
        <v>1</v>
      </c>
      <c r="T23" s="162"/>
      <c r="U23" s="162">
        <v>1</v>
      </c>
      <c r="V23" s="162">
        <v>1</v>
      </c>
      <c r="W23" s="162">
        <v>1</v>
      </c>
      <c r="X23" s="162">
        <v>1</v>
      </c>
      <c r="Y23" s="162"/>
      <c r="Z23" s="162">
        <v>2</v>
      </c>
      <c r="AA23" s="162"/>
      <c r="AB23" s="162">
        <v>2</v>
      </c>
      <c r="AC23" s="162">
        <v>1</v>
      </c>
      <c r="AD23" s="162">
        <v>3</v>
      </c>
      <c r="AE23" s="162">
        <v>1</v>
      </c>
      <c r="AF23" s="161"/>
      <c r="AG23" s="64">
        <f t="shared" si="2"/>
        <v>31</v>
      </c>
    </row>
    <row r="24" spans="1:33" ht="18.75" x14ac:dyDescent="0.25">
      <c r="A24" s="301" t="s">
        <v>124</v>
      </c>
      <c r="B24" s="249"/>
      <c r="C24" s="162">
        <v>2</v>
      </c>
      <c r="D24" s="162"/>
      <c r="E24" s="162">
        <v>1</v>
      </c>
      <c r="F24" s="162"/>
      <c r="G24" s="162">
        <v>3</v>
      </c>
      <c r="H24" s="162"/>
      <c r="I24" s="162"/>
      <c r="J24" s="162"/>
      <c r="K24" s="162">
        <v>1</v>
      </c>
      <c r="L24" s="162"/>
      <c r="M24" s="162"/>
      <c r="N24" s="162"/>
      <c r="O24" s="162">
        <v>1</v>
      </c>
      <c r="P24" s="162">
        <v>1</v>
      </c>
      <c r="Q24" s="162">
        <v>4</v>
      </c>
      <c r="R24" s="162"/>
      <c r="S24" s="162"/>
      <c r="T24" s="162"/>
      <c r="U24" s="162"/>
      <c r="V24" s="162">
        <v>1</v>
      </c>
      <c r="W24" s="162"/>
      <c r="X24" s="162"/>
      <c r="Y24" s="162"/>
      <c r="Z24" s="162"/>
      <c r="AA24" s="162">
        <v>1</v>
      </c>
      <c r="AB24" s="162"/>
      <c r="AC24" s="162"/>
      <c r="AD24" s="162"/>
      <c r="AE24" s="162">
        <v>1</v>
      </c>
      <c r="AF24" s="161"/>
      <c r="AG24" s="64">
        <f t="shared" si="2"/>
        <v>16</v>
      </c>
    </row>
    <row r="25" spans="1:33" ht="18.75" x14ac:dyDescent="0.25">
      <c r="A25" s="301" t="s">
        <v>123</v>
      </c>
      <c r="B25" s="249">
        <v>2</v>
      </c>
      <c r="C25" s="162">
        <v>2</v>
      </c>
      <c r="D25" s="162"/>
      <c r="E25" s="162">
        <v>1</v>
      </c>
      <c r="F25" s="162"/>
      <c r="G25" s="162">
        <v>1</v>
      </c>
      <c r="H25" s="162">
        <v>3</v>
      </c>
      <c r="I25" s="162"/>
      <c r="J25" s="162"/>
      <c r="K25" s="162">
        <v>1</v>
      </c>
      <c r="L25" s="162"/>
      <c r="M25" s="162">
        <v>2</v>
      </c>
      <c r="N25" s="162">
        <v>1</v>
      </c>
      <c r="O25" s="162">
        <v>2</v>
      </c>
      <c r="P25" s="162">
        <v>1</v>
      </c>
      <c r="Q25" s="162"/>
      <c r="R25" s="162">
        <v>1</v>
      </c>
      <c r="S25" s="162"/>
      <c r="T25" s="162">
        <v>1</v>
      </c>
      <c r="U25" s="162"/>
      <c r="V25" s="162">
        <v>1</v>
      </c>
      <c r="W25" s="162"/>
      <c r="X25" s="162">
        <v>2</v>
      </c>
      <c r="Y25" s="162">
        <v>3</v>
      </c>
      <c r="Z25" s="162"/>
      <c r="AA25" s="162">
        <v>2</v>
      </c>
      <c r="AB25" s="162"/>
      <c r="AC25" s="162"/>
      <c r="AD25" s="162">
        <v>1</v>
      </c>
      <c r="AE25" s="162"/>
      <c r="AF25" s="161"/>
      <c r="AG25" s="64">
        <f t="shared" si="2"/>
        <v>27</v>
      </c>
    </row>
    <row r="26" spans="1:33" ht="18.75" x14ac:dyDescent="0.25">
      <c r="A26" s="301" t="s">
        <v>122</v>
      </c>
      <c r="B26" s="249">
        <v>2</v>
      </c>
      <c r="C26" s="162">
        <v>1</v>
      </c>
      <c r="D26" s="162"/>
      <c r="E26" s="162">
        <v>2</v>
      </c>
      <c r="F26" s="162">
        <v>2</v>
      </c>
      <c r="G26" s="162">
        <v>1</v>
      </c>
      <c r="H26" s="162"/>
      <c r="I26" s="162">
        <v>1</v>
      </c>
      <c r="J26" s="162"/>
      <c r="K26" s="162"/>
      <c r="L26" s="162"/>
      <c r="M26" s="162">
        <v>2</v>
      </c>
      <c r="N26" s="162">
        <v>1</v>
      </c>
      <c r="O26" s="162"/>
      <c r="P26" s="162">
        <v>1</v>
      </c>
      <c r="Q26" s="162">
        <v>1</v>
      </c>
      <c r="R26" s="162"/>
      <c r="S26" s="162"/>
      <c r="T26" s="162"/>
      <c r="U26" s="162"/>
      <c r="V26" s="162"/>
      <c r="W26" s="162"/>
      <c r="X26" s="162">
        <v>1</v>
      </c>
      <c r="Y26" s="162">
        <v>1</v>
      </c>
      <c r="Z26" s="162">
        <v>1</v>
      </c>
      <c r="AA26" s="162">
        <v>1</v>
      </c>
      <c r="AB26" s="162">
        <v>3</v>
      </c>
      <c r="AC26" s="162"/>
      <c r="AD26" s="162">
        <v>1</v>
      </c>
      <c r="AE26" s="162">
        <v>1</v>
      </c>
      <c r="AF26" s="161"/>
      <c r="AG26" s="64">
        <f t="shared" si="2"/>
        <v>23</v>
      </c>
    </row>
    <row r="27" spans="1:33" ht="19.5" thickBot="1" x14ac:dyDescent="0.3">
      <c r="A27" s="302" t="s">
        <v>121</v>
      </c>
      <c r="B27" s="250"/>
      <c r="C27" s="212">
        <v>2</v>
      </c>
      <c r="D27" s="212">
        <v>3</v>
      </c>
      <c r="E27" s="212">
        <v>1</v>
      </c>
      <c r="F27" s="212">
        <v>2</v>
      </c>
      <c r="G27" s="212"/>
      <c r="H27" s="212"/>
      <c r="I27" s="212">
        <v>1</v>
      </c>
      <c r="J27" s="212"/>
      <c r="K27" s="212"/>
      <c r="L27" s="212">
        <v>4</v>
      </c>
      <c r="M27" s="212"/>
      <c r="N27" s="212">
        <v>1</v>
      </c>
      <c r="O27" s="212"/>
      <c r="P27" s="212">
        <v>2</v>
      </c>
      <c r="Q27" s="212"/>
      <c r="R27" s="212"/>
      <c r="S27" s="212"/>
      <c r="T27" s="212"/>
      <c r="U27" s="212"/>
      <c r="V27" s="212">
        <v>1</v>
      </c>
      <c r="W27" s="212"/>
      <c r="X27" s="212">
        <v>2</v>
      </c>
      <c r="Y27" s="212">
        <v>3</v>
      </c>
      <c r="Z27" s="212">
        <v>1</v>
      </c>
      <c r="AA27" s="212"/>
      <c r="AB27" s="212"/>
      <c r="AC27" s="212">
        <v>2</v>
      </c>
      <c r="AD27" s="212">
        <v>2</v>
      </c>
      <c r="AE27" s="212"/>
      <c r="AF27" s="211"/>
      <c r="AG27" s="64">
        <f t="shared" si="2"/>
        <v>27</v>
      </c>
    </row>
    <row r="28" spans="1:33" ht="18.75" x14ac:dyDescent="0.25">
      <c r="A28" s="303" t="s">
        <v>146</v>
      </c>
      <c r="B28" s="251">
        <f t="shared" ref="B28:AF28" si="3">SUM(B29:B52)</f>
        <v>117</v>
      </c>
      <c r="C28" s="209">
        <f t="shared" si="3"/>
        <v>153</v>
      </c>
      <c r="D28" s="209">
        <f t="shared" si="3"/>
        <v>133</v>
      </c>
      <c r="E28" s="209">
        <f t="shared" si="3"/>
        <v>127</v>
      </c>
      <c r="F28" s="209">
        <f t="shared" si="3"/>
        <v>149</v>
      </c>
      <c r="G28" s="209">
        <f t="shared" si="3"/>
        <v>125</v>
      </c>
      <c r="H28" s="209">
        <f t="shared" si="3"/>
        <v>130</v>
      </c>
      <c r="I28" s="209">
        <f t="shared" si="3"/>
        <v>124</v>
      </c>
      <c r="J28" s="209">
        <f t="shared" si="3"/>
        <v>130</v>
      </c>
      <c r="K28" s="209">
        <f t="shared" si="3"/>
        <v>148</v>
      </c>
      <c r="L28" s="209">
        <f t="shared" si="3"/>
        <v>141</v>
      </c>
      <c r="M28" s="209">
        <f t="shared" si="3"/>
        <v>145</v>
      </c>
      <c r="N28" s="209">
        <f t="shared" si="3"/>
        <v>156</v>
      </c>
      <c r="O28" s="209">
        <f t="shared" si="3"/>
        <v>138</v>
      </c>
      <c r="P28" s="209">
        <f t="shared" si="3"/>
        <v>133</v>
      </c>
      <c r="Q28" s="209">
        <f t="shared" si="3"/>
        <v>145</v>
      </c>
      <c r="R28" s="209">
        <f t="shared" si="3"/>
        <v>124</v>
      </c>
      <c r="S28" s="209">
        <f t="shared" si="3"/>
        <v>126</v>
      </c>
      <c r="T28" s="209">
        <f t="shared" si="3"/>
        <v>156</v>
      </c>
      <c r="U28" s="209">
        <f t="shared" si="3"/>
        <v>127</v>
      </c>
      <c r="V28" s="209">
        <f t="shared" si="3"/>
        <v>99</v>
      </c>
      <c r="W28" s="209">
        <f t="shared" si="3"/>
        <v>107</v>
      </c>
      <c r="X28" s="209">
        <f t="shared" si="3"/>
        <v>125</v>
      </c>
      <c r="Y28" s="209">
        <f t="shared" si="3"/>
        <v>120</v>
      </c>
      <c r="Z28" s="209">
        <f t="shared" si="3"/>
        <v>124</v>
      </c>
      <c r="AA28" s="209">
        <f t="shared" si="3"/>
        <v>137</v>
      </c>
      <c r="AB28" s="209">
        <f t="shared" si="3"/>
        <v>106</v>
      </c>
      <c r="AC28" s="209">
        <f t="shared" si="3"/>
        <v>126</v>
      </c>
      <c r="AD28" s="209">
        <f t="shared" si="3"/>
        <v>125</v>
      </c>
      <c r="AE28" s="209">
        <f t="shared" si="3"/>
        <v>83</v>
      </c>
      <c r="AF28" s="209">
        <f t="shared" si="3"/>
        <v>0</v>
      </c>
      <c r="AG28" s="164">
        <f t="shared" si="2"/>
        <v>3879</v>
      </c>
    </row>
    <row r="29" spans="1:33" ht="18.75" x14ac:dyDescent="0.25">
      <c r="A29" s="301" t="s">
        <v>144</v>
      </c>
      <c r="B29" s="249">
        <v>1</v>
      </c>
      <c r="C29" s="162"/>
      <c r="D29" s="162">
        <v>2</v>
      </c>
      <c r="E29" s="162">
        <v>4</v>
      </c>
      <c r="F29" s="162">
        <v>6</v>
      </c>
      <c r="G29" s="162">
        <v>1</v>
      </c>
      <c r="H29" s="162">
        <v>3</v>
      </c>
      <c r="I29" s="162">
        <v>2</v>
      </c>
      <c r="J29" s="162"/>
      <c r="K29" s="162">
        <v>4</v>
      </c>
      <c r="L29" s="162">
        <v>5</v>
      </c>
      <c r="M29" s="162">
        <v>1</v>
      </c>
      <c r="N29" s="162">
        <v>1</v>
      </c>
      <c r="O29" s="162">
        <v>3</v>
      </c>
      <c r="P29" s="162">
        <v>1</v>
      </c>
      <c r="Q29" s="162"/>
      <c r="R29" s="162"/>
      <c r="S29" s="162">
        <v>2</v>
      </c>
      <c r="T29" s="162">
        <v>6</v>
      </c>
      <c r="U29" s="162"/>
      <c r="V29" s="162">
        <v>1</v>
      </c>
      <c r="W29" s="162">
        <v>3</v>
      </c>
      <c r="X29" s="162"/>
      <c r="Y29" s="162">
        <v>1</v>
      </c>
      <c r="Z29" s="162"/>
      <c r="AA29" s="162"/>
      <c r="AB29" s="162">
        <v>2</v>
      </c>
      <c r="AC29" s="162">
        <v>6</v>
      </c>
      <c r="AD29" s="162">
        <v>2</v>
      </c>
      <c r="AE29" s="162">
        <v>1</v>
      </c>
      <c r="AF29" s="161"/>
      <c r="AG29" s="64">
        <f t="shared" si="2"/>
        <v>58</v>
      </c>
    </row>
    <row r="30" spans="1:33" ht="18.75" x14ac:dyDescent="0.25">
      <c r="A30" s="301" t="s">
        <v>143</v>
      </c>
      <c r="B30" s="249"/>
      <c r="C30" s="162">
        <v>4</v>
      </c>
      <c r="D30" s="162">
        <v>3</v>
      </c>
      <c r="E30" s="162">
        <v>13</v>
      </c>
      <c r="F30" s="162">
        <v>3</v>
      </c>
      <c r="G30" s="162">
        <v>3</v>
      </c>
      <c r="H30" s="162">
        <v>6</v>
      </c>
      <c r="I30" s="162">
        <v>2</v>
      </c>
      <c r="J30" s="162">
        <v>3</v>
      </c>
      <c r="K30" s="162">
        <v>4</v>
      </c>
      <c r="L30" s="162">
        <v>7</v>
      </c>
      <c r="M30" s="162">
        <v>7</v>
      </c>
      <c r="N30" s="162">
        <v>4</v>
      </c>
      <c r="O30" s="162">
        <v>1</v>
      </c>
      <c r="P30" s="162">
        <v>3</v>
      </c>
      <c r="Q30" s="162">
        <v>1</v>
      </c>
      <c r="R30" s="162">
        <v>9</v>
      </c>
      <c r="S30" s="162">
        <v>2</v>
      </c>
      <c r="T30" s="162">
        <v>3</v>
      </c>
      <c r="U30" s="162">
        <v>6</v>
      </c>
      <c r="V30" s="162">
        <v>1</v>
      </c>
      <c r="W30" s="162">
        <v>2</v>
      </c>
      <c r="X30" s="162">
        <v>2</v>
      </c>
      <c r="Y30" s="162">
        <v>8</v>
      </c>
      <c r="Z30" s="162">
        <v>7</v>
      </c>
      <c r="AA30" s="162">
        <v>5</v>
      </c>
      <c r="AB30" s="162">
        <v>1</v>
      </c>
      <c r="AC30" s="162">
        <v>3</v>
      </c>
      <c r="AD30" s="162">
        <v>4</v>
      </c>
      <c r="AE30" s="162">
        <v>1</v>
      </c>
      <c r="AF30" s="161"/>
      <c r="AG30" s="64">
        <f t="shared" si="2"/>
        <v>118</v>
      </c>
    </row>
    <row r="31" spans="1:33" ht="18.75" x14ac:dyDescent="0.25">
      <c r="A31" s="301" t="s">
        <v>142</v>
      </c>
      <c r="B31" s="249">
        <v>4</v>
      </c>
      <c r="C31" s="162">
        <v>7</v>
      </c>
      <c r="D31" s="162">
        <v>8</v>
      </c>
      <c r="E31" s="162">
        <v>8</v>
      </c>
      <c r="F31" s="162">
        <v>4</v>
      </c>
      <c r="G31" s="162">
        <v>2</v>
      </c>
      <c r="H31" s="162">
        <v>5</v>
      </c>
      <c r="I31" s="162">
        <v>4</v>
      </c>
      <c r="J31" s="162">
        <v>5</v>
      </c>
      <c r="K31" s="162">
        <v>8</v>
      </c>
      <c r="L31" s="162">
        <v>10</v>
      </c>
      <c r="M31" s="162">
        <v>8</v>
      </c>
      <c r="N31" s="162">
        <v>3</v>
      </c>
      <c r="O31" s="162">
        <v>2</v>
      </c>
      <c r="P31" s="162">
        <v>2</v>
      </c>
      <c r="Q31" s="162">
        <v>7</v>
      </c>
      <c r="R31" s="162">
        <v>12</v>
      </c>
      <c r="S31" s="162">
        <v>5</v>
      </c>
      <c r="T31" s="162">
        <v>10</v>
      </c>
      <c r="U31" s="162">
        <v>5</v>
      </c>
      <c r="V31" s="162">
        <v>7</v>
      </c>
      <c r="W31" s="162">
        <v>2</v>
      </c>
      <c r="X31" s="162">
        <v>5</v>
      </c>
      <c r="Y31" s="162">
        <v>2</v>
      </c>
      <c r="Z31" s="162">
        <v>6</v>
      </c>
      <c r="AA31" s="162">
        <v>4</v>
      </c>
      <c r="AB31" s="162">
        <v>4</v>
      </c>
      <c r="AC31" s="162">
        <v>3</v>
      </c>
      <c r="AD31" s="162">
        <v>4</v>
      </c>
      <c r="AE31" s="162">
        <v>1</v>
      </c>
      <c r="AF31" s="161"/>
      <c r="AG31" s="64">
        <f t="shared" si="2"/>
        <v>157</v>
      </c>
    </row>
    <row r="32" spans="1:33" ht="18.75" x14ac:dyDescent="0.25">
      <c r="A32" s="301" t="s">
        <v>141</v>
      </c>
      <c r="B32" s="249">
        <v>6</v>
      </c>
      <c r="C32" s="162">
        <v>6</v>
      </c>
      <c r="D32" s="162">
        <v>8</v>
      </c>
      <c r="E32" s="162">
        <v>7</v>
      </c>
      <c r="F32" s="162">
        <v>5</v>
      </c>
      <c r="G32" s="162">
        <v>3</v>
      </c>
      <c r="H32" s="162">
        <v>8</v>
      </c>
      <c r="I32" s="162">
        <v>7</v>
      </c>
      <c r="J32" s="162">
        <v>2</v>
      </c>
      <c r="K32" s="162">
        <v>8</v>
      </c>
      <c r="L32" s="162">
        <v>10</v>
      </c>
      <c r="M32" s="162">
        <v>1</v>
      </c>
      <c r="N32" s="162">
        <v>3</v>
      </c>
      <c r="O32" s="162">
        <v>4</v>
      </c>
      <c r="P32" s="162">
        <v>6</v>
      </c>
      <c r="Q32" s="162">
        <v>3</v>
      </c>
      <c r="R32" s="162">
        <v>4</v>
      </c>
      <c r="S32" s="162">
        <v>12</v>
      </c>
      <c r="T32" s="162">
        <v>4</v>
      </c>
      <c r="U32" s="162">
        <v>5</v>
      </c>
      <c r="V32" s="162">
        <v>4</v>
      </c>
      <c r="W32" s="162">
        <v>5</v>
      </c>
      <c r="X32" s="162">
        <v>5</v>
      </c>
      <c r="Y32" s="162">
        <v>8</v>
      </c>
      <c r="Z32" s="162">
        <v>9</v>
      </c>
      <c r="AA32" s="162">
        <v>3</v>
      </c>
      <c r="AB32" s="162">
        <v>3</v>
      </c>
      <c r="AC32" s="162">
        <v>3</v>
      </c>
      <c r="AD32" s="162">
        <v>5</v>
      </c>
      <c r="AE32" s="162">
        <v>2</v>
      </c>
      <c r="AF32" s="161"/>
      <c r="AG32" s="64">
        <f t="shared" si="2"/>
        <v>159</v>
      </c>
    </row>
    <row r="33" spans="1:33" ht="18.75" x14ac:dyDescent="0.25">
      <c r="A33" s="301" t="s">
        <v>140</v>
      </c>
      <c r="B33" s="249">
        <v>8</v>
      </c>
      <c r="C33" s="162">
        <v>9</v>
      </c>
      <c r="D33" s="162">
        <v>9</v>
      </c>
      <c r="E33" s="162">
        <v>5</v>
      </c>
      <c r="F33" s="162">
        <v>8</v>
      </c>
      <c r="G33" s="162">
        <v>5</v>
      </c>
      <c r="H33" s="162">
        <v>4</v>
      </c>
      <c r="I33" s="162">
        <v>6</v>
      </c>
      <c r="J33" s="162">
        <v>4</v>
      </c>
      <c r="K33" s="162">
        <v>7</v>
      </c>
      <c r="L33" s="162">
        <v>11</v>
      </c>
      <c r="M33" s="162">
        <v>9</v>
      </c>
      <c r="N33" s="162">
        <v>5</v>
      </c>
      <c r="O33" s="162">
        <v>2</v>
      </c>
      <c r="P33" s="162">
        <v>5</v>
      </c>
      <c r="Q33" s="162">
        <v>5</v>
      </c>
      <c r="R33" s="162">
        <v>9</v>
      </c>
      <c r="S33" s="162">
        <v>6</v>
      </c>
      <c r="T33" s="162">
        <v>9</v>
      </c>
      <c r="U33" s="162">
        <v>5</v>
      </c>
      <c r="V33" s="162">
        <v>4</v>
      </c>
      <c r="W33" s="162">
        <v>4</v>
      </c>
      <c r="X33" s="162">
        <v>5</v>
      </c>
      <c r="Y33" s="162">
        <v>7</v>
      </c>
      <c r="Z33" s="162">
        <v>8</v>
      </c>
      <c r="AA33" s="162">
        <v>3</v>
      </c>
      <c r="AB33" s="162">
        <v>5</v>
      </c>
      <c r="AC33" s="162">
        <v>4</v>
      </c>
      <c r="AD33" s="162">
        <v>7</v>
      </c>
      <c r="AE33" s="162">
        <v>3</v>
      </c>
      <c r="AF33" s="161"/>
      <c r="AG33" s="64">
        <f t="shared" si="2"/>
        <v>181</v>
      </c>
    </row>
    <row r="34" spans="1:33" ht="18.75" x14ac:dyDescent="0.25">
      <c r="A34" s="301" t="s">
        <v>139</v>
      </c>
      <c r="B34" s="249">
        <v>2</v>
      </c>
      <c r="C34" s="162">
        <v>8</v>
      </c>
      <c r="D34" s="162">
        <v>6</v>
      </c>
      <c r="E34" s="162">
        <v>11</v>
      </c>
      <c r="F34" s="162">
        <v>2</v>
      </c>
      <c r="G34" s="162">
        <v>4</v>
      </c>
      <c r="H34" s="162">
        <v>2</v>
      </c>
      <c r="I34" s="162">
        <v>6</v>
      </c>
      <c r="J34" s="162">
        <v>3</v>
      </c>
      <c r="K34" s="162">
        <v>9</v>
      </c>
      <c r="L34" s="162">
        <v>7</v>
      </c>
      <c r="M34" s="162">
        <v>9</v>
      </c>
      <c r="N34" s="162">
        <v>3</v>
      </c>
      <c r="O34" s="162">
        <v>3</v>
      </c>
      <c r="P34" s="162">
        <v>4</v>
      </c>
      <c r="Q34" s="162">
        <v>4</v>
      </c>
      <c r="R34" s="162">
        <v>10</v>
      </c>
      <c r="S34" s="162">
        <v>11</v>
      </c>
      <c r="T34" s="162">
        <v>6</v>
      </c>
      <c r="U34" s="162">
        <v>4</v>
      </c>
      <c r="V34" s="162">
        <v>3</v>
      </c>
      <c r="W34" s="162">
        <v>3</v>
      </c>
      <c r="X34" s="162">
        <v>2</v>
      </c>
      <c r="Y34" s="162">
        <v>5</v>
      </c>
      <c r="Z34" s="162">
        <v>12</v>
      </c>
      <c r="AA34" s="162">
        <v>6</v>
      </c>
      <c r="AB34" s="162">
        <v>4</v>
      </c>
      <c r="AC34" s="162">
        <v>4</v>
      </c>
      <c r="AD34" s="162">
        <v>2</v>
      </c>
      <c r="AE34" s="162">
        <v>4</v>
      </c>
      <c r="AF34" s="161"/>
      <c r="AG34" s="64">
        <f t="shared" si="2"/>
        <v>159</v>
      </c>
    </row>
    <row r="35" spans="1:33" ht="18.75" x14ac:dyDescent="0.25">
      <c r="A35" s="301" t="s">
        <v>138</v>
      </c>
      <c r="B35" s="249">
        <v>5</v>
      </c>
      <c r="C35" s="162">
        <v>12</v>
      </c>
      <c r="D35" s="162">
        <v>9</v>
      </c>
      <c r="E35" s="162">
        <v>12</v>
      </c>
      <c r="F35" s="162">
        <v>9</v>
      </c>
      <c r="G35" s="162">
        <v>5</v>
      </c>
      <c r="H35" s="162">
        <v>9</v>
      </c>
      <c r="I35" s="162">
        <v>3</v>
      </c>
      <c r="J35" s="162">
        <v>2</v>
      </c>
      <c r="K35" s="162">
        <v>7</v>
      </c>
      <c r="L35" s="162">
        <v>10</v>
      </c>
      <c r="M35" s="162">
        <v>7</v>
      </c>
      <c r="N35" s="162">
        <v>11</v>
      </c>
      <c r="O35" s="162">
        <v>5</v>
      </c>
      <c r="P35" s="162">
        <v>3</v>
      </c>
      <c r="Q35" s="162">
        <v>5</v>
      </c>
      <c r="R35" s="162">
        <v>13</v>
      </c>
      <c r="S35" s="162">
        <v>9</v>
      </c>
      <c r="T35" s="162">
        <v>7</v>
      </c>
      <c r="U35" s="162">
        <v>4</v>
      </c>
      <c r="V35" s="162">
        <v>7</v>
      </c>
      <c r="W35" s="162">
        <v>4</v>
      </c>
      <c r="X35" s="162">
        <v>14</v>
      </c>
      <c r="Y35" s="162">
        <v>7</v>
      </c>
      <c r="Z35" s="162">
        <v>5</v>
      </c>
      <c r="AA35" s="162">
        <v>3</v>
      </c>
      <c r="AB35" s="162">
        <v>2</v>
      </c>
      <c r="AC35" s="162">
        <v>1</v>
      </c>
      <c r="AD35" s="162">
        <v>5</v>
      </c>
      <c r="AE35" s="162">
        <v>5</v>
      </c>
      <c r="AF35" s="161"/>
      <c r="AG35" s="64">
        <f t="shared" si="2"/>
        <v>200</v>
      </c>
    </row>
    <row r="36" spans="1:33" ht="18.75" x14ac:dyDescent="0.25">
      <c r="A36" s="301" t="s">
        <v>137</v>
      </c>
      <c r="B36" s="249">
        <v>3</v>
      </c>
      <c r="C36" s="162">
        <v>9</v>
      </c>
      <c r="D36" s="162">
        <v>9</v>
      </c>
      <c r="E36" s="162">
        <v>16</v>
      </c>
      <c r="F36" s="162">
        <v>7</v>
      </c>
      <c r="G36" s="162">
        <v>7</v>
      </c>
      <c r="H36" s="162">
        <v>5</v>
      </c>
      <c r="I36" s="162">
        <v>5</v>
      </c>
      <c r="J36" s="162">
        <v>3</v>
      </c>
      <c r="K36" s="162">
        <v>14</v>
      </c>
      <c r="L36" s="162">
        <v>6</v>
      </c>
      <c r="M36" s="162">
        <v>6</v>
      </c>
      <c r="N36" s="162">
        <v>12</v>
      </c>
      <c r="O36" s="162">
        <v>4</v>
      </c>
      <c r="P36" s="162">
        <v>7</v>
      </c>
      <c r="Q36" s="162">
        <v>6</v>
      </c>
      <c r="R36" s="162">
        <v>12</v>
      </c>
      <c r="S36" s="162">
        <v>8</v>
      </c>
      <c r="T36" s="162">
        <v>4</v>
      </c>
      <c r="U36" s="162">
        <v>8</v>
      </c>
      <c r="V36" s="162">
        <v>3</v>
      </c>
      <c r="W36" s="162">
        <v>4</v>
      </c>
      <c r="X36" s="162">
        <v>6</v>
      </c>
      <c r="Y36" s="162">
        <v>8</v>
      </c>
      <c r="Z36" s="162">
        <v>9</v>
      </c>
      <c r="AA36" s="162">
        <v>7</v>
      </c>
      <c r="AB36" s="162">
        <v>3</v>
      </c>
      <c r="AC36" s="162">
        <v>6</v>
      </c>
      <c r="AD36" s="162">
        <v>3</v>
      </c>
      <c r="AE36" s="162">
        <v>5</v>
      </c>
      <c r="AF36" s="161"/>
      <c r="AG36" s="64">
        <f t="shared" si="2"/>
        <v>205</v>
      </c>
    </row>
    <row r="37" spans="1:33" ht="18.75" x14ac:dyDescent="0.25">
      <c r="A37" s="301" t="s">
        <v>136</v>
      </c>
      <c r="B37" s="249">
        <v>2</v>
      </c>
      <c r="C37" s="162">
        <v>15</v>
      </c>
      <c r="D37" s="162">
        <v>12</v>
      </c>
      <c r="E37" s="162">
        <v>11</v>
      </c>
      <c r="F37" s="162">
        <v>3</v>
      </c>
      <c r="G37" s="162">
        <v>3</v>
      </c>
      <c r="H37" s="162">
        <v>4</v>
      </c>
      <c r="I37" s="162">
        <v>6</v>
      </c>
      <c r="J37" s="162">
        <v>4</v>
      </c>
      <c r="K37" s="162">
        <v>13</v>
      </c>
      <c r="L37" s="162">
        <v>12</v>
      </c>
      <c r="M37" s="162">
        <v>7</v>
      </c>
      <c r="N37" s="162">
        <v>7</v>
      </c>
      <c r="O37" s="162">
        <v>11</v>
      </c>
      <c r="P37" s="162">
        <v>7</v>
      </c>
      <c r="Q37" s="162">
        <v>3</v>
      </c>
      <c r="R37" s="162">
        <v>6</v>
      </c>
      <c r="S37" s="162">
        <v>10</v>
      </c>
      <c r="T37" s="162">
        <v>6</v>
      </c>
      <c r="U37" s="162">
        <v>5</v>
      </c>
      <c r="V37" s="162">
        <v>1</v>
      </c>
      <c r="W37" s="162">
        <v>2</v>
      </c>
      <c r="X37" s="162">
        <v>3</v>
      </c>
      <c r="Y37" s="162">
        <v>10</v>
      </c>
      <c r="Z37" s="162">
        <v>8</v>
      </c>
      <c r="AA37" s="162">
        <v>5</v>
      </c>
      <c r="AB37" s="162">
        <v>6</v>
      </c>
      <c r="AC37" s="162">
        <v>4</v>
      </c>
      <c r="AD37" s="162">
        <v>5</v>
      </c>
      <c r="AE37" s="162">
        <v>9</v>
      </c>
      <c r="AF37" s="161"/>
      <c r="AG37" s="64">
        <f t="shared" si="2"/>
        <v>200</v>
      </c>
    </row>
    <row r="38" spans="1:33" ht="18.75" x14ac:dyDescent="0.25">
      <c r="A38" s="301" t="s">
        <v>135</v>
      </c>
      <c r="B38" s="249">
        <v>9</v>
      </c>
      <c r="C38" s="162">
        <v>10</v>
      </c>
      <c r="D38" s="162">
        <v>5</v>
      </c>
      <c r="E38" s="162">
        <v>6</v>
      </c>
      <c r="F38" s="162">
        <v>12</v>
      </c>
      <c r="G38" s="162">
        <v>8</v>
      </c>
      <c r="H38" s="162">
        <v>8</v>
      </c>
      <c r="I38" s="162">
        <v>14</v>
      </c>
      <c r="J38" s="162">
        <v>14</v>
      </c>
      <c r="K38" s="162">
        <v>13</v>
      </c>
      <c r="L38" s="162">
        <v>10</v>
      </c>
      <c r="M38" s="162">
        <v>5</v>
      </c>
      <c r="N38" s="162">
        <v>11</v>
      </c>
      <c r="O38" s="162">
        <v>8</v>
      </c>
      <c r="P38" s="162">
        <v>7</v>
      </c>
      <c r="Q38" s="162">
        <v>11</v>
      </c>
      <c r="R38" s="162">
        <v>9</v>
      </c>
      <c r="S38" s="162">
        <v>9</v>
      </c>
      <c r="T38" s="162">
        <v>5</v>
      </c>
      <c r="U38" s="162">
        <v>10</v>
      </c>
      <c r="V38" s="162">
        <v>7</v>
      </c>
      <c r="W38" s="162">
        <v>5</v>
      </c>
      <c r="X38" s="162">
        <v>5</v>
      </c>
      <c r="Y38" s="162">
        <v>6</v>
      </c>
      <c r="Z38" s="162">
        <v>7</v>
      </c>
      <c r="AA38" s="162">
        <v>5</v>
      </c>
      <c r="AB38" s="162">
        <v>6</v>
      </c>
      <c r="AC38" s="162">
        <v>6</v>
      </c>
      <c r="AD38" s="162">
        <v>6</v>
      </c>
      <c r="AE38" s="162">
        <v>11</v>
      </c>
      <c r="AF38" s="161"/>
      <c r="AG38" s="64">
        <f t="shared" si="2"/>
        <v>248</v>
      </c>
    </row>
    <row r="39" spans="1:33" ht="18.75" x14ac:dyDescent="0.25">
      <c r="A39" s="301" t="s">
        <v>134</v>
      </c>
      <c r="B39" s="249">
        <v>15</v>
      </c>
      <c r="C39" s="162">
        <v>18</v>
      </c>
      <c r="D39" s="162">
        <v>11</v>
      </c>
      <c r="E39" s="162">
        <v>6</v>
      </c>
      <c r="F39" s="162">
        <v>17</v>
      </c>
      <c r="G39" s="162">
        <v>16</v>
      </c>
      <c r="H39" s="162">
        <v>17</v>
      </c>
      <c r="I39" s="162">
        <v>17</v>
      </c>
      <c r="J39" s="162">
        <v>19</v>
      </c>
      <c r="K39" s="162">
        <v>15</v>
      </c>
      <c r="L39" s="162">
        <v>9</v>
      </c>
      <c r="M39" s="162">
        <v>16</v>
      </c>
      <c r="N39" s="162">
        <v>14</v>
      </c>
      <c r="O39" s="162">
        <v>15</v>
      </c>
      <c r="P39" s="162">
        <v>14</v>
      </c>
      <c r="Q39" s="162">
        <v>17</v>
      </c>
      <c r="R39" s="162">
        <v>11</v>
      </c>
      <c r="S39" s="162">
        <v>10</v>
      </c>
      <c r="T39" s="162">
        <v>20</v>
      </c>
      <c r="U39" s="162">
        <v>12</v>
      </c>
      <c r="V39" s="162">
        <v>12</v>
      </c>
      <c r="W39" s="162">
        <v>18</v>
      </c>
      <c r="X39" s="162">
        <v>15</v>
      </c>
      <c r="Y39" s="162">
        <v>13</v>
      </c>
      <c r="Z39" s="162">
        <v>13</v>
      </c>
      <c r="AA39" s="162">
        <v>16</v>
      </c>
      <c r="AB39" s="162">
        <v>16</v>
      </c>
      <c r="AC39" s="162">
        <v>14</v>
      </c>
      <c r="AD39" s="162">
        <v>11</v>
      </c>
      <c r="AE39" s="162">
        <v>9</v>
      </c>
      <c r="AF39" s="161"/>
      <c r="AG39" s="64">
        <f t="shared" si="2"/>
        <v>426</v>
      </c>
    </row>
    <row r="40" spans="1:33" ht="18.75" x14ac:dyDescent="0.25">
      <c r="A40" s="301" t="s">
        <v>133</v>
      </c>
      <c r="B40" s="249">
        <v>17</v>
      </c>
      <c r="C40" s="162">
        <v>10</v>
      </c>
      <c r="D40" s="162">
        <v>9</v>
      </c>
      <c r="E40" s="162">
        <v>2</v>
      </c>
      <c r="F40" s="162">
        <v>18</v>
      </c>
      <c r="G40" s="162">
        <v>18</v>
      </c>
      <c r="H40" s="162">
        <v>19</v>
      </c>
      <c r="I40" s="162">
        <v>18</v>
      </c>
      <c r="J40" s="162">
        <v>21</v>
      </c>
      <c r="K40" s="162">
        <v>8</v>
      </c>
      <c r="L40" s="162">
        <v>9</v>
      </c>
      <c r="M40" s="162">
        <v>15</v>
      </c>
      <c r="N40" s="162">
        <v>19</v>
      </c>
      <c r="O40" s="162">
        <v>21</v>
      </c>
      <c r="P40" s="162">
        <v>13</v>
      </c>
      <c r="Q40" s="162">
        <v>19</v>
      </c>
      <c r="R40" s="162">
        <v>8</v>
      </c>
      <c r="S40" s="162">
        <v>9</v>
      </c>
      <c r="T40" s="162">
        <v>21</v>
      </c>
      <c r="U40" s="162">
        <v>21</v>
      </c>
      <c r="V40" s="162">
        <v>21</v>
      </c>
      <c r="W40" s="162">
        <v>18</v>
      </c>
      <c r="X40" s="162">
        <v>20</v>
      </c>
      <c r="Y40" s="162">
        <v>15</v>
      </c>
      <c r="Z40" s="162">
        <v>14</v>
      </c>
      <c r="AA40" s="162">
        <v>18</v>
      </c>
      <c r="AB40" s="162">
        <v>21</v>
      </c>
      <c r="AC40" s="162">
        <v>20</v>
      </c>
      <c r="AD40" s="162">
        <v>20</v>
      </c>
      <c r="AE40" s="162">
        <v>9</v>
      </c>
      <c r="AF40" s="161"/>
      <c r="AG40" s="64">
        <f t="shared" si="2"/>
        <v>471</v>
      </c>
    </row>
    <row r="41" spans="1:33" ht="18.75" x14ac:dyDescent="0.25">
      <c r="A41" s="301" t="s">
        <v>132</v>
      </c>
      <c r="B41" s="249">
        <v>12</v>
      </c>
      <c r="C41" s="162">
        <v>9</v>
      </c>
      <c r="D41" s="162">
        <v>10</v>
      </c>
      <c r="E41" s="162">
        <v>6</v>
      </c>
      <c r="F41" s="162">
        <v>24</v>
      </c>
      <c r="G41" s="162">
        <v>19</v>
      </c>
      <c r="H41" s="162">
        <v>19</v>
      </c>
      <c r="I41" s="162">
        <v>12</v>
      </c>
      <c r="J41" s="162">
        <v>15</v>
      </c>
      <c r="K41" s="162">
        <v>10</v>
      </c>
      <c r="L41" s="162">
        <v>7</v>
      </c>
      <c r="M41" s="162">
        <v>17</v>
      </c>
      <c r="N41" s="162">
        <v>25</v>
      </c>
      <c r="O41" s="162">
        <v>21</v>
      </c>
      <c r="P41" s="162">
        <v>12</v>
      </c>
      <c r="Q41" s="162">
        <v>15</v>
      </c>
      <c r="R41" s="162">
        <v>7</v>
      </c>
      <c r="S41" s="162">
        <v>9</v>
      </c>
      <c r="T41" s="162">
        <v>24</v>
      </c>
      <c r="U41" s="162">
        <v>10</v>
      </c>
      <c r="V41" s="162">
        <v>9</v>
      </c>
      <c r="W41" s="162">
        <v>13</v>
      </c>
      <c r="X41" s="162">
        <v>17</v>
      </c>
      <c r="Y41" s="162">
        <v>7</v>
      </c>
      <c r="Z41" s="162">
        <v>5</v>
      </c>
      <c r="AA41" s="162">
        <v>14</v>
      </c>
      <c r="AB41" s="162">
        <v>11</v>
      </c>
      <c r="AC41" s="162">
        <v>18</v>
      </c>
      <c r="AD41" s="162">
        <v>19</v>
      </c>
      <c r="AE41" s="162">
        <v>9</v>
      </c>
      <c r="AF41" s="161"/>
      <c r="AG41" s="64">
        <f t="shared" si="2"/>
        <v>405</v>
      </c>
    </row>
    <row r="42" spans="1:33" ht="18.75" x14ac:dyDescent="0.25">
      <c r="A42" s="301" t="s">
        <v>131</v>
      </c>
      <c r="B42" s="249">
        <v>7</v>
      </c>
      <c r="C42" s="162">
        <v>5</v>
      </c>
      <c r="D42" s="162">
        <v>11</v>
      </c>
      <c r="E42" s="162">
        <v>4</v>
      </c>
      <c r="F42" s="162">
        <v>10</v>
      </c>
      <c r="G42" s="162">
        <v>11</v>
      </c>
      <c r="H42" s="162">
        <v>6</v>
      </c>
      <c r="I42" s="162">
        <v>5</v>
      </c>
      <c r="J42" s="162">
        <v>10</v>
      </c>
      <c r="K42" s="162">
        <v>10</v>
      </c>
      <c r="L42" s="162">
        <v>9</v>
      </c>
      <c r="M42" s="162">
        <v>12</v>
      </c>
      <c r="N42" s="162">
        <v>15</v>
      </c>
      <c r="O42" s="162">
        <v>10</v>
      </c>
      <c r="P42" s="162">
        <v>13</v>
      </c>
      <c r="Q42" s="162">
        <v>8</v>
      </c>
      <c r="R42" s="162">
        <v>4</v>
      </c>
      <c r="S42" s="162">
        <v>17</v>
      </c>
      <c r="T42" s="162">
        <v>13</v>
      </c>
      <c r="U42" s="162">
        <v>7</v>
      </c>
      <c r="V42" s="162">
        <v>9</v>
      </c>
      <c r="W42" s="162">
        <v>12</v>
      </c>
      <c r="X42" s="162">
        <v>6</v>
      </c>
      <c r="Y42" s="162">
        <v>9</v>
      </c>
      <c r="Z42" s="162">
        <v>4</v>
      </c>
      <c r="AA42" s="162">
        <v>18</v>
      </c>
      <c r="AB42" s="162">
        <v>9</v>
      </c>
      <c r="AC42" s="162">
        <v>15</v>
      </c>
      <c r="AD42" s="162">
        <v>12</v>
      </c>
      <c r="AE42" s="162">
        <v>4</v>
      </c>
      <c r="AF42" s="161"/>
      <c r="AG42" s="64">
        <f t="shared" si="2"/>
        <v>285</v>
      </c>
    </row>
    <row r="43" spans="1:33" ht="18.75" x14ac:dyDescent="0.25">
      <c r="A43" s="301" t="s">
        <v>130</v>
      </c>
      <c r="B43" s="249">
        <v>5</v>
      </c>
      <c r="C43" s="162">
        <v>4</v>
      </c>
      <c r="D43" s="162">
        <v>8</v>
      </c>
      <c r="E43" s="162">
        <v>4</v>
      </c>
      <c r="F43" s="162">
        <v>10</v>
      </c>
      <c r="G43" s="162">
        <v>2</v>
      </c>
      <c r="H43" s="162">
        <v>7</v>
      </c>
      <c r="I43" s="162">
        <v>5</v>
      </c>
      <c r="J43" s="162">
        <v>9</v>
      </c>
      <c r="K43" s="162">
        <v>4</v>
      </c>
      <c r="L43" s="162">
        <v>10</v>
      </c>
      <c r="M43" s="162">
        <v>5</v>
      </c>
      <c r="N43" s="162">
        <v>6</v>
      </c>
      <c r="O43" s="162">
        <v>10</v>
      </c>
      <c r="P43" s="162">
        <v>11</v>
      </c>
      <c r="Q43" s="162">
        <v>14</v>
      </c>
      <c r="R43" s="162">
        <v>2</v>
      </c>
      <c r="S43" s="162">
        <v>2</v>
      </c>
      <c r="T43" s="162">
        <v>8</v>
      </c>
      <c r="U43" s="162">
        <v>7</v>
      </c>
      <c r="V43" s="162">
        <v>4</v>
      </c>
      <c r="W43" s="162">
        <v>4</v>
      </c>
      <c r="X43" s="162">
        <v>6</v>
      </c>
      <c r="Y43" s="162">
        <v>3</v>
      </c>
      <c r="Z43" s="162">
        <v>4</v>
      </c>
      <c r="AA43" s="162">
        <v>14</v>
      </c>
      <c r="AB43" s="162">
        <v>6</v>
      </c>
      <c r="AC43" s="162">
        <v>11</v>
      </c>
      <c r="AD43" s="162">
        <v>7</v>
      </c>
      <c r="AE43" s="162"/>
      <c r="AF43" s="161"/>
      <c r="AG43" s="64">
        <f t="shared" si="2"/>
        <v>192</v>
      </c>
    </row>
    <row r="44" spans="1:33" ht="18.75" x14ac:dyDescent="0.25">
      <c r="A44" s="301" t="s">
        <v>129</v>
      </c>
      <c r="B44" s="249">
        <v>5</v>
      </c>
      <c r="C44" s="162">
        <v>7</v>
      </c>
      <c r="D44" s="162">
        <v>8</v>
      </c>
      <c r="E44" s="162">
        <v>2</v>
      </c>
      <c r="F44" s="162">
        <v>3</v>
      </c>
      <c r="G44" s="162">
        <v>6</v>
      </c>
      <c r="H44" s="162">
        <v>3</v>
      </c>
      <c r="I44" s="162">
        <v>2</v>
      </c>
      <c r="J44" s="162">
        <v>5</v>
      </c>
      <c r="K44" s="162">
        <v>2</v>
      </c>
      <c r="L44" s="162">
        <v>2</v>
      </c>
      <c r="M44" s="162">
        <v>6</v>
      </c>
      <c r="N44" s="162">
        <v>3</v>
      </c>
      <c r="O44" s="162">
        <v>4</v>
      </c>
      <c r="P44" s="162">
        <v>8</v>
      </c>
      <c r="Q44" s="162">
        <v>8</v>
      </c>
      <c r="R44" s="162">
        <v>3</v>
      </c>
      <c r="S44" s="162">
        <v>1</v>
      </c>
      <c r="T44" s="162">
        <v>6</v>
      </c>
      <c r="U44" s="162">
        <v>4</v>
      </c>
      <c r="V44" s="162">
        <v>2</v>
      </c>
      <c r="W44" s="162">
        <v>6</v>
      </c>
      <c r="X44" s="162">
        <v>2</v>
      </c>
      <c r="Y44" s="162"/>
      <c r="Z44" s="162">
        <v>2</v>
      </c>
      <c r="AA44" s="162">
        <v>4</v>
      </c>
      <c r="AB44" s="162">
        <v>2</v>
      </c>
      <c r="AC44" s="162">
        <v>2</v>
      </c>
      <c r="AD44" s="162">
        <v>1</v>
      </c>
      <c r="AE44" s="162">
        <v>2</v>
      </c>
      <c r="AF44" s="161"/>
      <c r="AG44" s="64">
        <f t="shared" si="2"/>
        <v>111</v>
      </c>
    </row>
    <row r="45" spans="1:33" ht="18.75" x14ac:dyDescent="0.25">
      <c r="A45" s="301" t="s">
        <v>128</v>
      </c>
      <c r="B45" s="249">
        <v>4</v>
      </c>
      <c r="C45" s="162">
        <v>3</v>
      </c>
      <c r="D45" s="162">
        <v>1</v>
      </c>
      <c r="E45" s="162">
        <v>2</v>
      </c>
      <c r="F45" s="162">
        <v>4</v>
      </c>
      <c r="G45" s="162">
        <v>1</v>
      </c>
      <c r="H45" s="162">
        <v>2</v>
      </c>
      <c r="I45" s="162">
        <v>3</v>
      </c>
      <c r="J45" s="162">
        <v>3</v>
      </c>
      <c r="K45" s="162">
        <v>2</v>
      </c>
      <c r="L45" s="162">
        <v>4</v>
      </c>
      <c r="M45" s="162">
        <v>5</v>
      </c>
      <c r="N45" s="162">
        <v>7</v>
      </c>
      <c r="O45" s="162">
        <v>6</v>
      </c>
      <c r="P45" s="162">
        <v>5</v>
      </c>
      <c r="Q45" s="162">
        <v>7</v>
      </c>
      <c r="R45" s="162">
        <v>1</v>
      </c>
      <c r="S45" s="162">
        <v>3</v>
      </c>
      <c r="T45" s="162">
        <v>1</v>
      </c>
      <c r="U45" s="162">
        <v>7</v>
      </c>
      <c r="V45" s="162">
        <v>1</v>
      </c>
      <c r="W45" s="162">
        <v>1</v>
      </c>
      <c r="X45" s="162">
        <v>2</v>
      </c>
      <c r="Y45" s="162">
        <v>4</v>
      </c>
      <c r="Z45" s="162">
        <v>4</v>
      </c>
      <c r="AA45" s="162">
        <v>2</v>
      </c>
      <c r="AB45" s="162">
        <v>1</v>
      </c>
      <c r="AC45" s="162">
        <v>1</v>
      </c>
      <c r="AD45" s="162">
        <v>2</v>
      </c>
      <c r="AE45" s="162">
        <v>2</v>
      </c>
      <c r="AF45" s="161"/>
      <c r="AG45" s="64">
        <f t="shared" si="2"/>
        <v>91</v>
      </c>
    </row>
    <row r="46" spans="1:33" ht="18.75" x14ac:dyDescent="0.25">
      <c r="A46" s="301" t="s">
        <v>127</v>
      </c>
      <c r="B46" s="249">
        <v>3</v>
      </c>
      <c r="C46" s="162">
        <v>6</v>
      </c>
      <c r="D46" s="162"/>
      <c r="E46" s="162">
        <v>3</v>
      </c>
      <c r="F46" s="162"/>
      <c r="G46" s="162">
        <v>3</v>
      </c>
      <c r="H46" s="162">
        <v>1</v>
      </c>
      <c r="I46" s="162">
        <v>3</v>
      </c>
      <c r="J46" s="162"/>
      <c r="K46" s="162">
        <v>2</v>
      </c>
      <c r="L46" s="162">
        <v>2</v>
      </c>
      <c r="M46" s="162">
        <v>3</v>
      </c>
      <c r="N46" s="162">
        <v>1</v>
      </c>
      <c r="O46" s="162">
        <v>3</v>
      </c>
      <c r="P46" s="162">
        <v>4</v>
      </c>
      <c r="Q46" s="162">
        <v>4</v>
      </c>
      <c r="R46" s="162">
        <v>1</v>
      </c>
      <c r="S46" s="162"/>
      <c r="T46" s="162">
        <v>2</v>
      </c>
      <c r="U46" s="162">
        <v>4</v>
      </c>
      <c r="V46" s="162">
        <v>1</v>
      </c>
      <c r="W46" s="162"/>
      <c r="X46" s="162">
        <v>2</v>
      </c>
      <c r="Y46" s="162">
        <v>1</v>
      </c>
      <c r="Z46" s="162">
        <v>3</v>
      </c>
      <c r="AA46" s="162">
        <v>4</v>
      </c>
      <c r="AB46" s="162">
        <v>1</v>
      </c>
      <c r="AC46" s="162">
        <v>2</v>
      </c>
      <c r="AD46" s="162">
        <v>3</v>
      </c>
      <c r="AE46" s="162">
        <v>3</v>
      </c>
      <c r="AF46" s="161"/>
      <c r="AG46" s="64">
        <f t="shared" si="2"/>
        <v>65</v>
      </c>
    </row>
    <row r="47" spans="1:33" ht="18.75" x14ac:dyDescent="0.25">
      <c r="A47" s="301" t="s">
        <v>126</v>
      </c>
      <c r="B47" s="249">
        <v>2</v>
      </c>
      <c r="C47" s="162">
        <v>3</v>
      </c>
      <c r="D47" s="162">
        <v>2</v>
      </c>
      <c r="E47" s="162"/>
      <c r="F47" s="162">
        <v>2</v>
      </c>
      <c r="G47" s="162">
        <v>2</v>
      </c>
      <c r="H47" s="162"/>
      <c r="I47" s="162">
        <v>1</v>
      </c>
      <c r="J47" s="162">
        <v>1</v>
      </c>
      <c r="K47" s="162">
        <v>4</v>
      </c>
      <c r="L47" s="162">
        <v>1</v>
      </c>
      <c r="M47" s="162">
        <v>1</v>
      </c>
      <c r="N47" s="162">
        <v>2</v>
      </c>
      <c r="O47" s="162">
        <v>1</v>
      </c>
      <c r="P47" s="162">
        <v>3</v>
      </c>
      <c r="Q47" s="162">
        <v>2</v>
      </c>
      <c r="R47" s="162"/>
      <c r="S47" s="162"/>
      <c r="T47" s="162"/>
      <c r="U47" s="162">
        <v>2</v>
      </c>
      <c r="V47" s="162"/>
      <c r="W47" s="162"/>
      <c r="X47" s="162">
        <v>3</v>
      </c>
      <c r="Y47" s="162">
        <v>1</v>
      </c>
      <c r="Z47" s="162">
        <v>1</v>
      </c>
      <c r="AA47" s="162"/>
      <c r="AB47" s="162"/>
      <c r="AC47" s="162"/>
      <c r="AD47" s="162">
        <v>1</v>
      </c>
      <c r="AE47" s="162"/>
      <c r="AF47" s="161"/>
      <c r="AG47" s="64">
        <f t="shared" si="2"/>
        <v>35</v>
      </c>
    </row>
    <row r="48" spans="1:33" ht="18.75" x14ac:dyDescent="0.25">
      <c r="A48" s="301" t="s">
        <v>125</v>
      </c>
      <c r="B48" s="249">
        <v>3</v>
      </c>
      <c r="C48" s="162"/>
      <c r="D48" s="162"/>
      <c r="E48" s="162"/>
      <c r="F48" s="162"/>
      <c r="G48" s="162">
        <v>2</v>
      </c>
      <c r="H48" s="162"/>
      <c r="I48" s="162"/>
      <c r="J48" s="162">
        <v>5</v>
      </c>
      <c r="K48" s="162">
        <v>2</v>
      </c>
      <c r="L48" s="162"/>
      <c r="M48" s="162"/>
      <c r="N48" s="162">
        <v>2</v>
      </c>
      <c r="O48" s="162">
        <v>1</v>
      </c>
      <c r="P48" s="162">
        <v>1</v>
      </c>
      <c r="Q48" s="162">
        <v>1</v>
      </c>
      <c r="R48" s="162">
        <v>2</v>
      </c>
      <c r="S48" s="162">
        <v>1</v>
      </c>
      <c r="T48" s="162"/>
      <c r="U48" s="162">
        <v>1</v>
      </c>
      <c r="V48" s="162"/>
      <c r="W48" s="162">
        <v>1</v>
      </c>
      <c r="X48" s="162"/>
      <c r="Y48" s="162"/>
      <c r="Z48" s="162">
        <v>1</v>
      </c>
      <c r="AA48" s="162">
        <v>2</v>
      </c>
      <c r="AB48" s="162">
        <v>2</v>
      </c>
      <c r="AC48" s="162"/>
      <c r="AD48" s="162">
        <v>1</v>
      </c>
      <c r="AE48" s="162">
        <v>1</v>
      </c>
      <c r="AF48" s="161"/>
      <c r="AG48" s="64">
        <f t="shared" si="2"/>
        <v>29</v>
      </c>
    </row>
    <row r="49" spans="1:33" ht="18.75" x14ac:dyDescent="0.25">
      <c r="A49" s="301" t="s">
        <v>124</v>
      </c>
      <c r="B49" s="249"/>
      <c r="C49" s="162">
        <v>3</v>
      </c>
      <c r="D49" s="162"/>
      <c r="E49" s="162">
        <v>1</v>
      </c>
      <c r="F49" s="162"/>
      <c r="G49" s="162">
        <v>1</v>
      </c>
      <c r="H49" s="162"/>
      <c r="I49" s="162">
        <v>1</v>
      </c>
      <c r="J49" s="162"/>
      <c r="K49" s="162"/>
      <c r="L49" s="162"/>
      <c r="M49" s="162">
        <v>1</v>
      </c>
      <c r="N49" s="162"/>
      <c r="O49" s="162">
        <v>1</v>
      </c>
      <c r="P49" s="162">
        <v>1</v>
      </c>
      <c r="Q49" s="162">
        <v>2</v>
      </c>
      <c r="R49" s="162"/>
      <c r="S49" s="162"/>
      <c r="T49" s="162"/>
      <c r="U49" s="162"/>
      <c r="V49" s="162">
        <v>2</v>
      </c>
      <c r="W49" s="162"/>
      <c r="X49" s="162"/>
      <c r="Y49" s="162"/>
      <c r="Z49" s="162">
        <v>1</v>
      </c>
      <c r="AA49" s="162">
        <v>1</v>
      </c>
      <c r="AB49" s="162"/>
      <c r="AC49" s="162">
        <v>1</v>
      </c>
      <c r="AD49" s="162">
        <v>2</v>
      </c>
      <c r="AE49" s="162">
        <v>1</v>
      </c>
      <c r="AF49" s="161"/>
      <c r="AG49" s="64">
        <f t="shared" si="2"/>
        <v>19</v>
      </c>
    </row>
    <row r="50" spans="1:33" ht="18.75" x14ac:dyDescent="0.25">
      <c r="A50" s="301" t="s">
        <v>123</v>
      </c>
      <c r="B50" s="249"/>
      <c r="C50" s="162">
        <v>2</v>
      </c>
      <c r="D50" s="162"/>
      <c r="E50" s="162">
        <v>1</v>
      </c>
      <c r="F50" s="162"/>
      <c r="G50" s="162">
        <v>2</v>
      </c>
      <c r="H50" s="162">
        <v>2</v>
      </c>
      <c r="I50" s="162"/>
      <c r="J50" s="162">
        <v>2</v>
      </c>
      <c r="K50" s="162">
        <v>1</v>
      </c>
      <c r="L50" s="162"/>
      <c r="M50" s="162">
        <v>2</v>
      </c>
      <c r="N50" s="162"/>
      <c r="O50" s="162">
        <v>2</v>
      </c>
      <c r="P50" s="162"/>
      <c r="Q50" s="162">
        <v>2</v>
      </c>
      <c r="R50" s="162">
        <v>1</v>
      </c>
      <c r="S50" s="162"/>
      <c r="T50" s="162">
        <v>1</v>
      </c>
      <c r="U50" s="162"/>
      <c r="V50" s="162"/>
      <c r="W50" s="162"/>
      <c r="X50" s="162">
        <v>2</v>
      </c>
      <c r="Y50" s="162">
        <v>3</v>
      </c>
      <c r="Z50" s="162"/>
      <c r="AA50" s="162"/>
      <c r="AB50" s="162"/>
      <c r="AC50" s="162"/>
      <c r="AD50" s="162">
        <v>1</v>
      </c>
      <c r="AE50" s="162"/>
      <c r="AF50" s="161"/>
      <c r="AG50" s="64">
        <f t="shared" si="2"/>
        <v>24</v>
      </c>
    </row>
    <row r="51" spans="1:33" ht="18.75" x14ac:dyDescent="0.25">
      <c r="A51" s="301" t="s">
        <v>122</v>
      </c>
      <c r="B51" s="249">
        <v>4</v>
      </c>
      <c r="C51" s="162">
        <v>1</v>
      </c>
      <c r="D51" s="162"/>
      <c r="E51" s="162"/>
      <c r="F51" s="162">
        <v>1</v>
      </c>
      <c r="G51" s="162">
        <v>1</v>
      </c>
      <c r="H51" s="162"/>
      <c r="I51" s="162">
        <v>1</v>
      </c>
      <c r="J51" s="162"/>
      <c r="K51" s="162">
        <v>1</v>
      </c>
      <c r="L51" s="162"/>
      <c r="M51" s="162"/>
      <c r="N51" s="162">
        <v>2</v>
      </c>
      <c r="O51" s="162"/>
      <c r="P51" s="162">
        <v>1</v>
      </c>
      <c r="Q51" s="162">
        <v>1</v>
      </c>
      <c r="R51" s="162"/>
      <c r="S51" s="162"/>
      <c r="T51" s="162"/>
      <c r="U51" s="162"/>
      <c r="V51" s="162"/>
      <c r="W51" s="162"/>
      <c r="X51" s="162">
        <v>1</v>
      </c>
      <c r="Y51" s="162">
        <v>1</v>
      </c>
      <c r="Z51" s="162"/>
      <c r="AA51" s="162">
        <v>3</v>
      </c>
      <c r="AB51" s="162"/>
      <c r="AC51" s="162"/>
      <c r="AD51" s="162"/>
      <c r="AE51" s="162">
        <v>1</v>
      </c>
      <c r="AF51" s="161"/>
      <c r="AG51" s="64">
        <f t="shared" si="2"/>
        <v>19</v>
      </c>
    </row>
    <row r="52" spans="1:33" ht="19.5" thickBot="1" x14ac:dyDescent="0.3">
      <c r="A52" s="304" t="s">
        <v>121</v>
      </c>
      <c r="B52" s="252"/>
      <c r="C52" s="181">
        <v>2</v>
      </c>
      <c r="D52" s="181">
        <v>2</v>
      </c>
      <c r="E52" s="181">
        <v>3</v>
      </c>
      <c r="F52" s="181">
        <v>1</v>
      </c>
      <c r="G52" s="181"/>
      <c r="H52" s="181"/>
      <c r="I52" s="181">
        <v>1</v>
      </c>
      <c r="J52" s="181"/>
      <c r="K52" s="181"/>
      <c r="L52" s="181"/>
      <c r="M52" s="181">
        <v>2</v>
      </c>
      <c r="N52" s="181"/>
      <c r="O52" s="181"/>
      <c r="P52" s="181">
        <v>2</v>
      </c>
      <c r="Q52" s="181"/>
      <c r="R52" s="181"/>
      <c r="S52" s="181"/>
      <c r="T52" s="181"/>
      <c r="U52" s="181"/>
      <c r="V52" s="181"/>
      <c r="W52" s="181"/>
      <c r="X52" s="181">
        <v>2</v>
      </c>
      <c r="Y52" s="181">
        <v>1</v>
      </c>
      <c r="Z52" s="181">
        <v>1</v>
      </c>
      <c r="AA52" s="181"/>
      <c r="AB52" s="181">
        <v>1</v>
      </c>
      <c r="AC52" s="181">
        <v>2</v>
      </c>
      <c r="AD52" s="181">
        <v>2</v>
      </c>
      <c r="AE52" s="181"/>
      <c r="AF52" s="180"/>
      <c r="AG52" s="160">
        <f t="shared" si="2"/>
        <v>22</v>
      </c>
    </row>
    <row r="53" spans="1:33" ht="19.5" thickBot="1" x14ac:dyDescent="0.3">
      <c r="A53" s="299" t="s">
        <v>145</v>
      </c>
      <c r="B53" s="247">
        <f t="shared" ref="B53:AF53" si="4">SUM(B54:B77)</f>
        <v>9</v>
      </c>
      <c r="C53" s="120">
        <f t="shared" si="4"/>
        <v>6</v>
      </c>
      <c r="D53" s="120">
        <f t="shared" si="4"/>
        <v>5</v>
      </c>
      <c r="E53" s="120">
        <f t="shared" si="4"/>
        <v>5</v>
      </c>
      <c r="F53" s="120">
        <f t="shared" si="4"/>
        <v>7</v>
      </c>
      <c r="G53" s="120">
        <f t="shared" si="4"/>
        <v>6</v>
      </c>
      <c r="H53" s="120">
        <f t="shared" si="4"/>
        <v>7</v>
      </c>
      <c r="I53" s="120">
        <f t="shared" si="4"/>
        <v>2</v>
      </c>
      <c r="J53" s="120">
        <f t="shared" si="4"/>
        <v>5</v>
      </c>
      <c r="K53" s="120">
        <f t="shared" si="4"/>
        <v>5</v>
      </c>
      <c r="L53" s="120">
        <f t="shared" si="4"/>
        <v>2</v>
      </c>
      <c r="M53" s="120">
        <f t="shared" si="4"/>
        <v>10</v>
      </c>
      <c r="N53" s="120">
        <f t="shared" si="4"/>
        <v>13</v>
      </c>
      <c r="O53" s="120">
        <f t="shared" si="4"/>
        <v>16</v>
      </c>
      <c r="P53" s="120">
        <f t="shared" si="4"/>
        <v>13</v>
      </c>
      <c r="Q53" s="120">
        <f t="shared" si="4"/>
        <v>8</v>
      </c>
      <c r="R53" s="120">
        <f t="shared" si="4"/>
        <v>5</v>
      </c>
      <c r="S53" s="120">
        <f t="shared" si="4"/>
        <v>5</v>
      </c>
      <c r="T53" s="120">
        <f t="shared" si="4"/>
        <v>12</v>
      </c>
      <c r="U53" s="120">
        <f t="shared" si="4"/>
        <v>2</v>
      </c>
      <c r="V53" s="120">
        <f t="shared" si="4"/>
        <v>2</v>
      </c>
      <c r="W53" s="120">
        <f t="shared" si="4"/>
        <v>5</v>
      </c>
      <c r="X53" s="120">
        <f t="shared" si="4"/>
        <v>9</v>
      </c>
      <c r="Y53" s="120">
        <f t="shared" si="4"/>
        <v>7</v>
      </c>
      <c r="Z53" s="120">
        <f t="shared" si="4"/>
        <v>20</v>
      </c>
      <c r="AA53" s="120">
        <f t="shared" si="4"/>
        <v>14</v>
      </c>
      <c r="AB53" s="120">
        <f t="shared" si="4"/>
        <v>8</v>
      </c>
      <c r="AC53" s="120">
        <f t="shared" si="4"/>
        <v>9</v>
      </c>
      <c r="AD53" s="120">
        <f t="shared" si="4"/>
        <v>13</v>
      </c>
      <c r="AE53" s="120">
        <f t="shared" si="4"/>
        <v>5</v>
      </c>
      <c r="AF53" s="120">
        <f t="shared" si="4"/>
        <v>0</v>
      </c>
      <c r="AG53" s="157">
        <f t="shared" si="2"/>
        <v>235</v>
      </c>
    </row>
    <row r="54" spans="1:33" ht="18.75" x14ac:dyDescent="0.25">
      <c r="A54" s="300" t="s">
        <v>144</v>
      </c>
      <c r="B54" s="248"/>
      <c r="C54" s="199">
        <v>1</v>
      </c>
      <c r="D54" s="162"/>
      <c r="E54" s="199"/>
      <c r="F54" s="199"/>
      <c r="G54" s="162"/>
      <c r="H54" s="199"/>
      <c r="I54" s="199"/>
      <c r="J54" s="199"/>
      <c r="K54" s="199"/>
      <c r="L54" s="199"/>
      <c r="M54" s="199">
        <v>1</v>
      </c>
      <c r="N54" s="199"/>
      <c r="O54" s="199"/>
      <c r="P54" s="199"/>
      <c r="Q54" s="199"/>
      <c r="R54" s="199"/>
      <c r="S54" s="199"/>
      <c r="T54" s="199"/>
      <c r="U54" s="199"/>
      <c r="V54" s="199"/>
      <c r="W54" s="199"/>
      <c r="X54" s="162"/>
      <c r="Y54" s="199"/>
      <c r="Z54" s="199"/>
      <c r="AA54" s="199"/>
      <c r="AB54" s="199"/>
      <c r="AC54" s="199"/>
      <c r="AD54" s="199"/>
      <c r="AE54" s="199"/>
      <c r="AF54" s="206"/>
      <c r="AG54" s="134">
        <f t="shared" si="2"/>
        <v>2</v>
      </c>
    </row>
    <row r="55" spans="1:33" ht="18.75" x14ac:dyDescent="0.25">
      <c r="A55" s="301" t="s">
        <v>143</v>
      </c>
      <c r="B55" s="249"/>
      <c r="C55" s="162"/>
      <c r="D55" s="162"/>
      <c r="E55" s="162">
        <v>2</v>
      </c>
      <c r="F55" s="162"/>
      <c r="G55" s="162"/>
      <c r="H55" s="162"/>
      <c r="I55" s="162"/>
      <c r="J55" s="162"/>
      <c r="K55" s="162"/>
      <c r="L55" s="162"/>
      <c r="M55" s="162"/>
      <c r="N55" s="162">
        <v>1</v>
      </c>
      <c r="O55" s="162">
        <v>2</v>
      </c>
      <c r="P55" s="162"/>
      <c r="Q55" s="162">
        <v>1</v>
      </c>
      <c r="R55" s="162"/>
      <c r="S55" s="162">
        <v>1</v>
      </c>
      <c r="T55" s="162"/>
      <c r="U55" s="162"/>
      <c r="V55" s="162"/>
      <c r="W55" s="162"/>
      <c r="X55" s="162"/>
      <c r="Y55" s="162">
        <v>1</v>
      </c>
      <c r="Z55" s="162"/>
      <c r="AA55" s="162"/>
      <c r="AB55" s="162"/>
      <c r="AC55" s="162"/>
      <c r="AD55" s="162"/>
      <c r="AE55" s="162"/>
      <c r="AF55" s="161"/>
      <c r="AG55" s="64">
        <f t="shared" si="2"/>
        <v>8</v>
      </c>
    </row>
    <row r="56" spans="1:33" ht="18.75" x14ac:dyDescent="0.25">
      <c r="A56" s="301" t="s">
        <v>142</v>
      </c>
      <c r="B56" s="249"/>
      <c r="C56" s="162"/>
      <c r="D56" s="162"/>
      <c r="E56" s="162"/>
      <c r="F56" s="162"/>
      <c r="G56" s="162"/>
      <c r="H56" s="162"/>
      <c r="I56" s="162"/>
      <c r="J56" s="162"/>
      <c r="K56" s="162"/>
      <c r="L56" s="162"/>
      <c r="M56" s="162">
        <v>1</v>
      </c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Y56" s="162"/>
      <c r="Z56" s="162"/>
      <c r="AA56" s="162"/>
      <c r="AB56" s="162"/>
      <c r="AC56" s="162"/>
      <c r="AD56" s="162">
        <v>1</v>
      </c>
      <c r="AE56" s="162"/>
      <c r="AF56" s="161"/>
      <c r="AG56" s="64">
        <f t="shared" si="2"/>
        <v>2</v>
      </c>
    </row>
    <row r="57" spans="1:33" ht="18.75" x14ac:dyDescent="0.25">
      <c r="A57" s="301" t="s">
        <v>141</v>
      </c>
      <c r="B57" s="249"/>
      <c r="C57" s="162">
        <v>1</v>
      </c>
      <c r="D57" s="162"/>
      <c r="E57" s="162"/>
      <c r="F57" s="162"/>
      <c r="G57" s="162">
        <v>1</v>
      </c>
      <c r="H57" s="162"/>
      <c r="I57" s="162"/>
      <c r="J57" s="162"/>
      <c r="K57" s="162"/>
      <c r="L57" s="162"/>
      <c r="M57" s="162">
        <v>2</v>
      </c>
      <c r="N57" s="162"/>
      <c r="O57" s="162"/>
      <c r="P57" s="162">
        <v>1</v>
      </c>
      <c r="Q57" s="162"/>
      <c r="R57" s="162">
        <v>1</v>
      </c>
      <c r="S57" s="162"/>
      <c r="T57" s="162"/>
      <c r="U57" s="162"/>
      <c r="V57" s="162"/>
      <c r="W57" s="162"/>
      <c r="X57" s="162"/>
      <c r="Y57" s="162">
        <v>1</v>
      </c>
      <c r="Z57" s="162">
        <v>1</v>
      </c>
      <c r="AA57" s="162"/>
      <c r="AB57" s="162"/>
      <c r="AC57" s="162">
        <v>2</v>
      </c>
      <c r="AD57" s="162"/>
      <c r="AE57" s="162"/>
      <c r="AF57" s="161"/>
      <c r="AG57" s="64">
        <f t="shared" si="2"/>
        <v>10</v>
      </c>
    </row>
    <row r="58" spans="1:33" ht="18.75" x14ac:dyDescent="0.25">
      <c r="A58" s="301" t="s">
        <v>140</v>
      </c>
      <c r="B58" s="249"/>
      <c r="C58" s="162"/>
      <c r="D58" s="162"/>
      <c r="E58" s="162"/>
      <c r="F58" s="162"/>
      <c r="G58" s="162"/>
      <c r="H58" s="162"/>
      <c r="I58" s="162"/>
      <c r="J58" s="162"/>
      <c r="K58" s="162"/>
      <c r="L58" s="162"/>
      <c r="M58" s="162"/>
      <c r="N58" s="162"/>
      <c r="O58" s="162"/>
      <c r="P58" s="162">
        <v>1</v>
      </c>
      <c r="Q58" s="162">
        <v>1</v>
      </c>
      <c r="R58" s="162"/>
      <c r="S58" s="162"/>
      <c r="T58" s="162"/>
      <c r="U58" s="162"/>
      <c r="V58" s="162"/>
      <c r="W58" s="162"/>
      <c r="X58" s="162"/>
      <c r="Y58" s="162"/>
      <c r="Z58" s="162"/>
      <c r="AA58" s="162"/>
      <c r="AB58" s="162"/>
      <c r="AC58" s="162"/>
      <c r="AD58" s="162"/>
      <c r="AE58" s="162"/>
      <c r="AF58" s="161"/>
      <c r="AG58" s="64">
        <f t="shared" si="2"/>
        <v>2</v>
      </c>
    </row>
    <row r="59" spans="1:33" ht="18.75" x14ac:dyDescent="0.25">
      <c r="A59" s="301" t="s">
        <v>139</v>
      </c>
      <c r="B59" s="249"/>
      <c r="C59" s="162"/>
      <c r="D59" s="162">
        <v>2</v>
      </c>
      <c r="E59" s="162">
        <v>1</v>
      </c>
      <c r="F59" s="162"/>
      <c r="G59" s="162"/>
      <c r="H59" s="162"/>
      <c r="I59" s="162"/>
      <c r="J59" s="162"/>
      <c r="K59" s="162"/>
      <c r="L59" s="162"/>
      <c r="M59" s="162"/>
      <c r="N59" s="162">
        <v>2</v>
      </c>
      <c r="O59" s="162">
        <v>2</v>
      </c>
      <c r="P59" s="162">
        <v>1</v>
      </c>
      <c r="Q59" s="162"/>
      <c r="R59" s="162"/>
      <c r="S59" s="162"/>
      <c r="T59" s="162">
        <v>1</v>
      </c>
      <c r="U59" s="162">
        <v>1</v>
      </c>
      <c r="V59" s="162"/>
      <c r="W59" s="162"/>
      <c r="X59" s="162">
        <v>1</v>
      </c>
      <c r="Y59" s="162">
        <v>1</v>
      </c>
      <c r="Z59" s="162">
        <v>2</v>
      </c>
      <c r="AA59" s="162">
        <v>1</v>
      </c>
      <c r="AB59" s="162"/>
      <c r="AC59" s="162"/>
      <c r="AD59" s="162">
        <v>1</v>
      </c>
      <c r="AE59" s="162"/>
      <c r="AF59" s="161"/>
      <c r="AG59" s="64">
        <f t="shared" si="2"/>
        <v>16</v>
      </c>
    </row>
    <row r="60" spans="1:33" ht="18.75" x14ac:dyDescent="0.25">
      <c r="A60" s="301" t="s">
        <v>138</v>
      </c>
      <c r="B60" s="249"/>
      <c r="C60" s="162"/>
      <c r="D60" s="162"/>
      <c r="E60" s="162"/>
      <c r="F60" s="162"/>
      <c r="G60" s="162"/>
      <c r="H60" s="162"/>
      <c r="I60" s="162"/>
      <c r="J60" s="162"/>
      <c r="K60" s="162"/>
      <c r="L60" s="162"/>
      <c r="M60" s="162">
        <v>1</v>
      </c>
      <c r="N60" s="162"/>
      <c r="O60" s="162">
        <v>2</v>
      </c>
      <c r="P60" s="162"/>
      <c r="Q60" s="162">
        <v>2</v>
      </c>
      <c r="R60" s="162">
        <v>1</v>
      </c>
      <c r="S60" s="162"/>
      <c r="T60" s="162"/>
      <c r="U60" s="162"/>
      <c r="V60" s="162">
        <v>1</v>
      </c>
      <c r="W60" s="162"/>
      <c r="X60" s="162">
        <v>1</v>
      </c>
      <c r="Y60" s="162"/>
      <c r="Z60" s="162">
        <v>1</v>
      </c>
      <c r="AA60" s="162"/>
      <c r="AB60" s="162"/>
      <c r="AC60" s="162"/>
      <c r="AD60" s="162"/>
      <c r="AE60" s="162"/>
      <c r="AF60" s="161"/>
      <c r="AG60" s="64">
        <f t="shared" si="2"/>
        <v>9</v>
      </c>
    </row>
    <row r="61" spans="1:33" ht="18.75" x14ac:dyDescent="0.25">
      <c r="A61" s="301" t="s">
        <v>137</v>
      </c>
      <c r="B61" s="249"/>
      <c r="C61" s="162">
        <v>2</v>
      </c>
      <c r="D61" s="162"/>
      <c r="E61" s="162"/>
      <c r="F61" s="162"/>
      <c r="G61" s="162"/>
      <c r="H61" s="162"/>
      <c r="I61" s="162"/>
      <c r="J61" s="162"/>
      <c r="K61" s="162">
        <v>1</v>
      </c>
      <c r="L61" s="162"/>
      <c r="M61" s="162"/>
      <c r="N61" s="162"/>
      <c r="O61" s="162"/>
      <c r="P61" s="162">
        <v>1</v>
      </c>
      <c r="Q61" s="162"/>
      <c r="R61" s="162"/>
      <c r="S61" s="162"/>
      <c r="T61" s="162"/>
      <c r="U61" s="162"/>
      <c r="V61" s="162"/>
      <c r="W61" s="162"/>
      <c r="X61" s="162"/>
      <c r="Y61" s="162"/>
      <c r="Z61" s="162"/>
      <c r="AA61" s="162">
        <v>1</v>
      </c>
      <c r="AB61" s="162"/>
      <c r="AC61" s="162"/>
      <c r="AD61" s="162">
        <v>1</v>
      </c>
      <c r="AE61" s="162">
        <v>1</v>
      </c>
      <c r="AF61" s="161"/>
      <c r="AG61" s="64">
        <f t="shared" si="2"/>
        <v>7</v>
      </c>
    </row>
    <row r="62" spans="1:33" ht="18.75" x14ac:dyDescent="0.25">
      <c r="A62" s="301" t="s">
        <v>136</v>
      </c>
      <c r="B62" s="249"/>
      <c r="C62" s="162"/>
      <c r="D62" s="162"/>
      <c r="E62" s="162"/>
      <c r="F62" s="162">
        <v>1</v>
      </c>
      <c r="G62" s="162"/>
      <c r="H62" s="162"/>
      <c r="I62" s="162"/>
      <c r="J62" s="162"/>
      <c r="K62" s="162"/>
      <c r="L62" s="162"/>
      <c r="M62" s="162">
        <v>1</v>
      </c>
      <c r="N62" s="162">
        <v>1</v>
      </c>
      <c r="O62" s="162">
        <v>1</v>
      </c>
      <c r="P62" s="162"/>
      <c r="Q62" s="162">
        <v>1</v>
      </c>
      <c r="R62" s="162">
        <v>1</v>
      </c>
      <c r="S62" s="162">
        <v>1</v>
      </c>
      <c r="T62" s="162"/>
      <c r="U62" s="162"/>
      <c r="V62" s="162"/>
      <c r="W62" s="162"/>
      <c r="X62" s="162"/>
      <c r="Y62" s="162"/>
      <c r="Z62" s="162">
        <v>3</v>
      </c>
      <c r="AA62" s="162"/>
      <c r="AB62" s="162">
        <v>1</v>
      </c>
      <c r="AC62" s="162"/>
      <c r="AD62" s="162"/>
      <c r="AE62" s="162"/>
      <c r="AF62" s="161"/>
      <c r="AG62" s="64">
        <f t="shared" si="2"/>
        <v>11</v>
      </c>
    </row>
    <row r="63" spans="1:33" ht="18.75" x14ac:dyDescent="0.25">
      <c r="A63" s="301" t="s">
        <v>135</v>
      </c>
      <c r="B63" s="249">
        <v>2</v>
      </c>
      <c r="C63" s="162"/>
      <c r="D63" s="162"/>
      <c r="E63" s="162"/>
      <c r="F63" s="162">
        <v>1</v>
      </c>
      <c r="G63" s="162"/>
      <c r="H63" s="162"/>
      <c r="I63" s="162"/>
      <c r="J63" s="162"/>
      <c r="K63" s="162">
        <v>1</v>
      </c>
      <c r="L63" s="162"/>
      <c r="M63" s="162"/>
      <c r="N63" s="162"/>
      <c r="O63" s="162">
        <v>2</v>
      </c>
      <c r="P63" s="162">
        <v>1</v>
      </c>
      <c r="Q63" s="162">
        <v>1</v>
      </c>
      <c r="R63" s="162">
        <v>1</v>
      </c>
      <c r="S63" s="162">
        <v>2</v>
      </c>
      <c r="T63" s="162"/>
      <c r="U63" s="162"/>
      <c r="V63" s="162"/>
      <c r="W63" s="162"/>
      <c r="X63" s="162">
        <v>4</v>
      </c>
      <c r="Y63" s="162">
        <v>1</v>
      </c>
      <c r="Z63" s="162"/>
      <c r="AA63" s="162">
        <v>1</v>
      </c>
      <c r="AB63" s="162">
        <v>1</v>
      </c>
      <c r="AC63" s="162">
        <v>2</v>
      </c>
      <c r="AD63" s="162"/>
      <c r="AE63" s="162"/>
      <c r="AF63" s="161"/>
      <c r="AG63" s="64">
        <f t="shared" si="2"/>
        <v>20</v>
      </c>
    </row>
    <row r="64" spans="1:33" ht="18.75" x14ac:dyDescent="0.25">
      <c r="A64" s="301" t="s">
        <v>134</v>
      </c>
      <c r="B64" s="249"/>
      <c r="C64" s="162"/>
      <c r="D64" s="162"/>
      <c r="E64" s="162">
        <v>2</v>
      </c>
      <c r="F64" s="162">
        <v>1</v>
      </c>
      <c r="G64" s="162">
        <v>3</v>
      </c>
      <c r="H64" s="162">
        <v>2</v>
      </c>
      <c r="I64" s="162">
        <v>1</v>
      </c>
      <c r="J64" s="162">
        <v>2</v>
      </c>
      <c r="K64" s="162"/>
      <c r="L64" s="162"/>
      <c r="M64" s="162"/>
      <c r="N64" s="162">
        <v>1</v>
      </c>
      <c r="O64" s="162"/>
      <c r="P64" s="162">
        <v>2</v>
      </c>
      <c r="Q64" s="162"/>
      <c r="R64" s="162">
        <v>1</v>
      </c>
      <c r="S64" s="162"/>
      <c r="T64" s="162">
        <v>1</v>
      </c>
      <c r="U64" s="162">
        <v>1</v>
      </c>
      <c r="V64" s="162"/>
      <c r="W64" s="162">
        <v>1</v>
      </c>
      <c r="X64" s="162"/>
      <c r="Y64" s="162"/>
      <c r="Z64" s="162"/>
      <c r="AA64" s="162"/>
      <c r="AB64" s="162">
        <v>1</v>
      </c>
      <c r="AC64" s="162">
        <v>1</v>
      </c>
      <c r="AD64" s="162">
        <v>3</v>
      </c>
      <c r="AE64" s="162">
        <v>1</v>
      </c>
      <c r="AF64" s="161"/>
      <c r="AG64" s="64">
        <f t="shared" si="2"/>
        <v>24</v>
      </c>
    </row>
    <row r="65" spans="1:33" ht="18.75" x14ac:dyDescent="0.25">
      <c r="A65" s="301" t="s">
        <v>133</v>
      </c>
      <c r="B65" s="249">
        <v>3</v>
      </c>
      <c r="C65" s="162"/>
      <c r="D65" s="162">
        <v>1</v>
      </c>
      <c r="E65" s="162"/>
      <c r="F65" s="162">
        <v>2</v>
      </c>
      <c r="G65" s="162"/>
      <c r="H65" s="162">
        <v>3</v>
      </c>
      <c r="I65" s="162"/>
      <c r="J65" s="162">
        <v>2</v>
      </c>
      <c r="K65" s="162">
        <v>2</v>
      </c>
      <c r="L65" s="162">
        <v>2</v>
      </c>
      <c r="M65" s="162">
        <v>1</v>
      </c>
      <c r="N65" s="162">
        <v>1</v>
      </c>
      <c r="O65" s="162">
        <v>4</v>
      </c>
      <c r="P65" s="162">
        <v>1</v>
      </c>
      <c r="Q65" s="162">
        <v>2</v>
      </c>
      <c r="R65" s="162"/>
      <c r="S65" s="162"/>
      <c r="T65" s="162">
        <v>2</v>
      </c>
      <c r="U65" s="162"/>
      <c r="V65" s="162"/>
      <c r="W65" s="162">
        <v>3</v>
      </c>
      <c r="X65" s="162">
        <v>2</v>
      </c>
      <c r="Y65" s="162">
        <v>1</v>
      </c>
      <c r="Z65" s="162"/>
      <c r="AA65" s="162">
        <v>1</v>
      </c>
      <c r="AB65" s="162">
        <v>1</v>
      </c>
      <c r="AC65" s="162">
        <v>1</v>
      </c>
      <c r="AD65" s="162">
        <v>4</v>
      </c>
      <c r="AE65" s="162">
        <v>3</v>
      </c>
      <c r="AF65" s="161"/>
      <c r="AG65" s="64">
        <f t="shared" si="2"/>
        <v>42</v>
      </c>
    </row>
    <row r="66" spans="1:33" ht="18.75" x14ac:dyDescent="0.25">
      <c r="A66" s="301" t="s">
        <v>132</v>
      </c>
      <c r="B66" s="249">
        <v>1</v>
      </c>
      <c r="C66" s="162">
        <v>1</v>
      </c>
      <c r="D66" s="162">
        <v>1</v>
      </c>
      <c r="E66" s="162"/>
      <c r="F66" s="162">
        <v>1</v>
      </c>
      <c r="G66" s="162">
        <v>1</v>
      </c>
      <c r="H66" s="162">
        <v>1</v>
      </c>
      <c r="I66" s="162">
        <v>1</v>
      </c>
      <c r="J66" s="162"/>
      <c r="K66" s="162"/>
      <c r="L66" s="162"/>
      <c r="M66" s="162">
        <v>3</v>
      </c>
      <c r="N66" s="162">
        <v>4</v>
      </c>
      <c r="O66" s="162">
        <v>2</v>
      </c>
      <c r="P66" s="162">
        <v>4</v>
      </c>
      <c r="Q66" s="162"/>
      <c r="R66" s="162"/>
      <c r="S66" s="162"/>
      <c r="T66" s="162">
        <v>5</v>
      </c>
      <c r="U66" s="162"/>
      <c r="V66" s="162"/>
      <c r="W66" s="162">
        <v>1</v>
      </c>
      <c r="X66" s="162"/>
      <c r="Y66" s="162">
        <v>1</v>
      </c>
      <c r="Z66" s="162">
        <v>1</v>
      </c>
      <c r="AA66" s="162">
        <v>6</v>
      </c>
      <c r="AB66" s="162"/>
      <c r="AC66" s="162">
        <v>2</v>
      </c>
      <c r="AD66" s="162">
        <v>2</v>
      </c>
      <c r="AE66" s="162"/>
      <c r="AF66" s="161"/>
      <c r="AG66" s="64">
        <f t="shared" si="2"/>
        <v>38</v>
      </c>
    </row>
    <row r="67" spans="1:33" ht="18.75" x14ac:dyDescent="0.25">
      <c r="A67" s="301" t="s">
        <v>131</v>
      </c>
      <c r="B67" s="249">
        <v>2</v>
      </c>
      <c r="C67" s="162"/>
      <c r="D67" s="162"/>
      <c r="E67" s="162"/>
      <c r="F67" s="162">
        <v>1</v>
      </c>
      <c r="G67" s="162"/>
      <c r="H67" s="162"/>
      <c r="I67" s="162"/>
      <c r="J67" s="162"/>
      <c r="K67" s="162">
        <v>1</v>
      </c>
      <c r="L67" s="162"/>
      <c r="M67" s="162"/>
      <c r="N67" s="162">
        <v>3</v>
      </c>
      <c r="O67" s="162">
        <v>1</v>
      </c>
      <c r="P67" s="162">
        <v>1</v>
      </c>
      <c r="Q67" s="162"/>
      <c r="R67" s="162"/>
      <c r="S67" s="162"/>
      <c r="T67" s="162">
        <v>3</v>
      </c>
      <c r="U67" s="162"/>
      <c r="V67" s="162"/>
      <c r="W67" s="162"/>
      <c r="X67" s="162"/>
      <c r="Y67" s="162">
        <v>1</v>
      </c>
      <c r="Z67" s="162"/>
      <c r="AA67" s="162">
        <v>3</v>
      </c>
      <c r="AB67" s="162">
        <v>1</v>
      </c>
      <c r="AC67" s="162"/>
      <c r="AD67" s="162"/>
      <c r="AE67" s="162"/>
      <c r="AF67" s="161"/>
      <c r="AG67" s="64">
        <f t="shared" ref="AG67:AG98" si="5">SUM(B67:AF67)</f>
        <v>17</v>
      </c>
    </row>
    <row r="68" spans="1:33" ht="18.75" x14ac:dyDescent="0.25">
      <c r="A68" s="301" t="s">
        <v>130</v>
      </c>
      <c r="B68" s="249"/>
      <c r="C68" s="162"/>
      <c r="D68" s="162">
        <v>1</v>
      </c>
      <c r="E68" s="162"/>
      <c r="F68" s="162"/>
      <c r="G68" s="162"/>
      <c r="H68" s="162"/>
      <c r="I68" s="162"/>
      <c r="J68" s="162"/>
      <c r="K68" s="162"/>
      <c r="L68" s="162"/>
      <c r="M68" s="162"/>
      <c r="N68" s="162"/>
      <c r="O68" s="162"/>
      <c r="P68" s="162"/>
      <c r="Q68" s="162"/>
      <c r="R68" s="162"/>
      <c r="S68" s="162">
        <v>1</v>
      </c>
      <c r="T68" s="162"/>
      <c r="U68" s="162"/>
      <c r="V68" s="162"/>
      <c r="W68" s="162"/>
      <c r="X68" s="162"/>
      <c r="Y68" s="162"/>
      <c r="Z68" s="162"/>
      <c r="AA68" s="162"/>
      <c r="AB68" s="162">
        <v>1</v>
      </c>
      <c r="AC68" s="162">
        <v>1</v>
      </c>
      <c r="AD68" s="162">
        <v>1</v>
      </c>
      <c r="AE68" s="162"/>
      <c r="AF68" s="161"/>
      <c r="AG68" s="64">
        <f t="shared" si="5"/>
        <v>5</v>
      </c>
    </row>
    <row r="69" spans="1:33" ht="18.75" x14ac:dyDescent="0.25">
      <c r="A69" s="301" t="s">
        <v>129</v>
      </c>
      <c r="B69" s="249"/>
      <c r="C69" s="162"/>
      <c r="D69" s="162"/>
      <c r="E69" s="162"/>
      <c r="F69" s="162"/>
      <c r="G69" s="162"/>
      <c r="H69" s="162"/>
      <c r="I69" s="162"/>
      <c r="J69" s="162"/>
      <c r="K69" s="162"/>
      <c r="L69" s="162"/>
      <c r="M69" s="162"/>
      <c r="N69" s="162"/>
      <c r="O69" s="162"/>
      <c r="P69" s="162"/>
      <c r="Q69" s="162"/>
      <c r="R69" s="162"/>
      <c r="S69" s="162"/>
      <c r="T69" s="162"/>
      <c r="U69" s="162"/>
      <c r="V69" s="162"/>
      <c r="W69" s="162"/>
      <c r="X69" s="162"/>
      <c r="Y69" s="162"/>
      <c r="Z69" s="162"/>
      <c r="AA69" s="162"/>
      <c r="AB69" s="162"/>
      <c r="AC69" s="162"/>
      <c r="AD69" s="162"/>
      <c r="AE69" s="162"/>
      <c r="AF69" s="161"/>
      <c r="AG69" s="64">
        <f t="shared" si="5"/>
        <v>0</v>
      </c>
    </row>
    <row r="70" spans="1:33" ht="18.75" x14ac:dyDescent="0.25">
      <c r="A70" s="301" t="s">
        <v>128</v>
      </c>
      <c r="B70" s="248"/>
      <c r="C70" s="199">
        <v>1</v>
      </c>
      <c r="D70" s="162"/>
      <c r="E70" s="199"/>
      <c r="F70" s="199"/>
      <c r="G70" s="162"/>
      <c r="H70" s="199"/>
      <c r="I70" s="162"/>
      <c r="J70" s="199">
        <v>1</v>
      </c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199"/>
      <c r="W70" s="199"/>
      <c r="X70" s="162"/>
      <c r="Y70" s="199"/>
      <c r="Z70" s="199">
        <v>10</v>
      </c>
      <c r="AA70" s="199">
        <v>1</v>
      </c>
      <c r="AB70" s="199"/>
      <c r="AC70" s="199"/>
      <c r="AD70" s="199"/>
      <c r="AE70" s="199"/>
      <c r="AF70" s="206"/>
      <c r="AG70" s="64">
        <f t="shared" si="5"/>
        <v>13</v>
      </c>
    </row>
    <row r="71" spans="1:33" ht="18.75" x14ac:dyDescent="0.25">
      <c r="A71" s="301" t="s">
        <v>127</v>
      </c>
      <c r="B71" s="248">
        <v>1</v>
      </c>
      <c r="C71" s="199"/>
      <c r="D71" s="162"/>
      <c r="E71" s="199"/>
      <c r="F71" s="199"/>
      <c r="G71" s="162"/>
      <c r="H71" s="199"/>
      <c r="I71" s="162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9"/>
      <c r="X71" s="162"/>
      <c r="Y71" s="199"/>
      <c r="Z71" s="199">
        <v>1</v>
      </c>
      <c r="AA71" s="199"/>
      <c r="AB71" s="199"/>
      <c r="AC71" s="199"/>
      <c r="AD71" s="199"/>
      <c r="AE71" s="199"/>
      <c r="AF71" s="206"/>
      <c r="AG71" s="64">
        <f t="shared" si="5"/>
        <v>2</v>
      </c>
    </row>
    <row r="72" spans="1:33" ht="18.75" x14ac:dyDescent="0.25">
      <c r="A72" s="301" t="s">
        <v>126</v>
      </c>
      <c r="B72" s="248"/>
      <c r="C72" s="199"/>
      <c r="D72" s="162"/>
      <c r="E72" s="199"/>
      <c r="F72" s="199"/>
      <c r="G72" s="162"/>
      <c r="H72" s="199"/>
      <c r="I72" s="162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199"/>
      <c r="X72" s="162"/>
      <c r="Y72" s="199"/>
      <c r="Z72" s="199"/>
      <c r="AA72" s="199"/>
      <c r="AB72" s="199"/>
      <c r="AC72" s="199"/>
      <c r="AD72" s="199"/>
      <c r="AE72" s="199"/>
      <c r="AF72" s="206"/>
      <c r="AG72" s="64">
        <f t="shared" si="5"/>
        <v>0</v>
      </c>
    </row>
    <row r="73" spans="1:33" ht="18.75" x14ac:dyDescent="0.25">
      <c r="A73" s="301" t="s">
        <v>125</v>
      </c>
      <c r="B73" s="248"/>
      <c r="C73" s="199"/>
      <c r="D73" s="162"/>
      <c r="E73" s="199"/>
      <c r="F73" s="199"/>
      <c r="G73" s="162"/>
      <c r="H73" s="199"/>
      <c r="I73" s="162"/>
      <c r="J73" s="199"/>
      <c r="K73" s="199"/>
      <c r="L73" s="199"/>
      <c r="M73" s="199"/>
      <c r="N73" s="199"/>
      <c r="O73" s="199"/>
      <c r="P73" s="199"/>
      <c r="Q73" s="199"/>
      <c r="R73" s="199"/>
      <c r="S73" s="199"/>
      <c r="T73" s="199"/>
      <c r="U73" s="199"/>
      <c r="V73" s="199"/>
      <c r="W73" s="199"/>
      <c r="X73" s="162">
        <v>1</v>
      </c>
      <c r="Y73" s="199"/>
      <c r="Z73" s="199">
        <v>1</v>
      </c>
      <c r="AA73" s="199"/>
      <c r="AB73" s="199"/>
      <c r="AC73" s="199"/>
      <c r="AD73" s="199"/>
      <c r="AE73" s="199"/>
      <c r="AF73" s="206"/>
      <c r="AG73" s="64">
        <f t="shared" si="5"/>
        <v>2</v>
      </c>
    </row>
    <row r="74" spans="1:33" ht="18.75" x14ac:dyDescent="0.25">
      <c r="A74" s="301" t="s">
        <v>124</v>
      </c>
      <c r="B74" s="248"/>
      <c r="C74" s="199"/>
      <c r="D74" s="162"/>
      <c r="E74" s="199"/>
      <c r="F74" s="199"/>
      <c r="G74" s="162">
        <v>1</v>
      </c>
      <c r="H74" s="199"/>
      <c r="I74" s="162"/>
      <c r="J74" s="199"/>
      <c r="K74" s="199"/>
      <c r="L74" s="199"/>
      <c r="M74" s="199"/>
      <c r="N74" s="199"/>
      <c r="O74" s="199"/>
      <c r="P74" s="199"/>
      <c r="Q74" s="199"/>
      <c r="R74" s="199"/>
      <c r="S74" s="199"/>
      <c r="T74" s="199"/>
      <c r="U74" s="199"/>
      <c r="V74" s="199"/>
      <c r="W74" s="199"/>
      <c r="X74" s="162"/>
      <c r="Y74" s="199"/>
      <c r="Z74" s="199"/>
      <c r="AA74" s="199"/>
      <c r="AB74" s="199"/>
      <c r="AC74" s="199"/>
      <c r="AD74" s="199"/>
      <c r="AE74" s="199"/>
      <c r="AF74" s="206"/>
      <c r="AG74" s="64">
        <f t="shared" si="5"/>
        <v>1</v>
      </c>
    </row>
    <row r="75" spans="1:33" ht="18.75" x14ac:dyDescent="0.25">
      <c r="A75" s="301" t="s">
        <v>123</v>
      </c>
      <c r="B75" s="248"/>
      <c r="C75" s="199"/>
      <c r="D75" s="162"/>
      <c r="E75" s="199"/>
      <c r="F75" s="199"/>
      <c r="G75" s="162"/>
      <c r="H75" s="199">
        <v>1</v>
      </c>
      <c r="I75" s="162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>
        <v>1</v>
      </c>
      <c r="W75" s="199"/>
      <c r="X75" s="162"/>
      <c r="Y75" s="199"/>
      <c r="Z75" s="199"/>
      <c r="AA75" s="199"/>
      <c r="AB75" s="199"/>
      <c r="AC75" s="199"/>
      <c r="AD75" s="199"/>
      <c r="AE75" s="199"/>
      <c r="AF75" s="206"/>
      <c r="AG75" s="64">
        <f t="shared" si="5"/>
        <v>2</v>
      </c>
    </row>
    <row r="76" spans="1:33" ht="18.75" x14ac:dyDescent="0.25">
      <c r="A76" s="301" t="s">
        <v>122</v>
      </c>
      <c r="B76" s="248"/>
      <c r="C76" s="199"/>
      <c r="D76" s="162"/>
      <c r="E76" s="199"/>
      <c r="F76" s="199"/>
      <c r="G76" s="162"/>
      <c r="H76" s="199"/>
      <c r="I76" s="162"/>
      <c r="J76" s="199"/>
      <c r="K76" s="199"/>
      <c r="L76" s="199"/>
      <c r="M76" s="199"/>
      <c r="N76" s="199"/>
      <c r="O76" s="199"/>
      <c r="P76" s="199"/>
      <c r="Q76" s="199"/>
      <c r="R76" s="199"/>
      <c r="S76" s="199"/>
      <c r="T76" s="199"/>
      <c r="U76" s="199"/>
      <c r="V76" s="199"/>
      <c r="W76" s="199"/>
      <c r="X76" s="162"/>
      <c r="Y76" s="199"/>
      <c r="Z76" s="199"/>
      <c r="AA76" s="199"/>
      <c r="AB76" s="199">
        <v>2</v>
      </c>
      <c r="AC76" s="199"/>
      <c r="AD76" s="199"/>
      <c r="AE76" s="199"/>
      <c r="AF76" s="206"/>
      <c r="AG76" s="64">
        <f t="shared" si="5"/>
        <v>2</v>
      </c>
    </row>
    <row r="77" spans="1:33" ht="19.5" thickBot="1" x14ac:dyDescent="0.3">
      <c r="A77" s="305" t="s">
        <v>121</v>
      </c>
      <c r="B77" s="253"/>
      <c r="C77" s="184"/>
      <c r="D77" s="181"/>
      <c r="E77" s="184"/>
      <c r="F77" s="184"/>
      <c r="G77" s="181"/>
      <c r="H77" s="184"/>
      <c r="I77" s="181"/>
      <c r="J77" s="184"/>
      <c r="K77" s="184"/>
      <c r="L77" s="184"/>
      <c r="M77" s="184"/>
      <c r="N77" s="184"/>
      <c r="O77" s="184"/>
      <c r="P77" s="184"/>
      <c r="Q77" s="184"/>
      <c r="R77" s="184"/>
      <c r="S77" s="184"/>
      <c r="T77" s="184"/>
      <c r="U77" s="184"/>
      <c r="V77" s="184"/>
      <c r="W77" s="184"/>
      <c r="X77" s="181"/>
      <c r="Y77" s="184"/>
      <c r="Z77" s="184"/>
      <c r="AA77" s="184"/>
      <c r="AB77" s="184"/>
      <c r="AC77" s="184"/>
      <c r="AD77" s="184"/>
      <c r="AE77" s="184"/>
      <c r="AF77" s="183"/>
      <c r="AG77" s="160">
        <f t="shared" si="5"/>
        <v>0</v>
      </c>
    </row>
    <row r="78" spans="1:33" ht="19.5" hidden="1" customHeight="1" thickBot="1" x14ac:dyDescent="0.3">
      <c r="A78" s="306" t="s">
        <v>120</v>
      </c>
      <c r="B78" s="254">
        <f t="shared" ref="B78:AF78" si="6">SUM(B79:B80)</f>
        <v>126</v>
      </c>
      <c r="C78" s="204">
        <f t="shared" si="6"/>
        <v>159</v>
      </c>
      <c r="D78" s="204">
        <f t="shared" si="6"/>
        <v>137</v>
      </c>
      <c r="E78" s="201">
        <f t="shared" si="6"/>
        <v>132</v>
      </c>
      <c r="F78" s="201">
        <f t="shared" si="6"/>
        <v>156</v>
      </c>
      <c r="G78" s="201">
        <f t="shared" si="6"/>
        <v>131</v>
      </c>
      <c r="H78" s="201">
        <f t="shared" si="6"/>
        <v>137</v>
      </c>
      <c r="I78" s="201">
        <f t="shared" si="6"/>
        <v>126</v>
      </c>
      <c r="J78" s="201">
        <f t="shared" si="6"/>
        <v>133</v>
      </c>
      <c r="K78" s="201">
        <f t="shared" si="6"/>
        <v>153</v>
      </c>
      <c r="L78" s="201">
        <f t="shared" si="6"/>
        <v>143</v>
      </c>
      <c r="M78" s="201">
        <f t="shared" si="6"/>
        <v>155</v>
      </c>
      <c r="N78" s="201">
        <f t="shared" si="6"/>
        <v>169</v>
      </c>
      <c r="O78" s="201">
        <f t="shared" si="6"/>
        <v>154</v>
      </c>
      <c r="P78" s="201">
        <f t="shared" si="6"/>
        <v>146</v>
      </c>
      <c r="Q78" s="201">
        <f t="shared" si="6"/>
        <v>153</v>
      </c>
      <c r="R78" s="201">
        <f t="shared" si="6"/>
        <v>129</v>
      </c>
      <c r="S78" s="201">
        <f t="shared" si="6"/>
        <v>131</v>
      </c>
      <c r="T78" s="201">
        <f t="shared" si="6"/>
        <v>168</v>
      </c>
      <c r="U78" s="201">
        <f t="shared" si="6"/>
        <v>129</v>
      </c>
      <c r="V78" s="201">
        <f t="shared" si="6"/>
        <v>101</v>
      </c>
      <c r="W78" s="201">
        <f t="shared" si="6"/>
        <v>112</v>
      </c>
      <c r="X78" s="201">
        <f t="shared" si="6"/>
        <v>134</v>
      </c>
      <c r="Y78" s="201">
        <f t="shared" si="6"/>
        <v>127</v>
      </c>
      <c r="Z78" s="201">
        <f t="shared" si="6"/>
        <v>144</v>
      </c>
      <c r="AA78" s="201">
        <f t="shared" si="6"/>
        <v>151</v>
      </c>
      <c r="AB78" s="201">
        <f t="shared" si="6"/>
        <v>114</v>
      </c>
      <c r="AC78" s="201">
        <f t="shared" si="6"/>
        <v>135</v>
      </c>
      <c r="AD78" s="201">
        <f t="shared" si="6"/>
        <v>138</v>
      </c>
      <c r="AE78" s="201">
        <f t="shared" si="6"/>
        <v>88</v>
      </c>
      <c r="AF78" s="203">
        <f t="shared" si="6"/>
        <v>0</v>
      </c>
      <c r="AG78" s="157">
        <f t="shared" si="5"/>
        <v>4111</v>
      </c>
    </row>
    <row r="79" spans="1:33" ht="19.5" hidden="1" customHeight="1" thickBot="1" x14ac:dyDescent="0.3">
      <c r="A79" s="307" t="s">
        <v>118</v>
      </c>
      <c r="B79" s="248">
        <f t="shared" ref="B79:AF79" si="7">SUM(B4:B27)-B80</f>
        <v>126</v>
      </c>
      <c r="C79" s="199">
        <f t="shared" si="7"/>
        <v>159</v>
      </c>
      <c r="D79" s="199">
        <f t="shared" si="7"/>
        <v>137</v>
      </c>
      <c r="E79" s="199">
        <f t="shared" si="7"/>
        <v>132</v>
      </c>
      <c r="F79" s="199">
        <f t="shared" si="7"/>
        <v>108</v>
      </c>
      <c r="G79" s="199">
        <f t="shared" si="7"/>
        <v>92</v>
      </c>
      <c r="H79" s="199">
        <f t="shared" si="7"/>
        <v>88</v>
      </c>
      <c r="I79" s="199">
        <f t="shared" si="7"/>
        <v>126</v>
      </c>
      <c r="J79" s="199">
        <f t="shared" si="7"/>
        <v>133</v>
      </c>
      <c r="K79" s="199">
        <f t="shared" si="7"/>
        <v>153</v>
      </c>
      <c r="L79" s="199">
        <f t="shared" si="7"/>
        <v>143</v>
      </c>
      <c r="M79" s="199">
        <f t="shared" si="7"/>
        <v>91</v>
      </c>
      <c r="N79" s="199">
        <f t="shared" si="7"/>
        <v>108</v>
      </c>
      <c r="O79" s="199">
        <f t="shared" si="7"/>
        <v>108</v>
      </c>
      <c r="P79" s="199">
        <f t="shared" si="7"/>
        <v>146</v>
      </c>
      <c r="Q79" s="199">
        <f t="shared" si="7"/>
        <v>153</v>
      </c>
      <c r="R79" s="199">
        <f t="shared" si="7"/>
        <v>46</v>
      </c>
      <c r="S79" s="199">
        <f t="shared" si="7"/>
        <v>54</v>
      </c>
      <c r="T79" s="199">
        <f t="shared" si="7"/>
        <v>102</v>
      </c>
      <c r="U79" s="199">
        <f t="shared" si="7"/>
        <v>80</v>
      </c>
      <c r="V79" s="199">
        <f t="shared" si="7"/>
        <v>66</v>
      </c>
      <c r="W79" s="199">
        <f t="shared" si="7"/>
        <v>112</v>
      </c>
      <c r="X79" s="199">
        <f t="shared" si="7"/>
        <v>134</v>
      </c>
      <c r="Y79" s="199">
        <f t="shared" si="7"/>
        <v>65</v>
      </c>
      <c r="Z79" s="199">
        <f t="shared" si="7"/>
        <v>144</v>
      </c>
      <c r="AA79" s="199">
        <f t="shared" si="7"/>
        <v>110</v>
      </c>
      <c r="AB79" s="199">
        <f t="shared" si="7"/>
        <v>77</v>
      </c>
      <c r="AC79" s="199">
        <f t="shared" si="7"/>
        <v>98</v>
      </c>
      <c r="AD79" s="199">
        <f t="shared" si="7"/>
        <v>138</v>
      </c>
      <c r="AE79" s="199">
        <f t="shared" si="7"/>
        <v>88</v>
      </c>
      <c r="AF79" s="199">
        <f t="shared" si="7"/>
        <v>0</v>
      </c>
      <c r="AG79" s="134">
        <f t="shared" si="5"/>
        <v>3317</v>
      </c>
    </row>
    <row r="80" spans="1:33" ht="19.5" hidden="1" customHeight="1" thickBot="1" x14ac:dyDescent="0.3">
      <c r="A80" s="308" t="s">
        <v>119</v>
      </c>
      <c r="B80" s="255"/>
      <c r="C80" s="169"/>
      <c r="D80" s="181">
        <v>0</v>
      </c>
      <c r="E80" s="181">
        <v>0</v>
      </c>
      <c r="F80" s="181">
        <f>SUM(F4:F12)</f>
        <v>48</v>
      </c>
      <c r="G80" s="181">
        <f>SUM(G4:G12)</f>
        <v>39</v>
      </c>
      <c r="H80" s="181">
        <f>SUM(H4:H12)</f>
        <v>49</v>
      </c>
      <c r="I80" s="169"/>
      <c r="J80" s="169"/>
      <c r="K80" s="181">
        <v>0</v>
      </c>
      <c r="L80" s="181">
        <v>0</v>
      </c>
      <c r="M80" s="181">
        <f>SUM(M4:M12)</f>
        <v>64</v>
      </c>
      <c r="N80" s="181">
        <f>SUM(N4:N12)</f>
        <v>61</v>
      </c>
      <c r="O80" s="181">
        <f>SUM(O4:O12)</f>
        <v>46</v>
      </c>
      <c r="P80" s="169"/>
      <c r="Q80" s="169"/>
      <c r="R80" s="181">
        <f>SUM(R4:R12)</f>
        <v>83</v>
      </c>
      <c r="S80" s="181">
        <f>SUM(S4:S12)</f>
        <v>77</v>
      </c>
      <c r="T80" s="181">
        <f>SUM(T4:T12)</f>
        <v>66</v>
      </c>
      <c r="U80" s="181">
        <f>SUM(U4:U12)</f>
        <v>49</v>
      </c>
      <c r="V80" s="181">
        <f>SUM(V4:V12)</f>
        <v>35</v>
      </c>
      <c r="W80" s="169"/>
      <c r="X80" s="169"/>
      <c r="Y80" s="181">
        <f>SUM(Y4:Y12)</f>
        <v>62</v>
      </c>
      <c r="Z80" s="169"/>
      <c r="AA80" s="181">
        <f>SUM(AA4:AA12)</f>
        <v>41</v>
      </c>
      <c r="AB80" s="181">
        <f>SUM(AB4:AB12)</f>
        <v>37</v>
      </c>
      <c r="AC80" s="181">
        <f>SUM(AC4:AC12)</f>
        <v>37</v>
      </c>
      <c r="AD80" s="169"/>
      <c r="AE80" s="169"/>
      <c r="AF80" s="181">
        <f>SUM(AF4:AF12)</f>
        <v>0</v>
      </c>
      <c r="AG80" s="160">
        <f t="shared" si="5"/>
        <v>794</v>
      </c>
    </row>
    <row r="81" spans="1:35" ht="19.5" thickBot="1" x14ac:dyDescent="0.3">
      <c r="A81" s="306" t="s">
        <v>84</v>
      </c>
      <c r="B81" s="256">
        <f t="shared" ref="B81:AF81" si="8">SUM(B82:B83)</f>
        <v>9</v>
      </c>
      <c r="C81" s="201">
        <f t="shared" si="8"/>
        <v>6</v>
      </c>
      <c r="D81" s="201">
        <f t="shared" si="8"/>
        <v>5</v>
      </c>
      <c r="E81" s="201">
        <f t="shared" si="8"/>
        <v>5</v>
      </c>
      <c r="F81" s="201">
        <f t="shared" si="8"/>
        <v>7</v>
      </c>
      <c r="G81" s="201">
        <f t="shared" si="8"/>
        <v>6</v>
      </c>
      <c r="H81" s="201">
        <f t="shared" si="8"/>
        <v>7</v>
      </c>
      <c r="I81" s="201">
        <f t="shared" si="8"/>
        <v>2</v>
      </c>
      <c r="J81" s="201">
        <f t="shared" si="8"/>
        <v>5</v>
      </c>
      <c r="K81" s="201">
        <f t="shared" si="8"/>
        <v>5</v>
      </c>
      <c r="L81" s="201">
        <f t="shared" si="8"/>
        <v>2</v>
      </c>
      <c r="M81" s="201">
        <f t="shared" si="8"/>
        <v>10</v>
      </c>
      <c r="N81" s="201">
        <f t="shared" si="8"/>
        <v>13</v>
      </c>
      <c r="O81" s="201">
        <f t="shared" si="8"/>
        <v>16</v>
      </c>
      <c r="P81" s="201">
        <f t="shared" si="8"/>
        <v>13</v>
      </c>
      <c r="Q81" s="201">
        <f t="shared" si="8"/>
        <v>8</v>
      </c>
      <c r="R81" s="201">
        <f t="shared" si="8"/>
        <v>5</v>
      </c>
      <c r="S81" s="201">
        <f t="shared" si="8"/>
        <v>5</v>
      </c>
      <c r="T81" s="201">
        <f t="shared" si="8"/>
        <v>12</v>
      </c>
      <c r="U81" s="201">
        <f t="shared" si="8"/>
        <v>2</v>
      </c>
      <c r="V81" s="201">
        <f t="shared" si="8"/>
        <v>2</v>
      </c>
      <c r="W81" s="201">
        <f t="shared" si="8"/>
        <v>5</v>
      </c>
      <c r="X81" s="201">
        <f t="shared" si="8"/>
        <v>9</v>
      </c>
      <c r="Y81" s="201">
        <f t="shared" si="8"/>
        <v>7</v>
      </c>
      <c r="Z81" s="201">
        <f t="shared" si="8"/>
        <v>20</v>
      </c>
      <c r="AA81" s="201">
        <f t="shared" si="8"/>
        <v>14</v>
      </c>
      <c r="AB81" s="201">
        <f t="shared" si="8"/>
        <v>8</v>
      </c>
      <c r="AC81" s="201">
        <f t="shared" si="8"/>
        <v>9</v>
      </c>
      <c r="AD81" s="201">
        <f t="shared" si="8"/>
        <v>13</v>
      </c>
      <c r="AE81" s="201">
        <f t="shared" si="8"/>
        <v>5</v>
      </c>
      <c r="AF81" s="201">
        <f t="shared" si="8"/>
        <v>0</v>
      </c>
      <c r="AG81" s="157">
        <f t="shared" si="5"/>
        <v>235</v>
      </c>
      <c r="AH81" s="53" t="str">
        <f>IF(AG81&lt;&gt;AG53,"*","")</f>
        <v/>
      </c>
    </row>
    <row r="82" spans="1:35" ht="18.75" x14ac:dyDescent="0.25">
      <c r="A82" s="307" t="s">
        <v>119</v>
      </c>
      <c r="B82" s="248">
        <f t="shared" ref="B82:AF82" si="9">SUM(B54:B62)</f>
        <v>0</v>
      </c>
      <c r="C82" s="218"/>
      <c r="D82" s="218"/>
      <c r="E82" s="218"/>
      <c r="F82" s="199">
        <f t="shared" si="9"/>
        <v>1</v>
      </c>
      <c r="G82" s="199">
        <f t="shared" si="9"/>
        <v>1</v>
      </c>
      <c r="H82" s="199">
        <f t="shared" si="9"/>
        <v>0</v>
      </c>
      <c r="I82" s="199">
        <f t="shared" si="9"/>
        <v>0</v>
      </c>
      <c r="J82" s="199">
        <f t="shared" si="9"/>
        <v>0</v>
      </c>
      <c r="K82" s="218"/>
      <c r="L82" s="218"/>
      <c r="M82" s="199">
        <f t="shared" si="9"/>
        <v>6</v>
      </c>
      <c r="N82" s="199">
        <f t="shared" si="9"/>
        <v>4</v>
      </c>
      <c r="O82" s="199">
        <f t="shared" si="9"/>
        <v>7</v>
      </c>
      <c r="P82" s="199">
        <f t="shared" si="9"/>
        <v>4</v>
      </c>
      <c r="Q82" s="199">
        <f t="shared" si="9"/>
        <v>5</v>
      </c>
      <c r="R82" s="218"/>
      <c r="S82" s="218"/>
      <c r="T82" s="199">
        <f t="shared" si="9"/>
        <v>1</v>
      </c>
      <c r="U82" s="199">
        <f t="shared" si="9"/>
        <v>1</v>
      </c>
      <c r="V82" s="199">
        <f t="shared" si="9"/>
        <v>1</v>
      </c>
      <c r="W82" s="199">
        <f t="shared" si="9"/>
        <v>0</v>
      </c>
      <c r="X82" s="199">
        <f t="shared" si="9"/>
        <v>2</v>
      </c>
      <c r="Y82" s="218"/>
      <c r="Z82" s="218"/>
      <c r="AA82" s="199">
        <f t="shared" si="9"/>
        <v>2</v>
      </c>
      <c r="AB82" s="199">
        <f t="shared" si="9"/>
        <v>1</v>
      </c>
      <c r="AC82" s="199">
        <f t="shared" si="9"/>
        <v>2</v>
      </c>
      <c r="AD82" s="199">
        <f t="shared" si="9"/>
        <v>3</v>
      </c>
      <c r="AE82" s="199">
        <f t="shared" si="9"/>
        <v>1</v>
      </c>
      <c r="AF82" s="199">
        <f t="shared" si="9"/>
        <v>0</v>
      </c>
      <c r="AG82" s="134">
        <f t="shared" si="5"/>
        <v>42</v>
      </c>
    </row>
    <row r="83" spans="1:35" ht="19.5" thickBot="1" x14ac:dyDescent="0.3">
      <c r="A83" s="308" t="s">
        <v>118</v>
      </c>
      <c r="B83" s="252">
        <f t="shared" ref="B83:AF83" si="10">SUM(B54:B77)-B82</f>
        <v>9</v>
      </c>
      <c r="C83" s="181">
        <f t="shared" si="10"/>
        <v>6</v>
      </c>
      <c r="D83" s="181">
        <f t="shared" si="10"/>
        <v>5</v>
      </c>
      <c r="E83" s="181">
        <f t="shared" si="10"/>
        <v>5</v>
      </c>
      <c r="F83" s="181">
        <f t="shared" si="10"/>
        <v>6</v>
      </c>
      <c r="G83" s="181">
        <f t="shared" si="10"/>
        <v>5</v>
      </c>
      <c r="H83" s="181">
        <f t="shared" si="10"/>
        <v>7</v>
      </c>
      <c r="I83" s="181">
        <f t="shared" si="10"/>
        <v>2</v>
      </c>
      <c r="J83" s="181">
        <f t="shared" si="10"/>
        <v>5</v>
      </c>
      <c r="K83" s="181">
        <f t="shared" si="10"/>
        <v>5</v>
      </c>
      <c r="L83" s="181">
        <f t="shared" si="10"/>
        <v>2</v>
      </c>
      <c r="M83" s="181">
        <f t="shared" si="10"/>
        <v>4</v>
      </c>
      <c r="N83" s="181">
        <f t="shared" si="10"/>
        <v>9</v>
      </c>
      <c r="O83" s="181">
        <f t="shared" si="10"/>
        <v>9</v>
      </c>
      <c r="P83" s="181">
        <f t="shared" si="10"/>
        <v>9</v>
      </c>
      <c r="Q83" s="181">
        <f t="shared" si="10"/>
        <v>3</v>
      </c>
      <c r="R83" s="181">
        <f t="shared" si="10"/>
        <v>5</v>
      </c>
      <c r="S83" s="181">
        <f t="shared" si="10"/>
        <v>5</v>
      </c>
      <c r="T83" s="181">
        <f t="shared" si="10"/>
        <v>11</v>
      </c>
      <c r="U83" s="181">
        <f t="shared" si="10"/>
        <v>1</v>
      </c>
      <c r="V83" s="181">
        <f t="shared" si="10"/>
        <v>1</v>
      </c>
      <c r="W83" s="181">
        <f t="shared" si="10"/>
        <v>5</v>
      </c>
      <c r="X83" s="181">
        <f t="shared" si="10"/>
        <v>7</v>
      </c>
      <c r="Y83" s="181">
        <f t="shared" si="10"/>
        <v>7</v>
      </c>
      <c r="Z83" s="181">
        <f t="shared" si="10"/>
        <v>20</v>
      </c>
      <c r="AA83" s="181">
        <f t="shared" si="10"/>
        <v>12</v>
      </c>
      <c r="AB83" s="181">
        <f t="shared" si="10"/>
        <v>7</v>
      </c>
      <c r="AC83" s="181">
        <f t="shared" si="10"/>
        <v>7</v>
      </c>
      <c r="AD83" s="181">
        <f t="shared" si="10"/>
        <v>10</v>
      </c>
      <c r="AE83" s="181">
        <f t="shared" si="10"/>
        <v>4</v>
      </c>
      <c r="AF83" s="181">
        <f t="shared" si="10"/>
        <v>0</v>
      </c>
      <c r="AG83" s="64">
        <f t="shared" si="5"/>
        <v>193</v>
      </c>
    </row>
    <row r="84" spans="1:35" ht="19.5" thickBot="1" x14ac:dyDescent="0.3">
      <c r="A84" s="309" t="s">
        <v>117</v>
      </c>
      <c r="B84" s="257">
        <f t="shared" ref="B84:AF84" si="11">SUM(B85:B86)</f>
        <v>9</v>
      </c>
      <c r="C84" s="158">
        <f t="shared" si="11"/>
        <v>6</v>
      </c>
      <c r="D84" s="158">
        <f t="shared" si="11"/>
        <v>5</v>
      </c>
      <c r="E84" s="158">
        <f t="shared" si="11"/>
        <v>5</v>
      </c>
      <c r="F84" s="158">
        <f t="shared" si="11"/>
        <v>7</v>
      </c>
      <c r="G84" s="158">
        <f t="shared" si="11"/>
        <v>6</v>
      </c>
      <c r="H84" s="158">
        <f t="shared" si="11"/>
        <v>7</v>
      </c>
      <c r="I84" s="158">
        <f t="shared" si="11"/>
        <v>2</v>
      </c>
      <c r="J84" s="158">
        <f t="shared" si="11"/>
        <v>5</v>
      </c>
      <c r="K84" s="158">
        <f t="shared" si="11"/>
        <v>5</v>
      </c>
      <c r="L84" s="158">
        <f t="shared" si="11"/>
        <v>2</v>
      </c>
      <c r="M84" s="158">
        <f t="shared" si="11"/>
        <v>10</v>
      </c>
      <c r="N84" s="158">
        <f t="shared" si="11"/>
        <v>13</v>
      </c>
      <c r="O84" s="158">
        <f t="shared" si="11"/>
        <v>16</v>
      </c>
      <c r="P84" s="158">
        <f t="shared" si="11"/>
        <v>13</v>
      </c>
      <c r="Q84" s="158">
        <f t="shared" si="11"/>
        <v>8</v>
      </c>
      <c r="R84" s="158">
        <f t="shared" si="11"/>
        <v>5</v>
      </c>
      <c r="S84" s="158">
        <f t="shared" si="11"/>
        <v>5</v>
      </c>
      <c r="T84" s="158">
        <f t="shared" si="11"/>
        <v>12</v>
      </c>
      <c r="U84" s="158">
        <f t="shared" si="11"/>
        <v>2</v>
      </c>
      <c r="V84" s="158">
        <f t="shared" si="11"/>
        <v>2</v>
      </c>
      <c r="W84" s="158">
        <f t="shared" si="11"/>
        <v>5</v>
      </c>
      <c r="X84" s="158">
        <f t="shared" si="11"/>
        <v>9</v>
      </c>
      <c r="Y84" s="158">
        <f t="shared" si="11"/>
        <v>7</v>
      </c>
      <c r="Z84" s="158">
        <f t="shared" si="11"/>
        <v>20</v>
      </c>
      <c r="AA84" s="158">
        <f t="shared" si="11"/>
        <v>14</v>
      </c>
      <c r="AB84" s="158">
        <f t="shared" si="11"/>
        <v>8</v>
      </c>
      <c r="AC84" s="158">
        <f t="shared" si="11"/>
        <v>9</v>
      </c>
      <c r="AD84" s="158">
        <f t="shared" si="11"/>
        <v>13</v>
      </c>
      <c r="AE84" s="158">
        <f t="shared" si="11"/>
        <v>5</v>
      </c>
      <c r="AF84" s="158">
        <f t="shared" si="11"/>
        <v>0</v>
      </c>
      <c r="AG84" s="197">
        <f t="shared" si="5"/>
        <v>235</v>
      </c>
      <c r="AH84" s="53" t="str">
        <f>IF(AG84&lt;&gt;AG82+AG83,"*","")</f>
        <v/>
      </c>
      <c r="AI84" s="403" t="s">
        <v>71</v>
      </c>
    </row>
    <row r="85" spans="1:35" ht="18.75" x14ac:dyDescent="0.25">
      <c r="A85" s="310" t="s">
        <v>116</v>
      </c>
      <c r="B85" s="258">
        <v>3</v>
      </c>
      <c r="C85" s="195">
        <v>0</v>
      </c>
      <c r="D85" s="195">
        <v>0</v>
      </c>
      <c r="E85" s="195">
        <v>1</v>
      </c>
      <c r="F85" s="195">
        <v>1</v>
      </c>
      <c r="G85" s="195">
        <v>1</v>
      </c>
      <c r="H85" s="195">
        <v>0</v>
      </c>
      <c r="I85" s="195">
        <v>0</v>
      </c>
      <c r="J85" s="195">
        <v>0</v>
      </c>
      <c r="K85" s="195">
        <v>2</v>
      </c>
      <c r="L85" s="195">
        <v>0</v>
      </c>
      <c r="M85" s="195">
        <v>1</v>
      </c>
      <c r="N85" s="195">
        <v>2</v>
      </c>
      <c r="O85" s="195">
        <v>3</v>
      </c>
      <c r="P85" s="195">
        <v>0</v>
      </c>
      <c r="Q85" s="195">
        <v>0</v>
      </c>
      <c r="R85" s="195">
        <v>0</v>
      </c>
      <c r="S85" s="195">
        <v>1</v>
      </c>
      <c r="T85" s="195">
        <v>4</v>
      </c>
      <c r="U85" s="195">
        <v>0</v>
      </c>
      <c r="V85" s="195">
        <v>0</v>
      </c>
      <c r="W85" s="195">
        <v>1</v>
      </c>
      <c r="X85" s="195">
        <v>1</v>
      </c>
      <c r="Y85" s="195">
        <v>1</v>
      </c>
      <c r="Z85" s="195">
        <v>0</v>
      </c>
      <c r="AA85" s="195">
        <v>0</v>
      </c>
      <c r="AB85" s="195">
        <v>1</v>
      </c>
      <c r="AC85" s="195">
        <v>1</v>
      </c>
      <c r="AD85" s="195">
        <v>3</v>
      </c>
      <c r="AE85" s="195">
        <v>0</v>
      </c>
      <c r="AF85" s="194"/>
      <c r="AG85" s="193">
        <f t="shared" si="5"/>
        <v>27</v>
      </c>
      <c r="AI85" s="404"/>
    </row>
    <row r="86" spans="1:35" ht="19.5" thickBot="1" x14ac:dyDescent="0.3">
      <c r="A86" s="311" t="s">
        <v>115</v>
      </c>
      <c r="B86" s="259">
        <v>6</v>
      </c>
      <c r="C86" s="191">
        <v>6</v>
      </c>
      <c r="D86" s="191">
        <v>5</v>
      </c>
      <c r="E86" s="191">
        <v>4</v>
      </c>
      <c r="F86" s="191">
        <v>6</v>
      </c>
      <c r="G86" s="191">
        <v>5</v>
      </c>
      <c r="H86" s="191">
        <v>7</v>
      </c>
      <c r="I86" s="191">
        <v>2</v>
      </c>
      <c r="J86" s="191">
        <v>5</v>
      </c>
      <c r="K86" s="191">
        <v>3</v>
      </c>
      <c r="L86" s="191">
        <v>2</v>
      </c>
      <c r="M86" s="191">
        <v>9</v>
      </c>
      <c r="N86" s="191">
        <v>11</v>
      </c>
      <c r="O86" s="191">
        <v>13</v>
      </c>
      <c r="P86" s="191">
        <v>13</v>
      </c>
      <c r="Q86" s="191">
        <v>8</v>
      </c>
      <c r="R86" s="191">
        <v>5</v>
      </c>
      <c r="S86" s="191">
        <v>4</v>
      </c>
      <c r="T86" s="191">
        <v>8</v>
      </c>
      <c r="U86" s="191">
        <v>2</v>
      </c>
      <c r="V86" s="191">
        <v>2</v>
      </c>
      <c r="W86" s="191">
        <v>4</v>
      </c>
      <c r="X86" s="191">
        <v>8</v>
      </c>
      <c r="Y86" s="191">
        <v>6</v>
      </c>
      <c r="Z86" s="191">
        <v>20</v>
      </c>
      <c r="AA86" s="191">
        <v>14</v>
      </c>
      <c r="AB86" s="191">
        <v>7</v>
      </c>
      <c r="AC86" s="191">
        <v>8</v>
      </c>
      <c r="AD86" s="191">
        <v>10</v>
      </c>
      <c r="AE86" s="191">
        <v>5</v>
      </c>
      <c r="AF86" s="190"/>
      <c r="AG86" s="189">
        <f t="shared" si="5"/>
        <v>208</v>
      </c>
      <c r="AI86" s="405"/>
    </row>
    <row r="87" spans="1:35" ht="19.5" thickBot="1" x14ac:dyDescent="0.3">
      <c r="A87" s="312" t="s">
        <v>114</v>
      </c>
      <c r="B87" s="260">
        <f t="shared" ref="B87:AF87" si="12">SUM(B88:B92)</f>
        <v>9</v>
      </c>
      <c r="C87" s="187">
        <f t="shared" si="12"/>
        <v>6</v>
      </c>
      <c r="D87" s="187">
        <f t="shared" si="12"/>
        <v>5</v>
      </c>
      <c r="E87" s="187">
        <f t="shared" si="12"/>
        <v>5</v>
      </c>
      <c r="F87" s="187">
        <f t="shared" si="12"/>
        <v>7</v>
      </c>
      <c r="G87" s="187">
        <f t="shared" si="12"/>
        <v>6</v>
      </c>
      <c r="H87" s="187">
        <f t="shared" si="12"/>
        <v>7</v>
      </c>
      <c r="I87" s="187">
        <f t="shared" si="12"/>
        <v>2</v>
      </c>
      <c r="J87" s="187">
        <f t="shared" si="12"/>
        <v>5</v>
      </c>
      <c r="K87" s="187">
        <f t="shared" si="12"/>
        <v>5</v>
      </c>
      <c r="L87" s="187">
        <f t="shared" si="12"/>
        <v>2</v>
      </c>
      <c r="M87" s="187">
        <f t="shared" si="12"/>
        <v>10</v>
      </c>
      <c r="N87" s="187">
        <f t="shared" si="12"/>
        <v>13</v>
      </c>
      <c r="O87" s="187">
        <f t="shared" si="12"/>
        <v>16</v>
      </c>
      <c r="P87" s="187">
        <f t="shared" si="12"/>
        <v>13</v>
      </c>
      <c r="Q87" s="187">
        <f t="shared" si="12"/>
        <v>8</v>
      </c>
      <c r="R87" s="187">
        <f t="shared" si="12"/>
        <v>5</v>
      </c>
      <c r="S87" s="187">
        <f t="shared" si="12"/>
        <v>5</v>
      </c>
      <c r="T87" s="187">
        <f t="shared" si="12"/>
        <v>12</v>
      </c>
      <c r="U87" s="187">
        <f t="shared" si="12"/>
        <v>2</v>
      </c>
      <c r="V87" s="187">
        <f t="shared" si="12"/>
        <v>2</v>
      </c>
      <c r="W87" s="187">
        <f t="shared" si="12"/>
        <v>5</v>
      </c>
      <c r="X87" s="187">
        <f t="shared" si="12"/>
        <v>9</v>
      </c>
      <c r="Y87" s="187">
        <f t="shared" si="12"/>
        <v>7</v>
      </c>
      <c r="Z87" s="187">
        <f t="shared" si="12"/>
        <v>20</v>
      </c>
      <c r="AA87" s="187">
        <f t="shared" si="12"/>
        <v>14</v>
      </c>
      <c r="AB87" s="187">
        <f t="shared" si="12"/>
        <v>8</v>
      </c>
      <c r="AC87" s="187">
        <f t="shared" si="12"/>
        <v>9</v>
      </c>
      <c r="AD87" s="187">
        <f t="shared" si="12"/>
        <v>13</v>
      </c>
      <c r="AE87" s="187">
        <f t="shared" si="12"/>
        <v>5</v>
      </c>
      <c r="AF87" s="187">
        <f t="shared" si="12"/>
        <v>0</v>
      </c>
      <c r="AG87" s="186">
        <f t="shared" si="5"/>
        <v>235</v>
      </c>
      <c r="AH87" s="185" t="str">
        <f>IF(AG87&lt;&gt;AG84,"*","")</f>
        <v/>
      </c>
    </row>
    <row r="88" spans="1:35" ht="18.75" x14ac:dyDescent="0.25">
      <c r="A88" s="313" t="s">
        <v>113</v>
      </c>
      <c r="B88" s="253">
        <v>4</v>
      </c>
      <c r="C88" s="184">
        <v>4</v>
      </c>
      <c r="D88" s="184">
        <v>2</v>
      </c>
      <c r="E88" s="184">
        <v>3</v>
      </c>
      <c r="F88" s="184">
        <v>6</v>
      </c>
      <c r="G88" s="184">
        <v>3</v>
      </c>
      <c r="H88" s="184">
        <v>3</v>
      </c>
      <c r="I88" s="184">
        <v>2</v>
      </c>
      <c r="J88" s="184">
        <v>2</v>
      </c>
      <c r="K88" s="184">
        <v>4</v>
      </c>
      <c r="L88" s="184">
        <v>2</v>
      </c>
      <c r="M88" s="184">
        <v>6</v>
      </c>
      <c r="N88" s="184">
        <v>8</v>
      </c>
      <c r="O88" s="184">
        <v>9</v>
      </c>
      <c r="P88" s="184">
        <v>5</v>
      </c>
      <c r="Q88" s="184">
        <v>3</v>
      </c>
      <c r="R88" s="184">
        <v>3</v>
      </c>
      <c r="S88" s="184">
        <v>1</v>
      </c>
      <c r="T88" s="184">
        <v>6</v>
      </c>
      <c r="U88" s="184">
        <v>2</v>
      </c>
      <c r="V88" s="184">
        <v>2</v>
      </c>
      <c r="W88" s="184">
        <v>3</v>
      </c>
      <c r="X88" s="184">
        <v>6</v>
      </c>
      <c r="Y88" s="184"/>
      <c r="Z88" s="184">
        <v>15</v>
      </c>
      <c r="AA88" s="184">
        <v>5</v>
      </c>
      <c r="AB88" s="184">
        <v>3</v>
      </c>
      <c r="AC88" s="184">
        <v>5</v>
      </c>
      <c r="AD88" s="184">
        <v>9</v>
      </c>
      <c r="AE88" s="184">
        <v>3</v>
      </c>
      <c r="AF88" s="183"/>
      <c r="AG88" s="134">
        <f t="shared" si="5"/>
        <v>129</v>
      </c>
    </row>
    <row r="89" spans="1:35" ht="18.75" x14ac:dyDescent="0.25">
      <c r="A89" s="314" t="s">
        <v>16</v>
      </c>
      <c r="B89" s="252"/>
      <c r="C89" s="181"/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  <c r="AA89" s="181"/>
      <c r="AB89" s="181"/>
      <c r="AC89" s="181"/>
      <c r="AD89" s="181"/>
      <c r="AE89" s="181"/>
      <c r="AF89" s="180"/>
      <c r="AG89" s="64">
        <f t="shared" si="5"/>
        <v>0</v>
      </c>
    </row>
    <row r="90" spans="1:35" ht="18.75" x14ac:dyDescent="0.25">
      <c r="A90" s="314" t="s">
        <v>15</v>
      </c>
      <c r="B90" s="252"/>
      <c r="C90" s="181">
        <v>1</v>
      </c>
      <c r="D90" s="181">
        <v>1</v>
      </c>
      <c r="E90" s="181">
        <v>1</v>
      </c>
      <c r="F90" s="181"/>
      <c r="G90" s="181">
        <v>1</v>
      </c>
      <c r="H90" s="181">
        <v>1</v>
      </c>
      <c r="I90" s="181"/>
      <c r="J90" s="181"/>
      <c r="K90" s="181"/>
      <c r="L90" s="181"/>
      <c r="M90" s="181"/>
      <c r="N90" s="181">
        <v>1</v>
      </c>
      <c r="O90" s="181">
        <v>1</v>
      </c>
      <c r="P90" s="181"/>
      <c r="Q90" s="181"/>
      <c r="R90" s="181"/>
      <c r="S90" s="181"/>
      <c r="T90" s="181"/>
      <c r="U90" s="181"/>
      <c r="V90" s="181"/>
      <c r="W90" s="181"/>
      <c r="X90" s="181"/>
      <c r="Y90" s="181"/>
      <c r="Z90" s="181"/>
      <c r="AA90" s="181"/>
      <c r="AB90" s="181">
        <v>1</v>
      </c>
      <c r="AC90" s="181"/>
      <c r="AD90" s="181"/>
      <c r="AE90" s="181"/>
      <c r="AF90" s="180"/>
      <c r="AG90" s="64">
        <f t="shared" si="5"/>
        <v>8</v>
      </c>
    </row>
    <row r="91" spans="1:35" ht="18.75" x14ac:dyDescent="0.25">
      <c r="A91" s="314" t="s">
        <v>14</v>
      </c>
      <c r="B91" s="252">
        <v>3</v>
      </c>
      <c r="C91" s="181">
        <v>1</v>
      </c>
      <c r="D91" s="181">
        <v>2</v>
      </c>
      <c r="E91" s="181">
        <v>1</v>
      </c>
      <c r="F91" s="181">
        <v>1</v>
      </c>
      <c r="G91" s="181">
        <v>2</v>
      </c>
      <c r="H91" s="181">
        <v>2</v>
      </c>
      <c r="I91" s="181"/>
      <c r="J91" s="181">
        <v>3</v>
      </c>
      <c r="K91" s="181">
        <v>1</v>
      </c>
      <c r="L91" s="181"/>
      <c r="M91" s="181"/>
      <c r="N91" s="181">
        <v>3</v>
      </c>
      <c r="O91" s="181">
        <v>3</v>
      </c>
      <c r="P91" s="181">
        <v>5</v>
      </c>
      <c r="Q91" s="181">
        <v>3</v>
      </c>
      <c r="R91" s="181">
        <v>1</v>
      </c>
      <c r="S91" s="181">
        <v>2</v>
      </c>
      <c r="T91" s="181">
        <v>2</v>
      </c>
      <c r="U91" s="181"/>
      <c r="V91" s="181"/>
      <c r="W91" s="181"/>
      <c r="X91" s="181">
        <v>1</v>
      </c>
      <c r="Y91" s="181">
        <v>5</v>
      </c>
      <c r="Z91" s="181">
        <v>1</v>
      </c>
      <c r="AA91" s="181">
        <v>8</v>
      </c>
      <c r="AB91" s="181">
        <v>3</v>
      </c>
      <c r="AC91" s="181">
        <v>1</v>
      </c>
      <c r="AD91" s="181">
        <v>3</v>
      </c>
      <c r="AE91" s="181">
        <v>1</v>
      </c>
      <c r="AF91" s="180"/>
      <c r="AG91" s="64">
        <f t="shared" si="5"/>
        <v>58</v>
      </c>
    </row>
    <row r="92" spans="1:35" ht="19.5" thickBot="1" x14ac:dyDescent="0.3">
      <c r="A92" s="314" t="s">
        <v>13</v>
      </c>
      <c r="B92" s="252">
        <v>2</v>
      </c>
      <c r="C92" s="181"/>
      <c r="D92" s="181"/>
      <c r="E92" s="181"/>
      <c r="F92" s="181"/>
      <c r="G92" s="181"/>
      <c r="H92" s="181">
        <v>1</v>
      </c>
      <c r="I92" s="181"/>
      <c r="J92" s="181"/>
      <c r="K92" s="181"/>
      <c r="L92" s="181"/>
      <c r="M92" s="181">
        <v>4</v>
      </c>
      <c r="N92" s="181">
        <v>1</v>
      </c>
      <c r="O92" s="181">
        <v>3</v>
      </c>
      <c r="P92" s="181">
        <v>3</v>
      </c>
      <c r="Q92" s="181">
        <v>2</v>
      </c>
      <c r="R92" s="181">
        <v>1</v>
      </c>
      <c r="S92" s="181">
        <v>2</v>
      </c>
      <c r="T92" s="181">
        <v>4</v>
      </c>
      <c r="U92" s="181"/>
      <c r="V92" s="181"/>
      <c r="W92" s="181">
        <v>2</v>
      </c>
      <c r="X92" s="181">
        <v>2</v>
      </c>
      <c r="Y92" s="181">
        <v>2</v>
      </c>
      <c r="Z92" s="181">
        <v>4</v>
      </c>
      <c r="AA92" s="181">
        <v>1</v>
      </c>
      <c r="AB92" s="181">
        <v>1</v>
      </c>
      <c r="AC92" s="181">
        <v>3</v>
      </c>
      <c r="AD92" s="181">
        <v>1</v>
      </c>
      <c r="AE92" s="181">
        <v>1</v>
      </c>
      <c r="AF92" s="180"/>
      <c r="AG92" s="64">
        <f t="shared" si="5"/>
        <v>40</v>
      </c>
    </row>
    <row r="93" spans="1:35" ht="18.75" x14ac:dyDescent="0.25">
      <c r="A93" s="315" t="s">
        <v>112</v>
      </c>
      <c r="B93" s="261">
        <f t="shared" ref="B93:AF93" si="13">+B94+B100</f>
        <v>117</v>
      </c>
      <c r="C93" s="166">
        <f t="shared" si="13"/>
        <v>153</v>
      </c>
      <c r="D93" s="166">
        <f t="shared" si="13"/>
        <v>133</v>
      </c>
      <c r="E93" s="166">
        <f t="shared" si="13"/>
        <v>127</v>
      </c>
      <c r="F93" s="166">
        <f t="shared" si="13"/>
        <v>149</v>
      </c>
      <c r="G93" s="166">
        <f t="shared" si="13"/>
        <v>125</v>
      </c>
      <c r="H93" s="166">
        <f t="shared" si="13"/>
        <v>130</v>
      </c>
      <c r="I93" s="166">
        <f t="shared" si="13"/>
        <v>124</v>
      </c>
      <c r="J93" s="166">
        <f t="shared" si="13"/>
        <v>130</v>
      </c>
      <c r="K93" s="166">
        <f t="shared" si="13"/>
        <v>148</v>
      </c>
      <c r="L93" s="166">
        <f t="shared" si="13"/>
        <v>141</v>
      </c>
      <c r="M93" s="166">
        <f t="shared" si="13"/>
        <v>145</v>
      </c>
      <c r="N93" s="166">
        <f t="shared" si="13"/>
        <v>156</v>
      </c>
      <c r="O93" s="166">
        <f t="shared" si="13"/>
        <v>138</v>
      </c>
      <c r="P93" s="166">
        <f t="shared" si="13"/>
        <v>133</v>
      </c>
      <c r="Q93" s="166">
        <f t="shared" si="13"/>
        <v>145</v>
      </c>
      <c r="R93" s="166">
        <f t="shared" si="13"/>
        <v>124</v>
      </c>
      <c r="S93" s="166">
        <f t="shared" si="13"/>
        <v>126</v>
      </c>
      <c r="T93" s="166">
        <f t="shared" si="13"/>
        <v>156</v>
      </c>
      <c r="U93" s="166">
        <f t="shared" si="13"/>
        <v>127</v>
      </c>
      <c r="V93" s="166">
        <f t="shared" si="13"/>
        <v>99</v>
      </c>
      <c r="W93" s="166">
        <f t="shared" si="13"/>
        <v>107</v>
      </c>
      <c r="X93" s="166">
        <f t="shared" si="13"/>
        <v>125</v>
      </c>
      <c r="Y93" s="166">
        <f t="shared" si="13"/>
        <v>120</v>
      </c>
      <c r="Z93" s="166">
        <f t="shared" si="13"/>
        <v>124</v>
      </c>
      <c r="AA93" s="166">
        <f t="shared" si="13"/>
        <v>137</v>
      </c>
      <c r="AB93" s="166">
        <f t="shared" si="13"/>
        <v>106</v>
      </c>
      <c r="AC93" s="166">
        <f t="shared" si="13"/>
        <v>126</v>
      </c>
      <c r="AD93" s="166">
        <f t="shared" si="13"/>
        <v>125</v>
      </c>
      <c r="AE93" s="166">
        <f t="shared" si="13"/>
        <v>83</v>
      </c>
      <c r="AF93" s="165">
        <f t="shared" si="13"/>
        <v>0</v>
      </c>
      <c r="AG93" s="164">
        <f t="shared" si="5"/>
        <v>3879</v>
      </c>
      <c r="AH93" s="179" t="str">
        <f>IF(AG93&lt;&gt;AG28,"*","")</f>
        <v/>
      </c>
    </row>
    <row r="94" spans="1:35" ht="18.75" x14ac:dyDescent="0.25">
      <c r="A94" s="66" t="s">
        <v>111</v>
      </c>
      <c r="B94" s="262">
        <f t="shared" ref="B94:AF94" si="14">SUM(B95:B99)</f>
        <v>2</v>
      </c>
      <c r="C94" s="68">
        <f t="shared" si="14"/>
        <v>13</v>
      </c>
      <c r="D94" s="68">
        <f t="shared" si="14"/>
        <v>11</v>
      </c>
      <c r="E94" s="68">
        <f t="shared" si="14"/>
        <v>7</v>
      </c>
      <c r="F94" s="68">
        <f t="shared" si="14"/>
        <v>14</v>
      </c>
      <c r="G94" s="68">
        <f t="shared" si="14"/>
        <v>6</v>
      </c>
      <c r="H94" s="68">
        <f t="shared" si="14"/>
        <v>9</v>
      </c>
      <c r="I94" s="68">
        <f t="shared" si="14"/>
        <v>6</v>
      </c>
      <c r="J94" s="68">
        <f t="shared" si="14"/>
        <v>11</v>
      </c>
      <c r="K94" s="68">
        <f t="shared" si="14"/>
        <v>17</v>
      </c>
      <c r="L94" s="68">
        <f t="shared" si="14"/>
        <v>11</v>
      </c>
      <c r="M94" s="68">
        <f t="shared" si="14"/>
        <v>12</v>
      </c>
      <c r="N94" s="68">
        <f t="shared" si="14"/>
        <v>17</v>
      </c>
      <c r="O94" s="68">
        <f t="shared" si="14"/>
        <v>13</v>
      </c>
      <c r="P94" s="68">
        <f t="shared" si="14"/>
        <v>6</v>
      </c>
      <c r="Q94" s="68">
        <f t="shared" si="14"/>
        <v>10</v>
      </c>
      <c r="R94" s="68">
        <f t="shared" si="14"/>
        <v>6</v>
      </c>
      <c r="S94" s="68">
        <f t="shared" si="14"/>
        <v>10</v>
      </c>
      <c r="T94" s="68">
        <f t="shared" si="14"/>
        <v>16</v>
      </c>
      <c r="U94" s="68">
        <f t="shared" si="14"/>
        <v>12</v>
      </c>
      <c r="V94" s="68">
        <f t="shared" si="14"/>
        <v>5</v>
      </c>
      <c r="W94" s="68">
        <f t="shared" si="14"/>
        <v>13</v>
      </c>
      <c r="X94" s="68">
        <f t="shared" si="14"/>
        <v>7</v>
      </c>
      <c r="Y94" s="68">
        <f t="shared" si="14"/>
        <v>4</v>
      </c>
      <c r="Z94" s="68">
        <f t="shared" si="14"/>
        <v>9</v>
      </c>
      <c r="AA94" s="68">
        <f t="shared" si="14"/>
        <v>6</v>
      </c>
      <c r="AB94" s="68">
        <f t="shared" si="14"/>
        <v>9</v>
      </c>
      <c r="AC94" s="68">
        <f t="shared" si="14"/>
        <v>10</v>
      </c>
      <c r="AD94" s="68">
        <f t="shared" si="14"/>
        <v>8</v>
      </c>
      <c r="AE94" s="68">
        <f t="shared" si="14"/>
        <v>6</v>
      </c>
      <c r="AF94" s="67">
        <f t="shared" si="14"/>
        <v>0</v>
      </c>
      <c r="AG94" s="64">
        <f t="shared" si="5"/>
        <v>286</v>
      </c>
    </row>
    <row r="95" spans="1:35" ht="18.75" x14ac:dyDescent="0.25">
      <c r="A95" s="316" t="s">
        <v>110</v>
      </c>
      <c r="B95" s="249"/>
      <c r="C95" s="162">
        <v>1</v>
      </c>
      <c r="D95" s="162">
        <v>1</v>
      </c>
      <c r="E95" s="162"/>
      <c r="F95" s="162"/>
      <c r="G95" s="162"/>
      <c r="H95" s="162"/>
      <c r="I95" s="162"/>
      <c r="J95" s="162"/>
      <c r="K95" s="162">
        <v>1</v>
      </c>
      <c r="L95" s="162"/>
      <c r="M95" s="162"/>
      <c r="N95" s="162">
        <v>2</v>
      </c>
      <c r="O95" s="162">
        <v>1</v>
      </c>
      <c r="P95" s="162"/>
      <c r="Q95" s="162"/>
      <c r="R95" s="162"/>
      <c r="S95" s="162"/>
      <c r="T95" s="162">
        <v>2</v>
      </c>
      <c r="U95" s="162">
        <v>2</v>
      </c>
      <c r="V95" s="162"/>
      <c r="W95" s="162"/>
      <c r="X95" s="162"/>
      <c r="Y95" s="162"/>
      <c r="Z95" s="162"/>
      <c r="AA95" s="162"/>
      <c r="AB95" s="162">
        <v>1</v>
      </c>
      <c r="AC95" s="162"/>
      <c r="AD95" s="162"/>
      <c r="AE95" s="162">
        <v>1</v>
      </c>
      <c r="AF95" s="161"/>
      <c r="AG95" s="64">
        <f t="shared" si="5"/>
        <v>12</v>
      </c>
    </row>
    <row r="96" spans="1:35" ht="18.75" x14ac:dyDescent="0.25">
      <c r="A96" s="317" t="s">
        <v>109</v>
      </c>
      <c r="B96" s="249"/>
      <c r="C96" s="162">
        <v>1</v>
      </c>
      <c r="D96" s="162"/>
      <c r="E96" s="162"/>
      <c r="F96" s="162">
        <v>1</v>
      </c>
      <c r="G96" s="162"/>
      <c r="H96" s="162">
        <v>1</v>
      </c>
      <c r="I96" s="162"/>
      <c r="J96" s="162">
        <v>1</v>
      </c>
      <c r="K96" s="162">
        <v>3</v>
      </c>
      <c r="L96" s="162"/>
      <c r="M96" s="162">
        <v>1</v>
      </c>
      <c r="N96" s="162">
        <v>1</v>
      </c>
      <c r="O96" s="162">
        <v>1</v>
      </c>
      <c r="P96" s="162"/>
      <c r="Q96" s="162">
        <v>1</v>
      </c>
      <c r="R96" s="162"/>
      <c r="S96" s="176"/>
      <c r="T96" s="162">
        <v>2</v>
      </c>
      <c r="U96" s="162">
        <v>1</v>
      </c>
      <c r="V96" s="162"/>
      <c r="W96" s="162">
        <v>1</v>
      </c>
      <c r="X96" s="162"/>
      <c r="Y96" s="162"/>
      <c r="Z96" s="162">
        <v>1</v>
      </c>
      <c r="AA96" s="162">
        <v>1</v>
      </c>
      <c r="AB96" s="162">
        <v>1</v>
      </c>
      <c r="AC96" s="162">
        <v>1</v>
      </c>
      <c r="AD96" s="162">
        <v>1</v>
      </c>
      <c r="AE96" s="162">
        <v>2</v>
      </c>
      <c r="AF96" s="161"/>
      <c r="AG96" s="64">
        <f t="shared" si="5"/>
        <v>22</v>
      </c>
    </row>
    <row r="97" spans="1:33" ht="18.75" x14ac:dyDescent="0.25">
      <c r="A97" s="318" t="s">
        <v>108</v>
      </c>
      <c r="B97" s="249"/>
      <c r="C97" s="162">
        <v>2</v>
      </c>
      <c r="D97" s="162">
        <v>1</v>
      </c>
      <c r="E97" s="162">
        <v>1</v>
      </c>
      <c r="F97" s="162"/>
      <c r="G97" s="162"/>
      <c r="H97" s="162">
        <v>1</v>
      </c>
      <c r="I97" s="162">
        <v>1</v>
      </c>
      <c r="J97" s="162"/>
      <c r="K97" s="162">
        <v>2</v>
      </c>
      <c r="L97" s="162">
        <v>2</v>
      </c>
      <c r="M97" s="162">
        <v>1</v>
      </c>
      <c r="N97" s="162">
        <v>5</v>
      </c>
      <c r="O97" s="162">
        <v>2</v>
      </c>
      <c r="P97" s="162"/>
      <c r="Q97" s="162">
        <v>2</v>
      </c>
      <c r="R97" s="162"/>
      <c r="S97" s="162">
        <v>3</v>
      </c>
      <c r="T97" s="162">
        <v>2</v>
      </c>
      <c r="U97" s="162">
        <v>2</v>
      </c>
      <c r="V97" s="162">
        <v>1</v>
      </c>
      <c r="W97" s="162">
        <v>2</v>
      </c>
      <c r="X97" s="162">
        <v>2</v>
      </c>
      <c r="Y97" s="162"/>
      <c r="Z97" s="162">
        <v>1</v>
      </c>
      <c r="AA97" s="162"/>
      <c r="AB97" s="162">
        <v>1</v>
      </c>
      <c r="AC97" s="162">
        <v>2</v>
      </c>
      <c r="AD97" s="162"/>
      <c r="AE97" s="162"/>
      <c r="AF97" s="161"/>
      <c r="AG97" s="64">
        <f t="shared" si="5"/>
        <v>36</v>
      </c>
    </row>
    <row r="98" spans="1:33" ht="18.75" x14ac:dyDescent="0.25">
      <c r="A98" s="319" t="s">
        <v>107</v>
      </c>
      <c r="B98" s="249">
        <v>1</v>
      </c>
      <c r="C98" s="162">
        <v>6</v>
      </c>
      <c r="D98" s="162">
        <v>4</v>
      </c>
      <c r="E98" s="162">
        <v>3</v>
      </c>
      <c r="F98" s="162">
        <v>5</v>
      </c>
      <c r="G98" s="162">
        <v>2</v>
      </c>
      <c r="H98" s="162">
        <v>4</v>
      </c>
      <c r="I98" s="162">
        <v>1</v>
      </c>
      <c r="J98" s="162">
        <v>6</v>
      </c>
      <c r="K98" s="162">
        <v>5</v>
      </c>
      <c r="L98" s="162">
        <v>6</v>
      </c>
      <c r="M98" s="162">
        <v>6</v>
      </c>
      <c r="N98" s="162">
        <v>5</v>
      </c>
      <c r="O98" s="162">
        <v>5</v>
      </c>
      <c r="P98" s="162">
        <v>2</v>
      </c>
      <c r="Q98" s="162">
        <v>5</v>
      </c>
      <c r="R98" s="162">
        <v>5</v>
      </c>
      <c r="S98" s="162">
        <v>2</v>
      </c>
      <c r="T98" s="162">
        <v>6</v>
      </c>
      <c r="U98" s="162">
        <v>4</v>
      </c>
      <c r="V98" s="162">
        <v>3</v>
      </c>
      <c r="W98" s="162">
        <v>5</v>
      </c>
      <c r="X98" s="162">
        <v>3</v>
      </c>
      <c r="Y98" s="162">
        <v>3</v>
      </c>
      <c r="Z98" s="162">
        <v>2</v>
      </c>
      <c r="AA98" s="162">
        <v>3</v>
      </c>
      <c r="AB98" s="162">
        <v>2</v>
      </c>
      <c r="AC98" s="162">
        <v>1</v>
      </c>
      <c r="AD98" s="162">
        <v>3</v>
      </c>
      <c r="AE98" s="162">
        <v>2</v>
      </c>
      <c r="AF98" s="161"/>
      <c r="AG98" s="64">
        <f t="shared" si="5"/>
        <v>110</v>
      </c>
    </row>
    <row r="99" spans="1:33" ht="18.75" x14ac:dyDescent="0.25">
      <c r="A99" s="320" t="s">
        <v>106</v>
      </c>
      <c r="B99" s="249">
        <v>1</v>
      </c>
      <c r="C99" s="162">
        <v>3</v>
      </c>
      <c r="D99" s="162">
        <v>5</v>
      </c>
      <c r="E99" s="162">
        <v>3</v>
      </c>
      <c r="F99" s="162">
        <v>8</v>
      </c>
      <c r="G99" s="162">
        <v>4</v>
      </c>
      <c r="H99" s="162">
        <v>3</v>
      </c>
      <c r="I99" s="162">
        <v>4</v>
      </c>
      <c r="J99" s="162">
        <v>4</v>
      </c>
      <c r="K99" s="162">
        <v>6</v>
      </c>
      <c r="L99" s="162">
        <v>3</v>
      </c>
      <c r="M99" s="162">
        <v>4</v>
      </c>
      <c r="N99" s="162">
        <v>4</v>
      </c>
      <c r="O99" s="162">
        <v>4</v>
      </c>
      <c r="P99" s="162">
        <v>4</v>
      </c>
      <c r="Q99" s="162">
        <v>2</v>
      </c>
      <c r="R99" s="162">
        <v>1</v>
      </c>
      <c r="S99" s="162">
        <v>5</v>
      </c>
      <c r="T99" s="162">
        <v>4</v>
      </c>
      <c r="U99" s="162">
        <v>3</v>
      </c>
      <c r="V99" s="162">
        <v>1</v>
      </c>
      <c r="W99" s="162">
        <v>5</v>
      </c>
      <c r="X99" s="162">
        <v>2</v>
      </c>
      <c r="Y99" s="162">
        <v>1</v>
      </c>
      <c r="Z99" s="162">
        <v>5</v>
      </c>
      <c r="AA99" s="162">
        <v>2</v>
      </c>
      <c r="AB99" s="162">
        <v>4</v>
      </c>
      <c r="AC99" s="162">
        <v>6</v>
      </c>
      <c r="AD99" s="162">
        <v>4</v>
      </c>
      <c r="AE99" s="162">
        <v>1</v>
      </c>
      <c r="AF99" s="161"/>
      <c r="AG99" s="64">
        <f t="shared" ref="AG99:AG130" si="15">SUM(B99:AF99)</f>
        <v>106</v>
      </c>
    </row>
    <row r="100" spans="1:33" ht="18.75" x14ac:dyDescent="0.25">
      <c r="A100" s="66" t="s">
        <v>105</v>
      </c>
      <c r="B100" s="262">
        <f t="shared" ref="B100:AF100" si="16">SUM(B101:B115)</f>
        <v>115</v>
      </c>
      <c r="C100" s="68">
        <f t="shared" si="16"/>
        <v>140</v>
      </c>
      <c r="D100" s="68">
        <f t="shared" si="16"/>
        <v>122</v>
      </c>
      <c r="E100" s="68">
        <f t="shared" si="16"/>
        <v>120</v>
      </c>
      <c r="F100" s="68">
        <f t="shared" si="16"/>
        <v>135</v>
      </c>
      <c r="G100" s="68">
        <f t="shared" si="16"/>
        <v>119</v>
      </c>
      <c r="H100" s="68">
        <f t="shared" si="16"/>
        <v>121</v>
      </c>
      <c r="I100" s="68">
        <f t="shared" si="16"/>
        <v>118</v>
      </c>
      <c r="J100" s="68">
        <f t="shared" si="16"/>
        <v>119</v>
      </c>
      <c r="K100" s="68">
        <f t="shared" si="16"/>
        <v>131</v>
      </c>
      <c r="L100" s="68">
        <f t="shared" si="16"/>
        <v>130</v>
      </c>
      <c r="M100" s="68">
        <f t="shared" si="16"/>
        <v>133</v>
      </c>
      <c r="N100" s="68">
        <f t="shared" si="16"/>
        <v>139</v>
      </c>
      <c r="O100" s="68">
        <f t="shared" si="16"/>
        <v>125</v>
      </c>
      <c r="P100" s="68">
        <f t="shared" si="16"/>
        <v>127</v>
      </c>
      <c r="Q100" s="68">
        <f t="shared" si="16"/>
        <v>135</v>
      </c>
      <c r="R100" s="68">
        <f t="shared" si="16"/>
        <v>118</v>
      </c>
      <c r="S100" s="68">
        <f t="shared" si="16"/>
        <v>116</v>
      </c>
      <c r="T100" s="68">
        <f t="shared" si="16"/>
        <v>140</v>
      </c>
      <c r="U100" s="68">
        <f t="shared" si="16"/>
        <v>115</v>
      </c>
      <c r="V100" s="68">
        <f t="shared" si="16"/>
        <v>94</v>
      </c>
      <c r="W100" s="68">
        <f t="shared" si="16"/>
        <v>94</v>
      </c>
      <c r="X100" s="68">
        <f t="shared" si="16"/>
        <v>118</v>
      </c>
      <c r="Y100" s="68">
        <f t="shared" si="16"/>
        <v>116</v>
      </c>
      <c r="Z100" s="68">
        <f t="shared" si="16"/>
        <v>115</v>
      </c>
      <c r="AA100" s="68">
        <f t="shared" si="16"/>
        <v>131</v>
      </c>
      <c r="AB100" s="68">
        <f t="shared" si="16"/>
        <v>97</v>
      </c>
      <c r="AC100" s="68">
        <f t="shared" si="16"/>
        <v>116</v>
      </c>
      <c r="AD100" s="68">
        <f t="shared" si="16"/>
        <v>117</v>
      </c>
      <c r="AE100" s="68">
        <f t="shared" si="16"/>
        <v>77</v>
      </c>
      <c r="AF100" s="67">
        <f t="shared" si="16"/>
        <v>0</v>
      </c>
      <c r="AG100" s="64">
        <f t="shared" si="15"/>
        <v>3593</v>
      </c>
    </row>
    <row r="101" spans="1:33" ht="18.75" x14ac:dyDescent="0.25">
      <c r="A101" s="320" t="s">
        <v>104</v>
      </c>
      <c r="B101" s="249">
        <v>6</v>
      </c>
      <c r="C101" s="162">
        <v>9</v>
      </c>
      <c r="D101" s="162">
        <v>4</v>
      </c>
      <c r="E101" s="162">
        <v>9</v>
      </c>
      <c r="F101" s="162">
        <v>9</v>
      </c>
      <c r="G101" s="162">
        <v>6</v>
      </c>
      <c r="H101" s="162">
        <v>9</v>
      </c>
      <c r="I101" s="162">
        <v>6</v>
      </c>
      <c r="J101" s="162">
        <v>12</v>
      </c>
      <c r="K101" s="162">
        <v>12</v>
      </c>
      <c r="L101" s="162">
        <v>7</v>
      </c>
      <c r="M101" s="162">
        <v>9</v>
      </c>
      <c r="N101" s="162">
        <v>9</v>
      </c>
      <c r="O101" s="162">
        <v>14</v>
      </c>
      <c r="P101" s="162">
        <v>9</v>
      </c>
      <c r="Q101" s="162">
        <v>7</v>
      </c>
      <c r="R101" s="162">
        <v>10</v>
      </c>
      <c r="S101" s="162">
        <v>9</v>
      </c>
      <c r="T101" s="162">
        <v>6</v>
      </c>
      <c r="U101" s="162">
        <v>12</v>
      </c>
      <c r="V101" s="162">
        <v>3</v>
      </c>
      <c r="W101" s="162">
        <v>8</v>
      </c>
      <c r="X101" s="162">
        <v>12</v>
      </c>
      <c r="Y101" s="162">
        <v>8</v>
      </c>
      <c r="Z101" s="162">
        <v>9</v>
      </c>
      <c r="AA101" s="162">
        <v>8</v>
      </c>
      <c r="AB101" s="162">
        <v>5</v>
      </c>
      <c r="AC101" s="162">
        <v>7</v>
      </c>
      <c r="AD101" s="162">
        <v>8</v>
      </c>
      <c r="AE101" s="162">
        <v>4</v>
      </c>
      <c r="AF101" s="161"/>
      <c r="AG101" s="64">
        <f t="shared" si="15"/>
        <v>246</v>
      </c>
    </row>
    <row r="102" spans="1:33" ht="18.75" x14ac:dyDescent="0.25">
      <c r="A102" s="320" t="s">
        <v>103</v>
      </c>
      <c r="B102" s="249">
        <v>19</v>
      </c>
      <c r="C102" s="162">
        <v>12</v>
      </c>
      <c r="D102" s="162">
        <v>11</v>
      </c>
      <c r="E102" s="162">
        <v>14</v>
      </c>
      <c r="F102" s="162">
        <v>17</v>
      </c>
      <c r="G102" s="162">
        <v>12</v>
      </c>
      <c r="H102" s="162">
        <v>17</v>
      </c>
      <c r="I102" s="162">
        <v>15</v>
      </c>
      <c r="J102" s="162">
        <v>12</v>
      </c>
      <c r="K102" s="162">
        <v>12</v>
      </c>
      <c r="L102" s="162">
        <v>19</v>
      </c>
      <c r="M102" s="162">
        <v>21</v>
      </c>
      <c r="N102" s="162">
        <v>22</v>
      </c>
      <c r="O102" s="162">
        <v>18</v>
      </c>
      <c r="P102" s="162">
        <v>17</v>
      </c>
      <c r="Q102" s="162">
        <v>19</v>
      </c>
      <c r="R102" s="162">
        <v>10</v>
      </c>
      <c r="S102" s="162">
        <v>15</v>
      </c>
      <c r="T102" s="162">
        <v>20</v>
      </c>
      <c r="U102" s="162">
        <v>15</v>
      </c>
      <c r="V102" s="162">
        <v>17</v>
      </c>
      <c r="W102" s="162">
        <v>15</v>
      </c>
      <c r="X102" s="162">
        <v>14</v>
      </c>
      <c r="Y102" s="162">
        <v>19</v>
      </c>
      <c r="Z102" s="162">
        <v>8</v>
      </c>
      <c r="AA102" s="162">
        <v>16</v>
      </c>
      <c r="AB102" s="162">
        <v>8</v>
      </c>
      <c r="AC102" s="162">
        <v>15</v>
      </c>
      <c r="AD102" s="162">
        <v>15</v>
      </c>
      <c r="AE102" s="162">
        <v>7</v>
      </c>
      <c r="AF102" s="161"/>
      <c r="AG102" s="64">
        <f t="shared" si="15"/>
        <v>451</v>
      </c>
    </row>
    <row r="103" spans="1:33" ht="18.75" x14ac:dyDescent="0.25">
      <c r="A103" s="321" t="s">
        <v>102</v>
      </c>
      <c r="B103" s="249">
        <v>13</v>
      </c>
      <c r="C103" s="162">
        <v>25</v>
      </c>
      <c r="D103" s="162">
        <v>13</v>
      </c>
      <c r="E103" s="162">
        <v>10</v>
      </c>
      <c r="F103" s="162">
        <v>24</v>
      </c>
      <c r="G103" s="162">
        <v>12</v>
      </c>
      <c r="H103" s="162">
        <v>14</v>
      </c>
      <c r="I103" s="162">
        <v>13</v>
      </c>
      <c r="J103" s="162">
        <v>14</v>
      </c>
      <c r="K103" s="162">
        <v>11</v>
      </c>
      <c r="L103" s="162">
        <v>16</v>
      </c>
      <c r="M103" s="162">
        <v>20</v>
      </c>
      <c r="N103" s="162">
        <v>27</v>
      </c>
      <c r="O103" s="162">
        <v>14</v>
      </c>
      <c r="P103" s="162">
        <v>19</v>
      </c>
      <c r="Q103" s="162">
        <v>20</v>
      </c>
      <c r="R103" s="162">
        <v>25</v>
      </c>
      <c r="S103" s="162">
        <v>11</v>
      </c>
      <c r="T103" s="162">
        <v>19</v>
      </c>
      <c r="U103" s="162">
        <v>15</v>
      </c>
      <c r="V103" s="162">
        <v>10</v>
      </c>
      <c r="W103" s="162">
        <v>6</v>
      </c>
      <c r="X103" s="162">
        <v>12</v>
      </c>
      <c r="Y103" s="162">
        <v>15</v>
      </c>
      <c r="Z103" s="162">
        <v>18</v>
      </c>
      <c r="AA103" s="162">
        <v>13</v>
      </c>
      <c r="AB103" s="162">
        <v>12</v>
      </c>
      <c r="AC103" s="162">
        <v>21</v>
      </c>
      <c r="AD103" s="162">
        <v>14</v>
      </c>
      <c r="AE103" s="162">
        <v>16</v>
      </c>
      <c r="AF103" s="161"/>
      <c r="AG103" s="64">
        <f t="shared" si="15"/>
        <v>472</v>
      </c>
    </row>
    <row r="104" spans="1:33" ht="18.75" x14ac:dyDescent="0.25">
      <c r="A104" s="321" t="s">
        <v>101</v>
      </c>
      <c r="B104" s="249">
        <v>10</v>
      </c>
      <c r="C104" s="162">
        <v>14</v>
      </c>
      <c r="D104" s="162">
        <v>11</v>
      </c>
      <c r="E104" s="162">
        <v>11</v>
      </c>
      <c r="F104" s="162">
        <v>12</v>
      </c>
      <c r="G104" s="162">
        <v>10</v>
      </c>
      <c r="H104" s="162">
        <v>14</v>
      </c>
      <c r="I104" s="162">
        <v>16</v>
      </c>
      <c r="J104" s="162">
        <v>18</v>
      </c>
      <c r="K104" s="162">
        <v>14</v>
      </c>
      <c r="L104" s="162">
        <v>14</v>
      </c>
      <c r="M104" s="162">
        <v>17</v>
      </c>
      <c r="N104" s="162">
        <v>5</v>
      </c>
      <c r="O104" s="162">
        <v>9</v>
      </c>
      <c r="P104" s="162">
        <v>12</v>
      </c>
      <c r="Q104" s="162">
        <v>16</v>
      </c>
      <c r="R104" s="162">
        <v>11</v>
      </c>
      <c r="S104" s="162">
        <v>12</v>
      </c>
      <c r="T104" s="162">
        <v>12</v>
      </c>
      <c r="U104" s="162">
        <v>13</v>
      </c>
      <c r="V104" s="162">
        <v>8</v>
      </c>
      <c r="W104" s="162">
        <v>11</v>
      </c>
      <c r="X104" s="162">
        <v>12</v>
      </c>
      <c r="Y104" s="162">
        <v>15</v>
      </c>
      <c r="Z104" s="162">
        <v>10</v>
      </c>
      <c r="AA104" s="162">
        <v>19</v>
      </c>
      <c r="AB104" s="162">
        <v>13</v>
      </c>
      <c r="AC104" s="162">
        <v>9</v>
      </c>
      <c r="AD104" s="162">
        <v>11</v>
      </c>
      <c r="AE104" s="162">
        <v>11</v>
      </c>
      <c r="AF104" s="161"/>
      <c r="AG104" s="64">
        <f t="shared" si="15"/>
        <v>370</v>
      </c>
    </row>
    <row r="105" spans="1:33" ht="18.75" x14ac:dyDescent="0.25">
      <c r="A105" s="321" t="s">
        <v>100</v>
      </c>
      <c r="B105" s="249">
        <v>9</v>
      </c>
      <c r="C105" s="162">
        <v>15</v>
      </c>
      <c r="D105" s="162">
        <v>8</v>
      </c>
      <c r="E105" s="162">
        <v>14</v>
      </c>
      <c r="F105" s="162">
        <v>12</v>
      </c>
      <c r="G105" s="162">
        <v>12</v>
      </c>
      <c r="H105" s="162">
        <v>12</v>
      </c>
      <c r="I105" s="162">
        <v>11</v>
      </c>
      <c r="J105" s="162">
        <v>8</v>
      </c>
      <c r="K105" s="162">
        <v>12</v>
      </c>
      <c r="L105" s="162">
        <v>10</v>
      </c>
      <c r="M105" s="162">
        <v>16</v>
      </c>
      <c r="N105" s="162">
        <v>13</v>
      </c>
      <c r="O105" s="162">
        <v>15</v>
      </c>
      <c r="P105" s="162">
        <v>16</v>
      </c>
      <c r="Q105" s="162">
        <v>13</v>
      </c>
      <c r="R105" s="162">
        <v>7</v>
      </c>
      <c r="S105" s="162">
        <v>13</v>
      </c>
      <c r="T105" s="162">
        <v>17</v>
      </c>
      <c r="U105" s="162">
        <v>8</v>
      </c>
      <c r="V105" s="162">
        <v>11</v>
      </c>
      <c r="W105" s="162">
        <v>9</v>
      </c>
      <c r="X105" s="162">
        <v>13</v>
      </c>
      <c r="Y105" s="162">
        <v>7</v>
      </c>
      <c r="Z105" s="162">
        <v>14</v>
      </c>
      <c r="AA105" s="162">
        <v>7</v>
      </c>
      <c r="AB105" s="162">
        <v>11</v>
      </c>
      <c r="AC105" s="162">
        <v>14</v>
      </c>
      <c r="AD105" s="162">
        <v>10</v>
      </c>
      <c r="AE105" s="162">
        <v>2</v>
      </c>
      <c r="AF105" s="161"/>
      <c r="AG105" s="64">
        <f t="shared" si="15"/>
        <v>339</v>
      </c>
    </row>
    <row r="106" spans="1:33" ht="18.75" x14ac:dyDescent="0.25">
      <c r="A106" s="321" t="s">
        <v>99</v>
      </c>
      <c r="B106" s="249">
        <v>5</v>
      </c>
      <c r="C106" s="162">
        <v>14</v>
      </c>
      <c r="D106" s="162">
        <v>11</v>
      </c>
      <c r="E106" s="162">
        <v>12</v>
      </c>
      <c r="F106" s="162">
        <v>5</v>
      </c>
      <c r="G106" s="162">
        <v>14</v>
      </c>
      <c r="H106" s="162">
        <v>8</v>
      </c>
      <c r="I106" s="162">
        <v>9</v>
      </c>
      <c r="J106" s="162">
        <v>9</v>
      </c>
      <c r="K106" s="162">
        <v>7</v>
      </c>
      <c r="L106" s="162">
        <v>14</v>
      </c>
      <c r="M106" s="162">
        <v>10</v>
      </c>
      <c r="N106" s="162">
        <v>13</v>
      </c>
      <c r="O106" s="162">
        <v>10</v>
      </c>
      <c r="P106" s="162">
        <v>9</v>
      </c>
      <c r="Q106" s="162">
        <v>11</v>
      </c>
      <c r="R106" s="162">
        <v>7</v>
      </c>
      <c r="S106" s="162">
        <v>8</v>
      </c>
      <c r="T106" s="162">
        <v>17</v>
      </c>
      <c r="U106" s="162">
        <v>7</v>
      </c>
      <c r="V106" s="162">
        <v>6</v>
      </c>
      <c r="W106" s="162">
        <v>9</v>
      </c>
      <c r="X106" s="162">
        <v>8</v>
      </c>
      <c r="Y106" s="162">
        <v>6</v>
      </c>
      <c r="Z106" s="162">
        <v>11</v>
      </c>
      <c r="AA106" s="162">
        <v>13</v>
      </c>
      <c r="AB106" s="162">
        <v>11</v>
      </c>
      <c r="AC106" s="162">
        <v>9</v>
      </c>
      <c r="AD106" s="162">
        <v>12</v>
      </c>
      <c r="AE106" s="162">
        <v>9</v>
      </c>
      <c r="AF106" s="161"/>
      <c r="AG106" s="64">
        <f t="shared" si="15"/>
        <v>294</v>
      </c>
    </row>
    <row r="107" spans="1:33" ht="18.75" x14ac:dyDescent="0.25">
      <c r="A107" s="321" t="s">
        <v>98</v>
      </c>
      <c r="B107" s="249">
        <v>5</v>
      </c>
      <c r="C107" s="162">
        <v>10</v>
      </c>
      <c r="D107" s="162">
        <v>10</v>
      </c>
      <c r="E107" s="162">
        <v>13</v>
      </c>
      <c r="F107" s="162">
        <v>15</v>
      </c>
      <c r="G107" s="162">
        <v>9</v>
      </c>
      <c r="H107" s="162">
        <v>8</v>
      </c>
      <c r="I107" s="162">
        <v>9</v>
      </c>
      <c r="J107" s="162">
        <v>12</v>
      </c>
      <c r="K107" s="162">
        <v>14</v>
      </c>
      <c r="L107" s="162">
        <v>13</v>
      </c>
      <c r="M107" s="162">
        <v>7</v>
      </c>
      <c r="N107" s="162">
        <v>13</v>
      </c>
      <c r="O107" s="162">
        <v>11</v>
      </c>
      <c r="P107" s="162">
        <v>12</v>
      </c>
      <c r="Q107" s="162">
        <v>10</v>
      </c>
      <c r="R107" s="162">
        <v>13</v>
      </c>
      <c r="S107" s="162">
        <v>9</v>
      </c>
      <c r="T107" s="162">
        <v>11</v>
      </c>
      <c r="U107" s="162">
        <v>5</v>
      </c>
      <c r="V107" s="162">
        <v>10</v>
      </c>
      <c r="W107" s="162">
        <v>3</v>
      </c>
      <c r="X107" s="162">
        <v>8</v>
      </c>
      <c r="Y107" s="162">
        <v>12</v>
      </c>
      <c r="Z107" s="162">
        <v>12</v>
      </c>
      <c r="AA107" s="162">
        <v>17</v>
      </c>
      <c r="AB107" s="162">
        <v>11</v>
      </c>
      <c r="AC107" s="162">
        <v>7</v>
      </c>
      <c r="AD107" s="162">
        <v>9</v>
      </c>
      <c r="AE107" s="162">
        <v>2</v>
      </c>
      <c r="AF107" s="161"/>
      <c r="AG107" s="64">
        <f t="shared" si="15"/>
        <v>300</v>
      </c>
    </row>
    <row r="108" spans="1:33" ht="18.75" x14ac:dyDescent="0.25">
      <c r="A108" s="321" t="s">
        <v>97</v>
      </c>
      <c r="B108" s="249">
        <v>11</v>
      </c>
      <c r="C108" s="162">
        <v>8</v>
      </c>
      <c r="D108" s="162">
        <v>10</v>
      </c>
      <c r="E108" s="162">
        <v>10</v>
      </c>
      <c r="F108" s="162">
        <v>18</v>
      </c>
      <c r="G108" s="162">
        <v>12</v>
      </c>
      <c r="H108" s="162">
        <v>14</v>
      </c>
      <c r="I108" s="162">
        <v>10</v>
      </c>
      <c r="J108" s="162">
        <v>11</v>
      </c>
      <c r="K108" s="162">
        <v>13</v>
      </c>
      <c r="L108" s="162">
        <v>7</v>
      </c>
      <c r="M108" s="162">
        <v>6</v>
      </c>
      <c r="N108" s="162">
        <v>16</v>
      </c>
      <c r="O108" s="162">
        <v>7</v>
      </c>
      <c r="P108" s="162">
        <v>11</v>
      </c>
      <c r="Q108" s="162">
        <v>7</v>
      </c>
      <c r="R108" s="162">
        <v>8</v>
      </c>
      <c r="S108" s="162">
        <v>12</v>
      </c>
      <c r="T108" s="162">
        <v>6</v>
      </c>
      <c r="U108" s="162">
        <v>12</v>
      </c>
      <c r="V108" s="162">
        <v>12</v>
      </c>
      <c r="W108" s="162">
        <v>7</v>
      </c>
      <c r="X108" s="162">
        <v>8</v>
      </c>
      <c r="Y108" s="162">
        <v>8</v>
      </c>
      <c r="Z108" s="162">
        <v>6</v>
      </c>
      <c r="AA108" s="162">
        <v>4</v>
      </c>
      <c r="AB108" s="162">
        <v>5</v>
      </c>
      <c r="AC108" s="162">
        <v>9</v>
      </c>
      <c r="AD108" s="162">
        <v>6</v>
      </c>
      <c r="AE108" s="162">
        <v>5</v>
      </c>
      <c r="AF108" s="161"/>
      <c r="AG108" s="64">
        <f t="shared" si="15"/>
        <v>279</v>
      </c>
    </row>
    <row r="109" spans="1:33" ht="18.75" x14ac:dyDescent="0.25">
      <c r="A109" s="321" t="s">
        <v>96</v>
      </c>
      <c r="B109" s="249">
        <v>12</v>
      </c>
      <c r="C109" s="162">
        <v>8</v>
      </c>
      <c r="D109" s="162">
        <v>10</v>
      </c>
      <c r="E109" s="162">
        <v>4</v>
      </c>
      <c r="F109" s="162">
        <v>9</v>
      </c>
      <c r="G109" s="162">
        <v>7</v>
      </c>
      <c r="H109" s="162">
        <v>6</v>
      </c>
      <c r="I109" s="162">
        <v>10</v>
      </c>
      <c r="J109" s="162">
        <v>8</v>
      </c>
      <c r="K109" s="162">
        <v>6</v>
      </c>
      <c r="L109" s="162">
        <v>8</v>
      </c>
      <c r="M109" s="162">
        <v>11</v>
      </c>
      <c r="N109" s="162">
        <v>9</v>
      </c>
      <c r="O109" s="162">
        <v>8</v>
      </c>
      <c r="P109" s="162">
        <v>5</v>
      </c>
      <c r="Q109" s="162">
        <v>11</v>
      </c>
      <c r="R109" s="162">
        <v>8</v>
      </c>
      <c r="S109" s="162">
        <v>7</v>
      </c>
      <c r="T109" s="162">
        <v>8</v>
      </c>
      <c r="U109" s="162">
        <v>11</v>
      </c>
      <c r="V109" s="162">
        <v>4</v>
      </c>
      <c r="W109" s="162">
        <v>7</v>
      </c>
      <c r="X109" s="162">
        <v>12</v>
      </c>
      <c r="Y109" s="162">
        <v>4</v>
      </c>
      <c r="Z109" s="162">
        <v>8</v>
      </c>
      <c r="AA109" s="162">
        <v>8</v>
      </c>
      <c r="AB109" s="162">
        <v>7</v>
      </c>
      <c r="AC109" s="162">
        <v>8</v>
      </c>
      <c r="AD109" s="162">
        <v>11</v>
      </c>
      <c r="AE109" s="162">
        <v>7</v>
      </c>
      <c r="AF109" s="161"/>
      <c r="AG109" s="64">
        <f t="shared" si="15"/>
        <v>242</v>
      </c>
    </row>
    <row r="110" spans="1:33" ht="18.75" x14ac:dyDescent="0.25">
      <c r="A110" s="321" t="s">
        <v>95</v>
      </c>
      <c r="B110" s="249">
        <v>7</v>
      </c>
      <c r="C110" s="162">
        <v>6</v>
      </c>
      <c r="D110" s="162">
        <v>10</v>
      </c>
      <c r="E110" s="162">
        <v>9</v>
      </c>
      <c r="F110" s="162">
        <v>5</v>
      </c>
      <c r="G110" s="162">
        <v>7</v>
      </c>
      <c r="H110" s="162">
        <v>3</v>
      </c>
      <c r="I110" s="162">
        <v>5</v>
      </c>
      <c r="J110" s="162">
        <v>3</v>
      </c>
      <c r="K110" s="162">
        <v>7</v>
      </c>
      <c r="L110" s="162">
        <v>8</v>
      </c>
      <c r="M110" s="162">
        <v>5</v>
      </c>
      <c r="N110" s="162"/>
      <c r="O110" s="162">
        <v>1</v>
      </c>
      <c r="P110" s="162">
        <v>7</v>
      </c>
      <c r="Q110" s="162">
        <v>9</v>
      </c>
      <c r="R110" s="162">
        <v>9</v>
      </c>
      <c r="S110" s="162">
        <v>5</v>
      </c>
      <c r="T110" s="162">
        <v>6</v>
      </c>
      <c r="U110" s="162">
        <v>5</v>
      </c>
      <c r="V110" s="162">
        <v>2</v>
      </c>
      <c r="W110" s="162">
        <v>9</v>
      </c>
      <c r="X110" s="162">
        <v>4</v>
      </c>
      <c r="Y110" s="162">
        <v>7</v>
      </c>
      <c r="Z110" s="162">
        <v>5</v>
      </c>
      <c r="AA110" s="162">
        <v>9</v>
      </c>
      <c r="AB110" s="162">
        <v>5</v>
      </c>
      <c r="AC110" s="162">
        <v>3</v>
      </c>
      <c r="AD110" s="162">
        <v>6</v>
      </c>
      <c r="AE110" s="162">
        <v>7</v>
      </c>
      <c r="AF110" s="161"/>
      <c r="AG110" s="64">
        <f t="shared" si="15"/>
        <v>174</v>
      </c>
    </row>
    <row r="111" spans="1:33" ht="18.75" x14ac:dyDescent="0.25">
      <c r="A111" s="321" t="s">
        <v>94</v>
      </c>
      <c r="B111" s="249">
        <v>10</v>
      </c>
      <c r="C111" s="162">
        <v>4</v>
      </c>
      <c r="D111" s="162">
        <v>5</v>
      </c>
      <c r="E111" s="162">
        <v>8</v>
      </c>
      <c r="F111" s="162">
        <v>1</v>
      </c>
      <c r="G111" s="162">
        <v>8</v>
      </c>
      <c r="H111" s="162">
        <v>5</v>
      </c>
      <c r="I111" s="162">
        <v>4</v>
      </c>
      <c r="J111" s="162">
        <v>4</v>
      </c>
      <c r="K111" s="162">
        <v>4</v>
      </c>
      <c r="L111" s="162">
        <v>4</v>
      </c>
      <c r="M111" s="162">
        <v>2</v>
      </c>
      <c r="N111" s="162">
        <v>4</v>
      </c>
      <c r="O111" s="162">
        <v>9</v>
      </c>
      <c r="P111" s="162">
        <v>2</v>
      </c>
      <c r="Q111" s="162">
        <v>1</v>
      </c>
      <c r="R111" s="162">
        <v>3</v>
      </c>
      <c r="S111" s="162">
        <v>3</v>
      </c>
      <c r="T111" s="162">
        <v>4</v>
      </c>
      <c r="U111" s="162">
        <v>6</v>
      </c>
      <c r="V111" s="162">
        <v>2</v>
      </c>
      <c r="W111" s="162">
        <v>2</v>
      </c>
      <c r="X111" s="162">
        <v>5</v>
      </c>
      <c r="Y111" s="162">
        <v>6</v>
      </c>
      <c r="Z111" s="162">
        <v>6</v>
      </c>
      <c r="AA111" s="162">
        <v>7</v>
      </c>
      <c r="AB111" s="162">
        <v>2</v>
      </c>
      <c r="AC111" s="162">
        <v>7</v>
      </c>
      <c r="AD111" s="162">
        <v>2</v>
      </c>
      <c r="AE111" s="162">
        <v>1</v>
      </c>
      <c r="AF111" s="161"/>
      <c r="AG111" s="64">
        <f t="shared" si="15"/>
        <v>131</v>
      </c>
    </row>
    <row r="112" spans="1:33" ht="18.75" x14ac:dyDescent="0.25">
      <c r="A112" s="321" t="s">
        <v>93</v>
      </c>
      <c r="B112" s="249">
        <v>2</v>
      </c>
      <c r="C112" s="162">
        <v>5</v>
      </c>
      <c r="D112" s="162">
        <v>7</v>
      </c>
      <c r="E112" s="162">
        <v>1</v>
      </c>
      <c r="F112" s="162">
        <v>3</v>
      </c>
      <c r="G112" s="162">
        <v>7</v>
      </c>
      <c r="H112" s="162">
        <v>4</v>
      </c>
      <c r="I112" s="162">
        <v>2</v>
      </c>
      <c r="J112" s="162">
        <v>4</v>
      </c>
      <c r="K112" s="162">
        <v>3</v>
      </c>
      <c r="L112" s="162">
        <v>2</v>
      </c>
      <c r="M112" s="162">
        <v>1</v>
      </c>
      <c r="N112" s="162">
        <v>3</v>
      </c>
      <c r="O112" s="162">
        <v>5</v>
      </c>
      <c r="P112" s="162">
        <v>2</v>
      </c>
      <c r="Q112" s="162">
        <v>4</v>
      </c>
      <c r="R112" s="162">
        <v>4</v>
      </c>
      <c r="S112" s="162">
        <v>2</v>
      </c>
      <c r="T112" s="162">
        <v>2</v>
      </c>
      <c r="U112" s="162"/>
      <c r="V112" s="162">
        <v>4</v>
      </c>
      <c r="W112" s="162">
        <v>2</v>
      </c>
      <c r="X112" s="162">
        <v>4</v>
      </c>
      <c r="Y112" s="162">
        <v>2</v>
      </c>
      <c r="Z112" s="162">
        <v>1</v>
      </c>
      <c r="AA112" s="162">
        <v>1</v>
      </c>
      <c r="AB112" s="162">
        <v>1</v>
      </c>
      <c r="AC112" s="162">
        <v>3</v>
      </c>
      <c r="AD112" s="162">
        <v>2</v>
      </c>
      <c r="AE112" s="162">
        <v>4</v>
      </c>
      <c r="AF112" s="161"/>
      <c r="AG112" s="64">
        <f t="shared" si="15"/>
        <v>87</v>
      </c>
    </row>
    <row r="113" spans="1:33" ht="18.75" x14ac:dyDescent="0.25">
      <c r="A113" s="321" t="s">
        <v>92</v>
      </c>
      <c r="B113" s="249">
        <v>4</v>
      </c>
      <c r="C113" s="162">
        <v>3</v>
      </c>
      <c r="D113" s="162">
        <v>4</v>
      </c>
      <c r="E113" s="162">
        <v>3</v>
      </c>
      <c r="F113" s="162">
        <v>2</v>
      </c>
      <c r="G113" s="162">
        <v>1</v>
      </c>
      <c r="H113" s="162">
        <v>3</v>
      </c>
      <c r="I113" s="162">
        <v>7</v>
      </c>
      <c r="J113" s="162">
        <v>2</v>
      </c>
      <c r="K113" s="162">
        <v>9</v>
      </c>
      <c r="L113" s="162">
        <v>1</v>
      </c>
      <c r="M113" s="162">
        <v>2</v>
      </c>
      <c r="N113" s="162">
        <v>1</v>
      </c>
      <c r="O113" s="162">
        <v>1</v>
      </c>
      <c r="P113" s="162">
        <v>2</v>
      </c>
      <c r="Q113" s="162">
        <v>3</v>
      </c>
      <c r="R113" s="162">
        <v>2</v>
      </c>
      <c r="S113" s="162">
        <v>1</v>
      </c>
      <c r="T113" s="162">
        <v>3</v>
      </c>
      <c r="U113" s="162">
        <v>2</v>
      </c>
      <c r="V113" s="162">
        <v>2</v>
      </c>
      <c r="W113" s="162">
        <v>4</v>
      </c>
      <c r="X113" s="162">
        <v>2</v>
      </c>
      <c r="Y113" s="162">
        <v>3</v>
      </c>
      <c r="Z113" s="162">
        <v>4</v>
      </c>
      <c r="AA113" s="162">
        <v>4</v>
      </c>
      <c r="AB113" s="162">
        <v>2</v>
      </c>
      <c r="AC113" s="162">
        <v>2</v>
      </c>
      <c r="AD113" s="162">
        <v>5</v>
      </c>
      <c r="AE113" s="162">
        <v>2</v>
      </c>
      <c r="AF113" s="161"/>
      <c r="AG113" s="64">
        <f t="shared" si="15"/>
        <v>86</v>
      </c>
    </row>
    <row r="114" spans="1:33" ht="18.75" x14ac:dyDescent="0.25">
      <c r="A114" s="321" t="s">
        <v>91</v>
      </c>
      <c r="B114" s="249">
        <v>2</v>
      </c>
      <c r="C114" s="162">
        <v>7</v>
      </c>
      <c r="D114" s="162">
        <v>8</v>
      </c>
      <c r="E114" s="162">
        <v>2</v>
      </c>
      <c r="F114" s="162">
        <v>3</v>
      </c>
      <c r="G114" s="162">
        <v>2</v>
      </c>
      <c r="H114" s="162">
        <v>4</v>
      </c>
      <c r="I114" s="162">
        <v>1</v>
      </c>
      <c r="J114" s="162">
        <v>2</v>
      </c>
      <c r="K114" s="162">
        <v>7</v>
      </c>
      <c r="L114" s="162">
        <v>7</v>
      </c>
      <c r="M114" s="162">
        <v>6</v>
      </c>
      <c r="N114" s="162">
        <v>4</v>
      </c>
      <c r="O114" s="162">
        <v>3</v>
      </c>
      <c r="P114" s="162">
        <v>4</v>
      </c>
      <c r="Q114" s="162">
        <v>4</v>
      </c>
      <c r="R114" s="162">
        <v>1</v>
      </c>
      <c r="S114" s="162">
        <v>9</v>
      </c>
      <c r="T114" s="162">
        <v>9</v>
      </c>
      <c r="U114" s="162">
        <v>4</v>
      </c>
      <c r="V114" s="162">
        <v>3</v>
      </c>
      <c r="W114" s="162">
        <v>2</v>
      </c>
      <c r="X114" s="162">
        <v>4</v>
      </c>
      <c r="Y114" s="162">
        <v>4</v>
      </c>
      <c r="Z114" s="162">
        <v>3</v>
      </c>
      <c r="AA114" s="162">
        <v>5</v>
      </c>
      <c r="AB114" s="162">
        <v>4</v>
      </c>
      <c r="AC114" s="162">
        <v>2</v>
      </c>
      <c r="AD114" s="162">
        <v>6</v>
      </c>
      <c r="AE114" s="162"/>
      <c r="AF114" s="161"/>
      <c r="AG114" s="64">
        <f t="shared" si="15"/>
        <v>122</v>
      </c>
    </row>
    <row r="115" spans="1:33" ht="19.5" thickBot="1" x14ac:dyDescent="0.3">
      <c r="A115" s="322"/>
      <c r="B115" s="255"/>
      <c r="C115" s="169"/>
      <c r="D115" s="169"/>
      <c r="E115" s="169"/>
      <c r="F115" s="169"/>
      <c r="G115" s="169"/>
      <c r="H115" s="169"/>
      <c r="I115" s="169"/>
      <c r="J115" s="169"/>
      <c r="K115" s="169"/>
      <c r="L115" s="169"/>
      <c r="M115" s="169"/>
      <c r="N115" s="169"/>
      <c r="O115" s="169"/>
      <c r="P115" s="169"/>
      <c r="Q115" s="169"/>
      <c r="R115" s="169"/>
      <c r="S115" s="169"/>
      <c r="T115" s="169"/>
      <c r="U115" s="169"/>
      <c r="V115" s="169"/>
      <c r="W115" s="169"/>
      <c r="X115" s="169"/>
      <c r="Y115" s="169"/>
      <c r="Z115" s="169"/>
      <c r="AA115" s="169"/>
      <c r="AB115" s="169"/>
      <c r="AC115" s="169"/>
      <c r="AD115" s="169"/>
      <c r="AE115" s="169"/>
      <c r="AF115" s="168"/>
      <c r="AG115" s="64">
        <f t="shared" si="15"/>
        <v>0</v>
      </c>
    </row>
    <row r="116" spans="1:33" ht="18.75" x14ac:dyDescent="0.25">
      <c r="A116" s="315" t="s">
        <v>90</v>
      </c>
      <c r="B116" s="261">
        <f t="shared" ref="B116:AF116" si="17">SUM(B117:B129)</f>
        <v>38</v>
      </c>
      <c r="C116" s="166">
        <f t="shared" si="17"/>
        <v>41</v>
      </c>
      <c r="D116" s="166">
        <f t="shared" si="17"/>
        <v>37</v>
      </c>
      <c r="E116" s="166">
        <f t="shared" si="17"/>
        <v>40</v>
      </c>
      <c r="F116" s="166">
        <f t="shared" si="17"/>
        <v>30</v>
      </c>
      <c r="G116" s="166">
        <f t="shared" si="17"/>
        <v>29</v>
      </c>
      <c r="H116" s="166">
        <f t="shared" si="17"/>
        <v>32</v>
      </c>
      <c r="I116" s="166">
        <f t="shared" si="17"/>
        <v>26</v>
      </c>
      <c r="J116" s="166">
        <f t="shared" si="17"/>
        <v>33</v>
      </c>
      <c r="K116" s="166">
        <f t="shared" si="17"/>
        <v>48</v>
      </c>
      <c r="L116" s="166">
        <f t="shared" si="17"/>
        <v>37</v>
      </c>
      <c r="M116" s="166">
        <f t="shared" si="17"/>
        <v>16</v>
      </c>
      <c r="N116" s="166">
        <f t="shared" si="17"/>
        <v>25</v>
      </c>
      <c r="O116" s="166">
        <f t="shared" si="17"/>
        <v>45</v>
      </c>
      <c r="P116" s="166">
        <f t="shared" si="17"/>
        <v>37</v>
      </c>
      <c r="Q116" s="166">
        <f t="shared" si="17"/>
        <v>43</v>
      </c>
      <c r="R116" s="166">
        <f t="shared" si="17"/>
        <v>37</v>
      </c>
      <c r="S116" s="166">
        <f t="shared" si="17"/>
        <v>31</v>
      </c>
      <c r="T116" s="166">
        <f t="shared" si="17"/>
        <v>23</v>
      </c>
      <c r="U116" s="166">
        <f t="shared" si="17"/>
        <v>23</v>
      </c>
      <c r="V116" s="166">
        <f t="shared" si="17"/>
        <v>23</v>
      </c>
      <c r="W116" s="166">
        <f t="shared" si="17"/>
        <v>29</v>
      </c>
      <c r="X116" s="166">
        <f t="shared" si="17"/>
        <v>22</v>
      </c>
      <c r="Y116" s="166">
        <f t="shared" si="17"/>
        <v>37</v>
      </c>
      <c r="Z116" s="166">
        <f t="shared" si="17"/>
        <v>34</v>
      </c>
      <c r="AA116" s="166">
        <f t="shared" si="17"/>
        <v>27</v>
      </c>
      <c r="AB116" s="166">
        <f t="shared" si="17"/>
        <v>12</v>
      </c>
      <c r="AC116" s="166">
        <f t="shared" si="17"/>
        <v>33</v>
      </c>
      <c r="AD116" s="166">
        <f t="shared" si="17"/>
        <v>35</v>
      </c>
      <c r="AE116" s="166">
        <f t="shared" si="17"/>
        <v>22</v>
      </c>
      <c r="AF116" s="165">
        <f t="shared" si="17"/>
        <v>0</v>
      </c>
      <c r="AG116" s="64">
        <f t="shared" si="15"/>
        <v>945</v>
      </c>
    </row>
    <row r="117" spans="1:33" ht="18.75" x14ac:dyDescent="0.25">
      <c r="A117" s="323" t="s">
        <v>67</v>
      </c>
      <c r="B117" s="249">
        <v>22</v>
      </c>
      <c r="C117" s="162">
        <v>31</v>
      </c>
      <c r="D117" s="162">
        <v>27</v>
      </c>
      <c r="E117" s="162">
        <v>25</v>
      </c>
      <c r="F117" s="162">
        <v>14</v>
      </c>
      <c r="G117" s="162">
        <v>24</v>
      </c>
      <c r="H117" s="162">
        <v>18</v>
      </c>
      <c r="I117" s="162">
        <v>17</v>
      </c>
      <c r="J117" s="162">
        <v>23</v>
      </c>
      <c r="K117" s="162">
        <v>32</v>
      </c>
      <c r="L117" s="162">
        <v>30</v>
      </c>
      <c r="M117" s="162">
        <v>7</v>
      </c>
      <c r="N117" s="162">
        <v>15</v>
      </c>
      <c r="O117" s="162">
        <v>34</v>
      </c>
      <c r="P117" s="162">
        <v>16</v>
      </c>
      <c r="Q117" s="162">
        <v>29</v>
      </c>
      <c r="R117" s="162">
        <v>25</v>
      </c>
      <c r="S117" s="162">
        <v>19</v>
      </c>
      <c r="T117" s="162">
        <v>14</v>
      </c>
      <c r="U117" s="162">
        <v>12</v>
      </c>
      <c r="V117" s="162">
        <v>16</v>
      </c>
      <c r="W117" s="162">
        <v>24</v>
      </c>
      <c r="X117" s="162">
        <v>15</v>
      </c>
      <c r="Y117" s="162">
        <v>22</v>
      </c>
      <c r="Z117" s="162">
        <v>22</v>
      </c>
      <c r="AA117" s="162">
        <v>19</v>
      </c>
      <c r="AB117" s="162">
        <v>6</v>
      </c>
      <c r="AC117" s="162">
        <v>20</v>
      </c>
      <c r="AD117" s="162">
        <v>22</v>
      </c>
      <c r="AE117" s="162">
        <v>14</v>
      </c>
      <c r="AF117" s="161"/>
      <c r="AG117" s="64">
        <f t="shared" si="15"/>
        <v>614</v>
      </c>
    </row>
    <row r="118" spans="1:33" ht="19.5" hidden="1" customHeight="1" thickBot="1" x14ac:dyDescent="0.3">
      <c r="A118" s="323" t="s">
        <v>69</v>
      </c>
      <c r="B118" s="249"/>
      <c r="C118" s="162"/>
      <c r="D118" s="162"/>
      <c r="E118" s="162"/>
      <c r="F118" s="162"/>
      <c r="G118" s="162"/>
      <c r="H118" s="162"/>
      <c r="I118" s="162"/>
      <c r="J118" s="162"/>
      <c r="K118" s="162"/>
      <c r="L118" s="162"/>
      <c r="M118" s="162"/>
      <c r="N118" s="162"/>
      <c r="O118" s="162"/>
      <c r="P118" s="162"/>
      <c r="Q118" s="162"/>
      <c r="R118" s="162"/>
      <c r="S118" s="162"/>
      <c r="T118" s="162"/>
      <c r="U118" s="162"/>
      <c r="V118" s="162"/>
      <c r="W118" s="162"/>
      <c r="X118" s="162"/>
      <c r="Y118" s="162"/>
      <c r="Z118" s="162"/>
      <c r="AA118" s="162"/>
      <c r="AB118" s="162"/>
      <c r="AC118" s="162"/>
      <c r="AD118" s="162"/>
      <c r="AE118" s="162"/>
      <c r="AF118" s="161"/>
      <c r="AG118" s="64">
        <f t="shared" si="15"/>
        <v>0</v>
      </c>
    </row>
    <row r="119" spans="1:33" ht="19.5" hidden="1" customHeight="1" thickBot="1" x14ac:dyDescent="0.3">
      <c r="A119" s="323" t="s">
        <v>68</v>
      </c>
      <c r="B119" s="249"/>
      <c r="C119" s="162"/>
      <c r="D119" s="162"/>
      <c r="E119" s="162"/>
      <c r="F119" s="162"/>
      <c r="G119" s="162"/>
      <c r="H119" s="162"/>
      <c r="I119" s="162"/>
      <c r="J119" s="162"/>
      <c r="K119" s="162"/>
      <c r="L119" s="162"/>
      <c r="M119" s="162"/>
      <c r="N119" s="162"/>
      <c r="O119" s="162"/>
      <c r="P119" s="162"/>
      <c r="Q119" s="162"/>
      <c r="R119" s="162"/>
      <c r="S119" s="162"/>
      <c r="T119" s="162"/>
      <c r="U119" s="162"/>
      <c r="V119" s="162"/>
      <c r="W119" s="162"/>
      <c r="X119" s="162"/>
      <c r="Y119" s="162"/>
      <c r="Z119" s="162"/>
      <c r="AA119" s="162"/>
      <c r="AB119" s="162"/>
      <c r="AC119" s="162"/>
      <c r="AD119" s="162"/>
      <c r="AE119" s="162"/>
      <c r="AF119" s="161"/>
      <c r="AG119" s="64">
        <f t="shared" si="15"/>
        <v>0</v>
      </c>
    </row>
    <row r="120" spans="1:33" ht="19.5" hidden="1" customHeight="1" thickBot="1" x14ac:dyDescent="0.3">
      <c r="A120" s="323" t="s">
        <v>66</v>
      </c>
      <c r="B120" s="249"/>
      <c r="C120" s="162"/>
      <c r="D120" s="162"/>
      <c r="E120" s="162"/>
      <c r="F120" s="162"/>
      <c r="G120" s="162"/>
      <c r="H120" s="162"/>
      <c r="I120" s="162"/>
      <c r="J120" s="162"/>
      <c r="K120" s="162"/>
      <c r="L120" s="162"/>
      <c r="M120" s="162"/>
      <c r="N120" s="162"/>
      <c r="O120" s="162"/>
      <c r="P120" s="162"/>
      <c r="Q120" s="162"/>
      <c r="R120" s="162"/>
      <c r="S120" s="162"/>
      <c r="T120" s="162"/>
      <c r="U120" s="162"/>
      <c r="V120" s="162"/>
      <c r="W120" s="162"/>
      <c r="X120" s="162"/>
      <c r="Y120" s="162"/>
      <c r="Z120" s="162"/>
      <c r="AA120" s="162"/>
      <c r="AB120" s="162"/>
      <c r="AC120" s="162"/>
      <c r="AD120" s="162"/>
      <c r="AE120" s="162"/>
      <c r="AF120" s="161"/>
      <c r="AG120" s="64">
        <f t="shared" si="15"/>
        <v>0</v>
      </c>
    </row>
    <row r="121" spans="1:33" ht="19.5" hidden="1" customHeight="1" thickBot="1" x14ac:dyDescent="0.3">
      <c r="A121" s="323" t="s">
        <v>65</v>
      </c>
      <c r="B121" s="249"/>
      <c r="C121" s="162"/>
      <c r="D121" s="162"/>
      <c r="E121" s="162"/>
      <c r="F121" s="162"/>
      <c r="G121" s="162"/>
      <c r="H121" s="162"/>
      <c r="I121" s="162"/>
      <c r="J121" s="162"/>
      <c r="K121" s="162"/>
      <c r="L121" s="162"/>
      <c r="M121" s="162"/>
      <c r="N121" s="162"/>
      <c r="O121" s="162"/>
      <c r="P121" s="162"/>
      <c r="Q121" s="162"/>
      <c r="R121" s="162"/>
      <c r="S121" s="162"/>
      <c r="T121" s="162"/>
      <c r="U121" s="162"/>
      <c r="V121" s="162"/>
      <c r="W121" s="162"/>
      <c r="X121" s="162"/>
      <c r="Y121" s="162"/>
      <c r="Z121" s="162"/>
      <c r="AA121" s="162"/>
      <c r="AB121" s="162"/>
      <c r="AC121" s="162"/>
      <c r="AD121" s="162"/>
      <c r="AE121" s="162"/>
      <c r="AF121" s="161"/>
      <c r="AG121" s="64">
        <f t="shared" si="15"/>
        <v>0</v>
      </c>
    </row>
    <row r="122" spans="1:33" ht="19.5" hidden="1" customHeight="1" thickBot="1" x14ac:dyDescent="0.3">
      <c r="A122" s="323" t="s">
        <v>64</v>
      </c>
      <c r="B122" s="249"/>
      <c r="C122" s="162"/>
      <c r="D122" s="162"/>
      <c r="E122" s="162"/>
      <c r="F122" s="162"/>
      <c r="G122" s="162"/>
      <c r="H122" s="162"/>
      <c r="I122" s="162"/>
      <c r="J122" s="162"/>
      <c r="K122" s="162"/>
      <c r="L122" s="162"/>
      <c r="M122" s="162"/>
      <c r="N122" s="162"/>
      <c r="O122" s="162"/>
      <c r="P122" s="162"/>
      <c r="Q122" s="162"/>
      <c r="R122" s="162"/>
      <c r="S122" s="162"/>
      <c r="T122" s="162"/>
      <c r="U122" s="162"/>
      <c r="V122" s="162"/>
      <c r="W122" s="162"/>
      <c r="X122" s="162"/>
      <c r="Y122" s="162"/>
      <c r="Z122" s="162"/>
      <c r="AA122" s="162"/>
      <c r="AB122" s="162"/>
      <c r="AC122" s="162"/>
      <c r="AD122" s="162"/>
      <c r="AE122" s="162"/>
      <c r="AF122" s="161"/>
      <c r="AG122" s="64">
        <f t="shared" si="15"/>
        <v>0</v>
      </c>
    </row>
    <row r="123" spans="1:33" ht="19.5" hidden="1" customHeight="1" thickBot="1" x14ac:dyDescent="0.3">
      <c r="A123" s="323" t="s">
        <v>63</v>
      </c>
      <c r="B123" s="249"/>
      <c r="C123" s="162"/>
      <c r="D123" s="162"/>
      <c r="E123" s="162"/>
      <c r="F123" s="162"/>
      <c r="G123" s="162"/>
      <c r="H123" s="162"/>
      <c r="I123" s="162"/>
      <c r="J123" s="162"/>
      <c r="K123" s="162"/>
      <c r="L123" s="162"/>
      <c r="M123" s="162"/>
      <c r="N123" s="162"/>
      <c r="O123" s="162"/>
      <c r="P123" s="162"/>
      <c r="Q123" s="162"/>
      <c r="R123" s="162"/>
      <c r="S123" s="162"/>
      <c r="T123" s="162"/>
      <c r="U123" s="162"/>
      <c r="V123" s="162"/>
      <c r="W123" s="162"/>
      <c r="X123" s="162"/>
      <c r="Y123" s="162"/>
      <c r="Z123" s="162"/>
      <c r="AA123" s="162"/>
      <c r="AB123" s="162"/>
      <c r="AC123" s="162"/>
      <c r="AD123" s="162"/>
      <c r="AE123" s="162"/>
      <c r="AF123" s="161"/>
      <c r="AG123" s="64">
        <f t="shared" si="15"/>
        <v>0</v>
      </c>
    </row>
    <row r="124" spans="1:33" ht="19.5" hidden="1" customHeight="1" thickBot="1" x14ac:dyDescent="0.3">
      <c r="A124" s="323" t="s">
        <v>62</v>
      </c>
      <c r="B124" s="249"/>
      <c r="C124" s="162"/>
      <c r="D124" s="162"/>
      <c r="E124" s="162"/>
      <c r="F124" s="162"/>
      <c r="G124" s="162"/>
      <c r="H124" s="162"/>
      <c r="I124" s="162"/>
      <c r="J124" s="162"/>
      <c r="K124" s="162"/>
      <c r="L124" s="162"/>
      <c r="M124" s="162"/>
      <c r="N124" s="162"/>
      <c r="O124" s="162"/>
      <c r="P124" s="162"/>
      <c r="Q124" s="162"/>
      <c r="R124" s="162"/>
      <c r="S124" s="162"/>
      <c r="T124" s="162"/>
      <c r="U124" s="162"/>
      <c r="V124" s="162"/>
      <c r="W124" s="162"/>
      <c r="X124" s="162"/>
      <c r="Y124" s="162"/>
      <c r="Z124" s="162"/>
      <c r="AA124" s="162"/>
      <c r="AB124" s="162"/>
      <c r="AC124" s="162"/>
      <c r="AD124" s="162"/>
      <c r="AE124" s="162"/>
      <c r="AF124" s="161"/>
      <c r="AG124" s="64">
        <f t="shared" si="15"/>
        <v>0</v>
      </c>
    </row>
    <row r="125" spans="1:33" ht="19.5" hidden="1" customHeight="1" thickBot="1" x14ac:dyDescent="0.3">
      <c r="A125" s="301" t="s">
        <v>60</v>
      </c>
      <c r="B125" s="249"/>
      <c r="C125" s="162"/>
      <c r="D125" s="162"/>
      <c r="E125" s="162"/>
      <c r="F125" s="162"/>
      <c r="G125" s="162"/>
      <c r="H125" s="162"/>
      <c r="I125" s="162"/>
      <c r="J125" s="162"/>
      <c r="K125" s="162"/>
      <c r="L125" s="162"/>
      <c r="M125" s="162"/>
      <c r="N125" s="162"/>
      <c r="O125" s="162"/>
      <c r="P125" s="162"/>
      <c r="Q125" s="162"/>
      <c r="R125" s="162"/>
      <c r="S125" s="162"/>
      <c r="T125" s="162"/>
      <c r="U125" s="162"/>
      <c r="V125" s="162"/>
      <c r="W125" s="162"/>
      <c r="X125" s="162"/>
      <c r="Y125" s="162"/>
      <c r="Z125" s="162"/>
      <c r="AA125" s="162"/>
      <c r="AB125" s="162"/>
      <c r="AC125" s="162"/>
      <c r="AD125" s="162"/>
      <c r="AE125" s="162"/>
      <c r="AF125" s="161"/>
      <c r="AG125" s="64">
        <f t="shared" si="15"/>
        <v>0</v>
      </c>
    </row>
    <row r="126" spans="1:33" ht="19.5" hidden="1" customHeight="1" thickBot="1" x14ac:dyDescent="0.3">
      <c r="A126" s="301" t="s">
        <v>59</v>
      </c>
      <c r="B126" s="249"/>
      <c r="C126" s="162"/>
      <c r="D126" s="162"/>
      <c r="E126" s="162"/>
      <c r="F126" s="162"/>
      <c r="G126" s="162"/>
      <c r="H126" s="162"/>
      <c r="I126" s="162"/>
      <c r="J126" s="162"/>
      <c r="K126" s="162"/>
      <c r="L126" s="162"/>
      <c r="M126" s="162"/>
      <c r="N126" s="162"/>
      <c r="O126" s="162"/>
      <c r="P126" s="162"/>
      <c r="Q126" s="162"/>
      <c r="R126" s="162"/>
      <c r="S126" s="162"/>
      <c r="T126" s="162"/>
      <c r="U126" s="162"/>
      <c r="V126" s="162"/>
      <c r="W126" s="162"/>
      <c r="X126" s="162"/>
      <c r="Y126" s="162"/>
      <c r="Z126" s="162"/>
      <c r="AA126" s="162"/>
      <c r="AB126" s="162"/>
      <c r="AC126" s="162"/>
      <c r="AD126" s="162"/>
      <c r="AE126" s="162"/>
      <c r="AF126" s="161"/>
      <c r="AG126" s="64">
        <f t="shared" si="15"/>
        <v>0</v>
      </c>
    </row>
    <row r="127" spans="1:33" ht="19.5" hidden="1" customHeight="1" thickBot="1" x14ac:dyDescent="0.3">
      <c r="A127" s="301" t="s">
        <v>58</v>
      </c>
      <c r="B127" s="249"/>
      <c r="C127" s="162"/>
      <c r="D127" s="162"/>
      <c r="E127" s="162"/>
      <c r="F127" s="162"/>
      <c r="G127" s="162"/>
      <c r="H127" s="162"/>
      <c r="I127" s="162"/>
      <c r="J127" s="162"/>
      <c r="K127" s="162"/>
      <c r="L127" s="162"/>
      <c r="M127" s="162"/>
      <c r="N127" s="162"/>
      <c r="O127" s="162"/>
      <c r="P127" s="162"/>
      <c r="Q127" s="162"/>
      <c r="R127" s="162"/>
      <c r="S127" s="162"/>
      <c r="T127" s="162"/>
      <c r="U127" s="162"/>
      <c r="V127" s="162"/>
      <c r="W127" s="162"/>
      <c r="X127" s="162"/>
      <c r="Y127" s="162"/>
      <c r="Z127" s="162"/>
      <c r="AA127" s="162"/>
      <c r="AB127" s="162"/>
      <c r="AC127" s="162"/>
      <c r="AD127" s="162"/>
      <c r="AE127" s="162"/>
      <c r="AF127" s="161"/>
      <c r="AG127" s="64">
        <f t="shared" si="15"/>
        <v>0</v>
      </c>
    </row>
    <row r="128" spans="1:33" ht="19.5" hidden="1" customHeight="1" thickBot="1" x14ac:dyDescent="0.3">
      <c r="A128" s="323" t="s">
        <v>88</v>
      </c>
      <c r="B128" s="249"/>
      <c r="C128" s="162"/>
      <c r="D128" s="162"/>
      <c r="E128" s="162"/>
      <c r="F128" s="162"/>
      <c r="G128" s="162"/>
      <c r="H128" s="162"/>
      <c r="I128" s="162"/>
      <c r="J128" s="162"/>
      <c r="K128" s="162"/>
      <c r="L128" s="162"/>
      <c r="M128" s="162"/>
      <c r="N128" s="162"/>
      <c r="O128" s="162"/>
      <c r="P128" s="162"/>
      <c r="Q128" s="162"/>
      <c r="R128" s="162"/>
      <c r="S128" s="162"/>
      <c r="T128" s="162"/>
      <c r="U128" s="162"/>
      <c r="V128" s="162"/>
      <c r="W128" s="162"/>
      <c r="X128" s="162"/>
      <c r="Y128" s="162"/>
      <c r="Z128" s="162"/>
      <c r="AA128" s="162"/>
      <c r="AB128" s="162"/>
      <c r="AC128" s="162"/>
      <c r="AD128" s="162"/>
      <c r="AE128" s="162"/>
      <c r="AF128" s="161"/>
      <c r="AG128" s="64">
        <f t="shared" si="15"/>
        <v>0</v>
      </c>
    </row>
    <row r="129" spans="1:35" ht="19.5" thickBot="1" x14ac:dyDescent="0.3">
      <c r="A129" s="324" t="s">
        <v>87</v>
      </c>
      <c r="B129" s="263">
        <f>9+7</f>
        <v>16</v>
      </c>
      <c r="C129" s="140">
        <f>6+4</f>
        <v>10</v>
      </c>
      <c r="D129" s="140">
        <f>7+3</f>
        <v>10</v>
      </c>
      <c r="E129" s="140">
        <f>10+4+1</f>
        <v>15</v>
      </c>
      <c r="F129" s="140">
        <f>13+1+2</f>
        <v>16</v>
      </c>
      <c r="G129" s="140">
        <f>3+2</f>
        <v>5</v>
      </c>
      <c r="H129" s="140">
        <v>14</v>
      </c>
      <c r="I129" s="140">
        <f>6+3</f>
        <v>9</v>
      </c>
      <c r="J129" s="140">
        <f>9+1</f>
        <v>10</v>
      </c>
      <c r="K129" s="140">
        <f>12+4</f>
        <v>16</v>
      </c>
      <c r="L129" s="140">
        <f>5+2</f>
        <v>7</v>
      </c>
      <c r="M129" s="140">
        <f>8+1</f>
        <v>9</v>
      </c>
      <c r="N129" s="140">
        <f>6+4</f>
        <v>10</v>
      </c>
      <c r="O129" s="140">
        <f>9+2</f>
        <v>11</v>
      </c>
      <c r="P129" s="140">
        <f>18+3</f>
        <v>21</v>
      </c>
      <c r="Q129" s="140">
        <f>11+2+1</f>
        <v>14</v>
      </c>
      <c r="R129" s="140">
        <f>10+2</f>
        <v>12</v>
      </c>
      <c r="S129" s="140">
        <f>8+4</f>
        <v>12</v>
      </c>
      <c r="T129" s="140">
        <v>9</v>
      </c>
      <c r="U129" s="140">
        <f>10+1</f>
        <v>11</v>
      </c>
      <c r="V129" s="140">
        <f>6+1</f>
        <v>7</v>
      </c>
      <c r="W129" s="140">
        <f>4+1</f>
        <v>5</v>
      </c>
      <c r="X129" s="140">
        <f>4+1+2</f>
        <v>7</v>
      </c>
      <c r="Y129" s="140">
        <f>7+7+1</f>
        <v>15</v>
      </c>
      <c r="Z129" s="140">
        <f>6+6</f>
        <v>12</v>
      </c>
      <c r="AA129" s="140">
        <f>6+2</f>
        <v>8</v>
      </c>
      <c r="AB129" s="140">
        <f>4+2</f>
        <v>6</v>
      </c>
      <c r="AC129" s="140">
        <f>11+2</f>
        <v>13</v>
      </c>
      <c r="AD129" s="140">
        <f>9+1+3</f>
        <v>13</v>
      </c>
      <c r="AE129" s="140">
        <f>7+1</f>
        <v>8</v>
      </c>
      <c r="AF129" s="139"/>
      <c r="AG129" s="64">
        <f t="shared" si="15"/>
        <v>331</v>
      </c>
    </row>
    <row r="130" spans="1:35" ht="18.75" x14ac:dyDescent="0.25">
      <c r="A130" s="315" t="s">
        <v>89</v>
      </c>
      <c r="B130" s="261">
        <f t="shared" ref="B130:AF130" si="18">SUM(B131:B143)</f>
        <v>117</v>
      </c>
      <c r="C130" s="166">
        <f t="shared" si="18"/>
        <v>153</v>
      </c>
      <c r="D130" s="166">
        <f t="shared" si="18"/>
        <v>133</v>
      </c>
      <c r="E130" s="166">
        <f t="shared" si="18"/>
        <v>127</v>
      </c>
      <c r="F130" s="166">
        <f t="shared" si="18"/>
        <v>149</v>
      </c>
      <c r="G130" s="166">
        <f t="shared" si="18"/>
        <v>125</v>
      </c>
      <c r="H130" s="166">
        <f t="shared" si="18"/>
        <v>130</v>
      </c>
      <c r="I130" s="166">
        <f t="shared" si="18"/>
        <v>124</v>
      </c>
      <c r="J130" s="166">
        <f t="shared" si="18"/>
        <v>130</v>
      </c>
      <c r="K130" s="166">
        <f t="shared" si="18"/>
        <v>148</v>
      </c>
      <c r="L130" s="166">
        <f t="shared" si="18"/>
        <v>141</v>
      </c>
      <c r="M130" s="166">
        <f t="shared" si="18"/>
        <v>145</v>
      </c>
      <c r="N130" s="166">
        <f t="shared" si="18"/>
        <v>156</v>
      </c>
      <c r="O130" s="166">
        <f t="shared" si="18"/>
        <v>138</v>
      </c>
      <c r="P130" s="166">
        <f t="shared" si="18"/>
        <v>133</v>
      </c>
      <c r="Q130" s="166">
        <f t="shared" si="18"/>
        <v>145</v>
      </c>
      <c r="R130" s="166">
        <f t="shared" si="18"/>
        <v>124</v>
      </c>
      <c r="S130" s="166">
        <f t="shared" si="18"/>
        <v>126</v>
      </c>
      <c r="T130" s="166">
        <f t="shared" si="18"/>
        <v>156</v>
      </c>
      <c r="U130" s="166">
        <f t="shared" si="18"/>
        <v>127</v>
      </c>
      <c r="V130" s="166">
        <f t="shared" si="18"/>
        <v>99</v>
      </c>
      <c r="W130" s="166">
        <f t="shared" si="18"/>
        <v>107</v>
      </c>
      <c r="X130" s="166">
        <f t="shared" si="18"/>
        <v>125</v>
      </c>
      <c r="Y130" s="166">
        <f t="shared" si="18"/>
        <v>120</v>
      </c>
      <c r="Z130" s="166">
        <f t="shared" si="18"/>
        <v>124</v>
      </c>
      <c r="AA130" s="166">
        <f t="shared" si="18"/>
        <v>137</v>
      </c>
      <c r="AB130" s="166">
        <f t="shared" si="18"/>
        <v>106</v>
      </c>
      <c r="AC130" s="166">
        <f t="shared" si="18"/>
        <v>126</v>
      </c>
      <c r="AD130" s="166">
        <f t="shared" si="18"/>
        <v>125</v>
      </c>
      <c r="AE130" s="166">
        <f t="shared" si="18"/>
        <v>83</v>
      </c>
      <c r="AF130" s="165">
        <f t="shared" si="18"/>
        <v>0</v>
      </c>
      <c r="AG130" s="164">
        <f t="shared" si="15"/>
        <v>3879</v>
      </c>
      <c r="AH130" s="152" t="str">
        <f>IF(AG130&lt;&gt;AG93,"*","")</f>
        <v/>
      </c>
    </row>
    <row r="131" spans="1:35" ht="18.75" x14ac:dyDescent="0.25">
      <c r="A131" s="323" t="s">
        <v>67</v>
      </c>
      <c r="B131" s="249">
        <v>19</v>
      </c>
      <c r="C131" s="162">
        <v>30</v>
      </c>
      <c r="D131" s="162">
        <v>26</v>
      </c>
      <c r="E131" s="162">
        <v>25</v>
      </c>
      <c r="F131" s="162">
        <v>14</v>
      </c>
      <c r="G131" s="162">
        <v>22</v>
      </c>
      <c r="H131" s="162">
        <v>17</v>
      </c>
      <c r="I131" s="162">
        <v>16</v>
      </c>
      <c r="J131" s="162">
        <v>20</v>
      </c>
      <c r="K131" s="162">
        <v>32</v>
      </c>
      <c r="L131" s="162">
        <v>30</v>
      </c>
      <c r="M131" s="162">
        <v>5</v>
      </c>
      <c r="N131" s="162">
        <v>13</v>
      </c>
      <c r="O131" s="162">
        <v>30</v>
      </c>
      <c r="P131" s="162">
        <v>13</v>
      </c>
      <c r="Q131" s="162">
        <v>27</v>
      </c>
      <c r="R131" s="162">
        <v>24</v>
      </c>
      <c r="S131" s="162">
        <v>17</v>
      </c>
      <c r="T131" s="162">
        <v>12</v>
      </c>
      <c r="U131" s="162">
        <v>12</v>
      </c>
      <c r="V131" s="162">
        <v>16</v>
      </c>
      <c r="W131" s="162">
        <v>22</v>
      </c>
      <c r="X131" s="162">
        <v>13</v>
      </c>
      <c r="Y131" s="162">
        <v>21</v>
      </c>
      <c r="Z131" s="162">
        <v>21</v>
      </c>
      <c r="AA131" s="162">
        <v>17</v>
      </c>
      <c r="AB131" s="162">
        <v>4</v>
      </c>
      <c r="AC131" s="162">
        <v>17</v>
      </c>
      <c r="AD131" s="162">
        <v>19</v>
      </c>
      <c r="AE131" s="162">
        <v>12</v>
      </c>
      <c r="AF131" s="161"/>
      <c r="AG131" s="64">
        <f t="shared" ref="AG131:AG145" si="19">SUM(B131:AF131)</f>
        <v>566</v>
      </c>
    </row>
    <row r="132" spans="1:35" ht="18.75" x14ac:dyDescent="0.25">
      <c r="A132" s="323" t="s">
        <v>69</v>
      </c>
      <c r="B132" s="249">
        <v>1</v>
      </c>
      <c r="C132" s="162">
        <v>9</v>
      </c>
      <c r="D132" s="162">
        <v>5</v>
      </c>
      <c r="E132" s="162">
        <v>4</v>
      </c>
      <c r="F132" s="162">
        <v>4</v>
      </c>
      <c r="G132" s="162">
        <v>4</v>
      </c>
      <c r="H132" s="162">
        <v>3</v>
      </c>
      <c r="I132" s="162">
        <v>3</v>
      </c>
      <c r="J132" s="162">
        <v>3</v>
      </c>
      <c r="K132" s="162">
        <v>2</v>
      </c>
      <c r="L132" s="162">
        <v>4</v>
      </c>
      <c r="M132" s="162">
        <v>3</v>
      </c>
      <c r="N132" s="162">
        <v>8</v>
      </c>
      <c r="O132" s="162">
        <v>4</v>
      </c>
      <c r="P132" s="162">
        <v>3</v>
      </c>
      <c r="Q132" s="162">
        <v>4</v>
      </c>
      <c r="R132" s="162">
        <v>2</v>
      </c>
      <c r="S132" s="162">
        <v>7</v>
      </c>
      <c r="T132" s="162">
        <v>4</v>
      </c>
      <c r="U132" s="162">
        <v>2</v>
      </c>
      <c r="V132" s="162">
        <v>4</v>
      </c>
      <c r="W132" s="162">
        <v>2</v>
      </c>
      <c r="X132" s="162">
        <v>2</v>
      </c>
      <c r="Y132" s="162">
        <v>2</v>
      </c>
      <c r="Z132" s="162">
        <v>1</v>
      </c>
      <c r="AA132" s="162">
        <v>1</v>
      </c>
      <c r="AB132" s="162">
        <v>1</v>
      </c>
      <c r="AC132" s="162">
        <v>5</v>
      </c>
      <c r="AD132" s="162">
        <v>2</v>
      </c>
      <c r="AE132" s="162">
        <v>3</v>
      </c>
      <c r="AF132" s="161"/>
      <c r="AG132" s="64">
        <f t="shared" si="19"/>
        <v>102</v>
      </c>
    </row>
    <row r="133" spans="1:35" ht="18.75" x14ac:dyDescent="0.25">
      <c r="A133" s="323" t="s">
        <v>68</v>
      </c>
      <c r="B133" s="249">
        <v>2</v>
      </c>
      <c r="C133" s="162">
        <v>3</v>
      </c>
      <c r="D133" s="162">
        <v>5</v>
      </c>
      <c r="E133" s="162">
        <v>5</v>
      </c>
      <c r="F133" s="162">
        <v>2</v>
      </c>
      <c r="G133" s="162">
        <v>3</v>
      </c>
      <c r="H133" s="162">
        <v>2</v>
      </c>
      <c r="I133" s="162">
        <v>3</v>
      </c>
      <c r="J133" s="162">
        <v>3</v>
      </c>
      <c r="K133" s="162">
        <v>6</v>
      </c>
      <c r="L133" s="162">
        <v>10</v>
      </c>
      <c r="M133" s="162">
        <v>3</v>
      </c>
      <c r="N133" s="162">
        <v>5</v>
      </c>
      <c r="O133" s="162">
        <v>2</v>
      </c>
      <c r="P133" s="162">
        <v>6</v>
      </c>
      <c r="Q133" s="162">
        <v>7</v>
      </c>
      <c r="R133" s="162">
        <v>5</v>
      </c>
      <c r="S133" s="162">
        <v>7</v>
      </c>
      <c r="T133" s="162">
        <v>1</v>
      </c>
      <c r="U133" s="162">
        <v>2</v>
      </c>
      <c r="V133" s="162">
        <v>3</v>
      </c>
      <c r="W133" s="162">
        <v>1</v>
      </c>
      <c r="X133" s="162">
        <v>1</v>
      </c>
      <c r="Y133" s="162">
        <v>4</v>
      </c>
      <c r="Z133" s="162">
        <v>1</v>
      </c>
      <c r="AA133" s="162">
        <v>2</v>
      </c>
      <c r="AB133" s="162">
        <v>5</v>
      </c>
      <c r="AC133" s="162">
        <v>4</v>
      </c>
      <c r="AD133" s="162">
        <v>3</v>
      </c>
      <c r="AE133" s="162">
        <v>3</v>
      </c>
      <c r="AF133" s="161"/>
      <c r="AG133" s="64">
        <f t="shared" si="19"/>
        <v>109</v>
      </c>
    </row>
    <row r="134" spans="1:35" ht="18.75" x14ac:dyDescent="0.25">
      <c r="A134" s="323" t="s">
        <v>66</v>
      </c>
      <c r="B134" s="249">
        <f>3+2</f>
        <v>5</v>
      </c>
      <c r="C134" s="162">
        <v>9</v>
      </c>
      <c r="D134" s="162">
        <v>1</v>
      </c>
      <c r="E134" s="162">
        <v>6</v>
      </c>
      <c r="F134" s="162">
        <f>3+2</f>
        <v>5</v>
      </c>
      <c r="G134" s="162">
        <f>4+1</f>
        <v>5</v>
      </c>
      <c r="H134" s="162">
        <f>1+3</f>
        <v>4</v>
      </c>
      <c r="I134" s="162">
        <f>1+2</f>
        <v>3</v>
      </c>
      <c r="J134" s="162">
        <f>3+1</f>
        <v>4</v>
      </c>
      <c r="K134" s="162">
        <f>1+4+5</f>
        <v>10</v>
      </c>
      <c r="L134" s="162">
        <f>6+3</f>
        <v>9</v>
      </c>
      <c r="M134" s="162">
        <f>4+3</f>
        <v>7</v>
      </c>
      <c r="N134" s="162">
        <f>4+4</f>
        <v>8</v>
      </c>
      <c r="O134" s="162">
        <f>6+2</f>
        <v>8</v>
      </c>
      <c r="P134" s="162">
        <f>1+3+2</f>
        <v>6</v>
      </c>
      <c r="Q134" s="162">
        <f>4+4</f>
        <v>8</v>
      </c>
      <c r="R134" s="162">
        <f>4+2</f>
        <v>6</v>
      </c>
      <c r="S134" s="162">
        <v>5</v>
      </c>
      <c r="T134" s="162">
        <v>3</v>
      </c>
      <c r="U134" s="162">
        <f>4+4</f>
        <v>8</v>
      </c>
      <c r="V134" s="162">
        <v>4</v>
      </c>
      <c r="W134" s="162">
        <f>3+3</f>
        <v>6</v>
      </c>
      <c r="X134" s="162">
        <f>4+8</f>
        <v>12</v>
      </c>
      <c r="Y134" s="162">
        <f>1+2</f>
        <v>3</v>
      </c>
      <c r="Z134" s="162">
        <f>5+1</f>
        <v>6</v>
      </c>
      <c r="AA134" s="162">
        <f>4+4</f>
        <v>8</v>
      </c>
      <c r="AB134" s="162">
        <v>3</v>
      </c>
      <c r="AC134" s="162">
        <f>1+3</f>
        <v>4</v>
      </c>
      <c r="AD134" s="162">
        <f>2+2</f>
        <v>4</v>
      </c>
      <c r="AE134" s="162"/>
      <c r="AF134" s="161"/>
      <c r="AG134" s="64">
        <f t="shared" si="19"/>
        <v>170</v>
      </c>
    </row>
    <row r="135" spans="1:35" ht="18.75" x14ac:dyDescent="0.25">
      <c r="A135" s="323" t="s">
        <v>65</v>
      </c>
      <c r="B135" s="249">
        <v>2</v>
      </c>
      <c r="C135" s="162">
        <v>7</v>
      </c>
      <c r="D135" s="162">
        <v>6</v>
      </c>
      <c r="E135" s="162">
        <v>5</v>
      </c>
      <c r="F135" s="162">
        <v>3</v>
      </c>
      <c r="G135" s="162">
        <v>5</v>
      </c>
      <c r="H135" s="162">
        <v>4</v>
      </c>
      <c r="I135" s="162"/>
      <c r="J135" s="162">
        <v>6</v>
      </c>
      <c r="K135" s="162">
        <v>3</v>
      </c>
      <c r="L135" s="162">
        <v>1</v>
      </c>
      <c r="M135" s="162">
        <v>5</v>
      </c>
      <c r="N135" s="162">
        <v>4</v>
      </c>
      <c r="O135" s="162">
        <v>3</v>
      </c>
      <c r="P135" s="162">
        <v>7</v>
      </c>
      <c r="Q135" s="162">
        <v>3</v>
      </c>
      <c r="R135" s="162">
        <v>7</v>
      </c>
      <c r="S135" s="162">
        <v>3</v>
      </c>
      <c r="T135" s="162">
        <v>3</v>
      </c>
      <c r="U135" s="162"/>
      <c r="V135" s="162">
        <v>6</v>
      </c>
      <c r="W135" s="162">
        <v>2</v>
      </c>
      <c r="X135" s="162">
        <v>2</v>
      </c>
      <c r="Y135" s="162">
        <v>3</v>
      </c>
      <c r="Z135" s="162">
        <v>5</v>
      </c>
      <c r="AA135" s="162">
        <v>3</v>
      </c>
      <c r="AB135" s="162">
        <v>4</v>
      </c>
      <c r="AC135" s="162">
        <v>6</v>
      </c>
      <c r="AD135" s="162">
        <v>6</v>
      </c>
      <c r="AE135" s="162">
        <v>4</v>
      </c>
      <c r="AF135" s="161"/>
      <c r="AG135" s="64">
        <f t="shared" si="19"/>
        <v>118</v>
      </c>
    </row>
    <row r="136" spans="1:35" ht="18.75" x14ac:dyDescent="0.25">
      <c r="A136" s="323" t="s">
        <v>64</v>
      </c>
      <c r="B136" s="249">
        <v>58</v>
      </c>
      <c r="C136" s="162">
        <v>69</v>
      </c>
      <c r="D136" s="162">
        <v>74</v>
      </c>
      <c r="E136" s="162">
        <v>58</v>
      </c>
      <c r="F136" s="162">
        <v>89</v>
      </c>
      <c r="G136" s="162">
        <v>76</v>
      </c>
      <c r="H136" s="162">
        <v>80</v>
      </c>
      <c r="I136" s="162">
        <v>81</v>
      </c>
      <c r="J136" s="162">
        <v>77</v>
      </c>
      <c r="K136" s="162">
        <v>72</v>
      </c>
      <c r="L136" s="162">
        <v>71</v>
      </c>
      <c r="M136" s="162">
        <v>102</v>
      </c>
      <c r="N136" s="162">
        <v>102</v>
      </c>
      <c r="O136" s="162">
        <v>71</v>
      </c>
      <c r="P136" s="162">
        <v>66</v>
      </c>
      <c r="Q136" s="162">
        <v>74</v>
      </c>
      <c r="R136" s="162">
        <v>50</v>
      </c>
      <c r="S136" s="162">
        <v>63</v>
      </c>
      <c r="T136" s="162">
        <v>113</v>
      </c>
      <c r="U136" s="162">
        <v>80</v>
      </c>
      <c r="V136" s="162">
        <v>51</v>
      </c>
      <c r="W136" s="162">
        <v>63</v>
      </c>
      <c r="X136" s="162">
        <v>81</v>
      </c>
      <c r="Y136" s="162">
        <v>62</v>
      </c>
      <c r="Z136" s="162">
        <v>66</v>
      </c>
      <c r="AA136" s="162">
        <v>94</v>
      </c>
      <c r="AB136" s="162">
        <v>83</v>
      </c>
      <c r="AC136" s="162">
        <v>65</v>
      </c>
      <c r="AD136" s="162">
        <v>68</v>
      </c>
      <c r="AE136" s="162">
        <v>41</v>
      </c>
      <c r="AF136" s="161"/>
      <c r="AG136" s="64">
        <f t="shared" si="19"/>
        <v>2200</v>
      </c>
    </row>
    <row r="137" spans="1:35" ht="18.75" x14ac:dyDescent="0.25">
      <c r="A137" s="323" t="s">
        <v>63</v>
      </c>
      <c r="B137" s="249">
        <v>4</v>
      </c>
      <c r="C137" s="162">
        <v>4</v>
      </c>
      <c r="D137" s="162">
        <v>2</v>
      </c>
      <c r="E137" s="162">
        <v>3</v>
      </c>
      <c r="F137" s="162">
        <v>5</v>
      </c>
      <c r="G137" s="162"/>
      <c r="H137" s="162">
        <f>2+1</f>
        <v>3</v>
      </c>
      <c r="I137" s="162">
        <v>1</v>
      </c>
      <c r="J137" s="162">
        <v>3</v>
      </c>
      <c r="K137" s="162">
        <v>2</v>
      </c>
      <c r="L137" s="162">
        <v>3</v>
      </c>
      <c r="M137" s="162">
        <v>2</v>
      </c>
      <c r="N137" s="162">
        <v>1</v>
      </c>
      <c r="O137" s="162">
        <v>5</v>
      </c>
      <c r="P137" s="162">
        <v>1</v>
      </c>
      <c r="Q137" s="162">
        <v>1</v>
      </c>
      <c r="R137" s="162">
        <f>4+1</f>
        <v>5</v>
      </c>
      <c r="S137" s="162">
        <f>3+1</f>
        <v>4</v>
      </c>
      <c r="T137" s="162">
        <v>2</v>
      </c>
      <c r="U137" s="162">
        <v>1</v>
      </c>
      <c r="V137" s="162">
        <v>1</v>
      </c>
      <c r="W137" s="162">
        <v>1</v>
      </c>
      <c r="X137" s="162"/>
      <c r="Y137" s="162">
        <f>2+1</f>
        <v>3</v>
      </c>
      <c r="Z137" s="162">
        <v>3</v>
      </c>
      <c r="AA137" s="162">
        <v>1</v>
      </c>
      <c r="AB137" s="162"/>
      <c r="AC137" s="162">
        <v>2</v>
      </c>
      <c r="AD137" s="162">
        <v>1</v>
      </c>
      <c r="AE137" s="162">
        <f>2+1</f>
        <v>3</v>
      </c>
      <c r="AF137" s="161"/>
      <c r="AG137" s="64">
        <f t="shared" si="19"/>
        <v>67</v>
      </c>
    </row>
    <row r="138" spans="1:35" ht="18.75" x14ac:dyDescent="0.25">
      <c r="A138" s="323" t="s">
        <v>62</v>
      </c>
      <c r="B138" s="249"/>
      <c r="C138" s="162">
        <v>2</v>
      </c>
      <c r="D138" s="162"/>
      <c r="E138" s="162">
        <v>1</v>
      </c>
      <c r="F138" s="162">
        <v>1</v>
      </c>
      <c r="G138" s="162">
        <v>1</v>
      </c>
      <c r="H138" s="162">
        <v>2</v>
      </c>
      <c r="I138" s="162">
        <v>1</v>
      </c>
      <c r="J138" s="162">
        <v>1</v>
      </c>
      <c r="K138" s="162"/>
      <c r="L138" s="162"/>
      <c r="M138" s="162">
        <v>1</v>
      </c>
      <c r="N138" s="162">
        <v>1</v>
      </c>
      <c r="O138" s="162">
        <v>2</v>
      </c>
      <c r="P138" s="162">
        <v>2</v>
      </c>
      <c r="Q138" s="162">
        <v>1</v>
      </c>
      <c r="R138" s="162"/>
      <c r="S138" s="162">
        <v>1</v>
      </c>
      <c r="T138" s="162">
        <v>1</v>
      </c>
      <c r="U138" s="162"/>
      <c r="V138" s="162">
        <v>1</v>
      </c>
      <c r="W138" s="162"/>
      <c r="X138" s="162">
        <v>2</v>
      </c>
      <c r="Y138" s="162"/>
      <c r="Z138" s="162"/>
      <c r="AA138" s="162"/>
      <c r="AB138" s="162"/>
      <c r="AC138" s="162">
        <v>2</v>
      </c>
      <c r="AD138" s="162"/>
      <c r="AE138" s="162">
        <v>1</v>
      </c>
      <c r="AF138" s="161"/>
      <c r="AG138" s="64">
        <f t="shared" si="19"/>
        <v>24</v>
      </c>
    </row>
    <row r="139" spans="1:35" ht="18.75" x14ac:dyDescent="0.25">
      <c r="A139" s="301" t="s">
        <v>60</v>
      </c>
      <c r="B139" s="249">
        <v>1</v>
      </c>
      <c r="C139" s="162">
        <v>1</v>
      </c>
      <c r="D139" s="162">
        <v>1</v>
      </c>
      <c r="E139" s="162"/>
      <c r="F139" s="162"/>
      <c r="G139" s="162"/>
      <c r="H139" s="162"/>
      <c r="I139" s="162">
        <v>1</v>
      </c>
      <c r="J139" s="162">
        <v>1</v>
      </c>
      <c r="K139" s="162">
        <v>1</v>
      </c>
      <c r="L139" s="162">
        <v>2</v>
      </c>
      <c r="M139" s="162"/>
      <c r="N139" s="162">
        <v>1</v>
      </c>
      <c r="O139" s="162"/>
      <c r="P139" s="162">
        <v>1</v>
      </c>
      <c r="Q139" s="162">
        <v>1</v>
      </c>
      <c r="R139" s="162">
        <v>2</v>
      </c>
      <c r="S139" s="162">
        <v>3</v>
      </c>
      <c r="T139" s="162">
        <v>1</v>
      </c>
      <c r="U139" s="162">
        <v>4</v>
      </c>
      <c r="V139" s="162">
        <v>1</v>
      </c>
      <c r="W139" s="162">
        <v>1</v>
      </c>
      <c r="X139" s="162">
        <v>1</v>
      </c>
      <c r="Y139" s="162">
        <v>2</v>
      </c>
      <c r="Z139" s="162">
        <v>2</v>
      </c>
      <c r="AA139" s="162">
        <v>1</v>
      </c>
      <c r="AB139" s="162"/>
      <c r="AC139" s="162">
        <v>2</v>
      </c>
      <c r="AD139" s="162">
        <v>1</v>
      </c>
      <c r="AE139" s="162">
        <v>1</v>
      </c>
      <c r="AF139" s="161"/>
      <c r="AG139" s="64">
        <f t="shared" si="19"/>
        <v>33</v>
      </c>
    </row>
    <row r="140" spans="1:35" ht="18.75" x14ac:dyDescent="0.25">
      <c r="A140" s="301" t="s">
        <v>59</v>
      </c>
      <c r="B140" s="249">
        <v>2</v>
      </c>
      <c r="C140" s="162">
        <v>1</v>
      </c>
      <c r="D140" s="162"/>
      <c r="E140" s="162">
        <v>2</v>
      </c>
      <c r="F140" s="162">
        <v>2</v>
      </c>
      <c r="G140" s="162"/>
      <c r="H140" s="162">
        <v>1</v>
      </c>
      <c r="I140" s="162">
        <v>1</v>
      </c>
      <c r="J140" s="162">
        <v>1</v>
      </c>
      <c r="K140" s="162">
        <v>1</v>
      </c>
      <c r="L140" s="162">
        <v>1</v>
      </c>
      <c r="M140" s="162"/>
      <c r="N140" s="162"/>
      <c r="O140" s="162"/>
      <c r="P140" s="162">
        <v>1</v>
      </c>
      <c r="Q140" s="162"/>
      <c r="R140" s="162">
        <v>1</v>
      </c>
      <c r="S140" s="162">
        <v>1</v>
      </c>
      <c r="T140" s="162">
        <v>1</v>
      </c>
      <c r="U140" s="162"/>
      <c r="V140" s="162"/>
      <c r="W140" s="162">
        <v>1</v>
      </c>
      <c r="X140" s="162"/>
      <c r="Y140" s="162"/>
      <c r="Z140" s="162">
        <v>1</v>
      </c>
      <c r="AA140" s="162"/>
      <c r="AB140" s="162"/>
      <c r="AC140" s="162">
        <v>2</v>
      </c>
      <c r="AD140" s="162">
        <v>2</v>
      </c>
      <c r="AE140" s="162"/>
      <c r="AF140" s="161"/>
      <c r="AG140" s="64">
        <f t="shared" si="19"/>
        <v>22</v>
      </c>
    </row>
    <row r="141" spans="1:35" ht="18.75" x14ac:dyDescent="0.25">
      <c r="A141" s="301" t="s">
        <v>58</v>
      </c>
      <c r="B141" s="249"/>
      <c r="C141" s="162"/>
      <c r="D141" s="162"/>
      <c r="E141" s="162"/>
      <c r="F141" s="162"/>
      <c r="G141" s="162"/>
      <c r="H141" s="162">
        <v>1</v>
      </c>
      <c r="I141" s="162"/>
      <c r="J141" s="162"/>
      <c r="K141" s="162"/>
      <c r="L141" s="162"/>
      <c r="M141" s="162"/>
      <c r="N141" s="162"/>
      <c r="O141" s="162"/>
      <c r="P141" s="162">
        <v>1</v>
      </c>
      <c r="Q141" s="162"/>
      <c r="R141" s="162"/>
      <c r="S141" s="162"/>
      <c r="T141" s="162">
        <v>1</v>
      </c>
      <c r="U141" s="162"/>
      <c r="V141" s="162"/>
      <c r="W141" s="162"/>
      <c r="X141" s="162"/>
      <c r="Y141" s="162"/>
      <c r="Z141" s="162"/>
      <c r="AA141" s="162"/>
      <c r="AB141" s="162"/>
      <c r="AC141" s="162"/>
      <c r="AD141" s="162"/>
      <c r="AE141" s="162"/>
      <c r="AF141" s="161"/>
      <c r="AG141" s="64">
        <f t="shared" si="19"/>
        <v>3</v>
      </c>
    </row>
    <row r="142" spans="1:35" ht="18.75" x14ac:dyDescent="0.25">
      <c r="A142" s="323" t="s">
        <v>88</v>
      </c>
      <c r="B142" s="249">
        <f>1+1+1+2+1+1+1</f>
        <v>8</v>
      </c>
      <c r="C142" s="162">
        <f>1+2+1+1+1+2+1</f>
        <v>9</v>
      </c>
      <c r="D142" s="162">
        <f>1+1+1+1</f>
        <v>4</v>
      </c>
      <c r="E142" s="162">
        <f>1+1+1</f>
        <v>3</v>
      </c>
      <c r="F142" s="162">
        <f>1+1+1+1+2+1+1+1</f>
        <v>9</v>
      </c>
      <c r="G142" s="162">
        <f>1+1+2</f>
        <v>4</v>
      </c>
      <c r="H142" s="162">
        <f>1+1</f>
        <v>2</v>
      </c>
      <c r="I142" s="162">
        <f>2+1+1+1</f>
        <v>5</v>
      </c>
      <c r="J142" s="162">
        <f>1</f>
        <v>1</v>
      </c>
      <c r="K142" s="162">
        <f>1+1+2</f>
        <v>4</v>
      </c>
      <c r="L142" s="162">
        <f>1+2</f>
        <v>3</v>
      </c>
      <c r="M142" s="162">
        <f>1+2+1+1+3+1</f>
        <v>9</v>
      </c>
      <c r="N142" s="162">
        <f>1+1+1</f>
        <v>3</v>
      </c>
      <c r="O142" s="162">
        <f>1+1+1</f>
        <v>3</v>
      </c>
      <c r="P142" s="162">
        <f>1+1+1+1+1+1+1</f>
        <v>7</v>
      </c>
      <c r="Q142" s="162">
        <f>1+1+1+1+2</f>
        <v>6</v>
      </c>
      <c r="R142" s="162">
        <f>1+1+1+1+1+7</f>
        <v>12</v>
      </c>
      <c r="S142" s="162">
        <f>1+1+1</f>
        <v>3</v>
      </c>
      <c r="T142" s="162">
        <v>5</v>
      </c>
      <c r="U142" s="162">
        <f>1+1+1+4</f>
        <v>7</v>
      </c>
      <c r="V142" s="162">
        <f>1+1+1+1+1+1</f>
        <v>6</v>
      </c>
      <c r="W142" s="162">
        <f>1+1+1</f>
        <v>3</v>
      </c>
      <c r="X142" s="162">
        <f>1+1+1+1</f>
        <v>4</v>
      </c>
      <c r="Y142" s="162">
        <f>1+2+1+1</f>
        <v>5</v>
      </c>
      <c r="Z142" s="162">
        <f>1+1+1+3</f>
        <v>6</v>
      </c>
      <c r="AA142" s="162">
        <f>1+1+1</f>
        <v>3</v>
      </c>
      <c r="AB142" s="162">
        <v>1</v>
      </c>
      <c r="AC142" s="162">
        <f>1+1+1+1+1</f>
        <v>5</v>
      </c>
      <c r="AD142" s="162">
        <f>1+2+1+1+2</f>
        <v>7</v>
      </c>
      <c r="AE142" s="162">
        <f>1+3+1+1+1</f>
        <v>7</v>
      </c>
      <c r="AF142" s="161"/>
      <c r="AG142" s="64">
        <f t="shared" si="19"/>
        <v>154</v>
      </c>
    </row>
    <row r="143" spans="1:35" ht="19.5" thickBot="1" x14ac:dyDescent="0.3">
      <c r="A143" s="324" t="s">
        <v>87</v>
      </c>
      <c r="B143" s="263">
        <f>9+6</f>
        <v>15</v>
      </c>
      <c r="C143" s="140">
        <f>6+3</f>
        <v>9</v>
      </c>
      <c r="D143" s="140">
        <f>6+3</f>
        <v>9</v>
      </c>
      <c r="E143" s="140">
        <f>10+1+4</f>
        <v>15</v>
      </c>
      <c r="F143" s="140">
        <f>12+1+2</f>
        <v>15</v>
      </c>
      <c r="G143" s="140">
        <f>3+2</f>
        <v>5</v>
      </c>
      <c r="H143" s="140">
        <v>11</v>
      </c>
      <c r="I143" s="140">
        <f>6+3</f>
        <v>9</v>
      </c>
      <c r="J143" s="140">
        <f>9+1</f>
        <v>10</v>
      </c>
      <c r="K143" s="140">
        <f>11+4</f>
        <v>15</v>
      </c>
      <c r="L143" s="140">
        <f>5+2</f>
        <v>7</v>
      </c>
      <c r="M143" s="140">
        <f>7+1</f>
        <v>8</v>
      </c>
      <c r="N143" s="140">
        <f>6+4</f>
        <v>10</v>
      </c>
      <c r="O143" s="140">
        <f>9+1</f>
        <v>10</v>
      </c>
      <c r="P143" s="140">
        <f>16+3</f>
        <v>19</v>
      </c>
      <c r="Q143" s="140">
        <f>10+2+1</f>
        <v>13</v>
      </c>
      <c r="R143" s="140">
        <f>8+2</f>
        <v>10</v>
      </c>
      <c r="S143" s="140">
        <f>8+4</f>
        <v>12</v>
      </c>
      <c r="T143" s="140">
        <v>9</v>
      </c>
      <c r="U143" s="140">
        <f>10+1</f>
        <v>11</v>
      </c>
      <c r="V143" s="140">
        <f>5+1</f>
        <v>6</v>
      </c>
      <c r="W143" s="140">
        <f>4+1</f>
        <v>5</v>
      </c>
      <c r="X143" s="140">
        <f>4+1+2</f>
        <v>7</v>
      </c>
      <c r="Y143" s="140">
        <f>7+1+7</f>
        <v>15</v>
      </c>
      <c r="Z143" s="140">
        <f>6+6</f>
        <v>12</v>
      </c>
      <c r="AA143" s="140">
        <f>5+2</f>
        <v>7</v>
      </c>
      <c r="AB143" s="140">
        <f>4+1</f>
        <v>5</v>
      </c>
      <c r="AC143" s="140">
        <f>10+2</f>
        <v>12</v>
      </c>
      <c r="AD143" s="140">
        <f>8+1+3</f>
        <v>12</v>
      </c>
      <c r="AE143" s="140">
        <f>7+1</f>
        <v>8</v>
      </c>
      <c r="AF143" s="139"/>
      <c r="AG143" s="160">
        <f t="shared" si="19"/>
        <v>311</v>
      </c>
    </row>
    <row r="144" spans="1:35" ht="19.5" thickBot="1" x14ac:dyDescent="0.3">
      <c r="A144" s="309" t="s">
        <v>86</v>
      </c>
      <c r="B144" s="257">
        <f t="shared" ref="B144:AF144" si="20">+B146+B156+B158+B167</f>
        <v>117</v>
      </c>
      <c r="C144" s="158">
        <f t="shared" si="20"/>
        <v>153</v>
      </c>
      <c r="D144" s="158">
        <f t="shared" si="20"/>
        <v>133</v>
      </c>
      <c r="E144" s="158">
        <f t="shared" si="20"/>
        <v>127</v>
      </c>
      <c r="F144" s="158">
        <f t="shared" si="20"/>
        <v>149</v>
      </c>
      <c r="G144" s="158">
        <f t="shared" si="20"/>
        <v>125</v>
      </c>
      <c r="H144" s="158">
        <f t="shared" si="20"/>
        <v>130</v>
      </c>
      <c r="I144" s="158">
        <f t="shared" si="20"/>
        <v>124</v>
      </c>
      <c r="J144" s="158">
        <f t="shared" si="20"/>
        <v>130</v>
      </c>
      <c r="K144" s="158">
        <f t="shared" si="20"/>
        <v>148</v>
      </c>
      <c r="L144" s="158">
        <f t="shared" si="20"/>
        <v>141</v>
      </c>
      <c r="M144" s="158">
        <f t="shared" si="20"/>
        <v>145</v>
      </c>
      <c r="N144" s="158">
        <f t="shared" si="20"/>
        <v>156</v>
      </c>
      <c r="O144" s="158">
        <f t="shared" si="20"/>
        <v>138</v>
      </c>
      <c r="P144" s="158">
        <f t="shared" si="20"/>
        <v>133</v>
      </c>
      <c r="Q144" s="158">
        <f t="shared" si="20"/>
        <v>145</v>
      </c>
      <c r="R144" s="158">
        <f t="shared" si="20"/>
        <v>124</v>
      </c>
      <c r="S144" s="158">
        <f t="shared" si="20"/>
        <v>126</v>
      </c>
      <c r="T144" s="158">
        <f t="shared" si="20"/>
        <v>156</v>
      </c>
      <c r="U144" s="158">
        <f t="shared" si="20"/>
        <v>127</v>
      </c>
      <c r="V144" s="158">
        <f t="shared" si="20"/>
        <v>99</v>
      </c>
      <c r="W144" s="158">
        <f t="shared" si="20"/>
        <v>107</v>
      </c>
      <c r="X144" s="158">
        <f t="shared" si="20"/>
        <v>125</v>
      </c>
      <c r="Y144" s="158">
        <f t="shared" si="20"/>
        <v>120</v>
      </c>
      <c r="Z144" s="158">
        <f t="shared" si="20"/>
        <v>124</v>
      </c>
      <c r="AA144" s="158">
        <f t="shared" si="20"/>
        <v>137</v>
      </c>
      <c r="AB144" s="158">
        <f t="shared" si="20"/>
        <v>106</v>
      </c>
      <c r="AC144" s="158">
        <f t="shared" si="20"/>
        <v>126</v>
      </c>
      <c r="AD144" s="158">
        <f t="shared" si="20"/>
        <v>125</v>
      </c>
      <c r="AE144" s="158">
        <f t="shared" si="20"/>
        <v>83</v>
      </c>
      <c r="AF144" s="158">
        <f t="shared" si="20"/>
        <v>0</v>
      </c>
      <c r="AG144" s="157">
        <f t="shared" si="19"/>
        <v>3879</v>
      </c>
      <c r="AH144" s="85" t="str">
        <f>IF(AG144&lt;&gt;AG93,"*","")</f>
        <v/>
      </c>
      <c r="AI144" t="s">
        <v>85</v>
      </c>
    </row>
    <row r="145" spans="1:34" ht="19.5" thickBot="1" x14ac:dyDescent="0.3">
      <c r="A145" s="325" t="s">
        <v>84</v>
      </c>
      <c r="B145" s="264">
        <f t="shared" ref="B145:AF145" si="21">+B149+B155+B157+B172</f>
        <v>9</v>
      </c>
      <c r="C145" s="155">
        <f t="shared" si="21"/>
        <v>6</v>
      </c>
      <c r="D145" s="155">
        <f t="shared" si="21"/>
        <v>5</v>
      </c>
      <c r="E145" s="155">
        <f t="shared" si="21"/>
        <v>5</v>
      </c>
      <c r="F145" s="155">
        <f t="shared" si="21"/>
        <v>7</v>
      </c>
      <c r="G145" s="155">
        <f t="shared" si="21"/>
        <v>6</v>
      </c>
      <c r="H145" s="155">
        <f t="shared" si="21"/>
        <v>7</v>
      </c>
      <c r="I145" s="155">
        <f t="shared" si="21"/>
        <v>2</v>
      </c>
      <c r="J145" s="155">
        <f t="shared" si="21"/>
        <v>5</v>
      </c>
      <c r="K145" s="155">
        <f t="shared" si="21"/>
        <v>5</v>
      </c>
      <c r="L145" s="155">
        <f t="shared" si="21"/>
        <v>2</v>
      </c>
      <c r="M145" s="155">
        <f t="shared" si="21"/>
        <v>10</v>
      </c>
      <c r="N145" s="155">
        <f t="shared" si="21"/>
        <v>13</v>
      </c>
      <c r="O145" s="155">
        <f t="shared" si="21"/>
        <v>16</v>
      </c>
      <c r="P145" s="155">
        <f t="shared" si="21"/>
        <v>13</v>
      </c>
      <c r="Q145" s="155">
        <f t="shared" si="21"/>
        <v>8</v>
      </c>
      <c r="R145" s="155">
        <f t="shared" si="21"/>
        <v>5</v>
      </c>
      <c r="S145" s="155">
        <f t="shared" si="21"/>
        <v>5</v>
      </c>
      <c r="T145" s="155">
        <f t="shared" si="21"/>
        <v>12</v>
      </c>
      <c r="U145" s="155">
        <f t="shared" si="21"/>
        <v>2</v>
      </c>
      <c r="V145" s="155">
        <f t="shared" si="21"/>
        <v>2</v>
      </c>
      <c r="W145" s="155">
        <f t="shared" si="21"/>
        <v>5</v>
      </c>
      <c r="X145" s="155">
        <f t="shared" si="21"/>
        <v>9</v>
      </c>
      <c r="Y145" s="155">
        <f t="shared" si="21"/>
        <v>7</v>
      </c>
      <c r="Z145" s="155">
        <f t="shared" si="21"/>
        <v>20</v>
      </c>
      <c r="AA145" s="155">
        <f t="shared" si="21"/>
        <v>14</v>
      </c>
      <c r="AB145" s="155">
        <f t="shared" si="21"/>
        <v>8</v>
      </c>
      <c r="AC145" s="155">
        <f t="shared" si="21"/>
        <v>9</v>
      </c>
      <c r="AD145" s="155">
        <f t="shared" si="21"/>
        <v>13</v>
      </c>
      <c r="AE145" s="155">
        <f t="shared" si="21"/>
        <v>5</v>
      </c>
      <c r="AF145" s="154">
        <f t="shared" si="21"/>
        <v>0</v>
      </c>
      <c r="AG145" s="153">
        <f t="shared" si="19"/>
        <v>235</v>
      </c>
      <c r="AH145" s="152"/>
    </row>
    <row r="146" spans="1:34" ht="19.5" thickBot="1" x14ac:dyDescent="0.3">
      <c r="A146" s="326" t="s">
        <v>83</v>
      </c>
      <c r="B146" s="265">
        <f t="shared" ref="B146:AG147" si="22">+B148+B154</f>
        <v>0</v>
      </c>
      <c r="C146" s="8">
        <f t="shared" si="22"/>
        <v>0</v>
      </c>
      <c r="D146" s="8">
        <f t="shared" si="22"/>
        <v>0</v>
      </c>
      <c r="E146" s="8">
        <f t="shared" si="22"/>
        <v>0</v>
      </c>
      <c r="F146" s="8">
        <f t="shared" si="22"/>
        <v>0</v>
      </c>
      <c r="G146" s="8">
        <f t="shared" si="22"/>
        <v>0</v>
      </c>
      <c r="H146" s="8">
        <f t="shared" si="22"/>
        <v>0</v>
      </c>
      <c r="I146" s="8">
        <f t="shared" si="22"/>
        <v>0</v>
      </c>
      <c r="J146" s="8">
        <f t="shared" si="22"/>
        <v>0</v>
      </c>
      <c r="K146" s="8">
        <f t="shared" si="22"/>
        <v>0</v>
      </c>
      <c r="L146" s="8">
        <f t="shared" si="22"/>
        <v>0</v>
      </c>
      <c r="M146" s="8">
        <f t="shared" si="22"/>
        <v>0</v>
      </c>
      <c r="N146" s="8">
        <f t="shared" si="22"/>
        <v>0</v>
      </c>
      <c r="O146" s="8">
        <f t="shared" si="22"/>
        <v>0</v>
      </c>
      <c r="P146" s="8">
        <f t="shared" si="22"/>
        <v>0</v>
      </c>
      <c r="Q146" s="8">
        <f t="shared" si="22"/>
        <v>0</v>
      </c>
      <c r="R146" s="8">
        <f t="shared" si="22"/>
        <v>0</v>
      </c>
      <c r="S146" s="8">
        <f t="shared" si="22"/>
        <v>0</v>
      </c>
      <c r="T146" s="8">
        <f t="shared" si="22"/>
        <v>0</v>
      </c>
      <c r="U146" s="8">
        <f t="shared" si="22"/>
        <v>0</v>
      </c>
      <c r="V146" s="8">
        <f t="shared" si="22"/>
        <v>0</v>
      </c>
      <c r="W146" s="8">
        <f t="shared" si="22"/>
        <v>0</v>
      </c>
      <c r="X146" s="8">
        <f t="shared" si="22"/>
        <v>0</v>
      </c>
      <c r="Y146" s="8">
        <f t="shared" si="22"/>
        <v>0</v>
      </c>
      <c r="Z146" s="8">
        <f t="shared" si="22"/>
        <v>0</v>
      </c>
      <c r="AA146" s="8">
        <f t="shared" si="22"/>
        <v>0</v>
      </c>
      <c r="AB146" s="8">
        <f t="shared" si="22"/>
        <v>0</v>
      </c>
      <c r="AC146" s="8">
        <f t="shared" si="22"/>
        <v>0</v>
      </c>
      <c r="AD146" s="8">
        <f t="shared" si="22"/>
        <v>0</v>
      </c>
      <c r="AE146" s="8">
        <f t="shared" si="22"/>
        <v>0</v>
      </c>
      <c r="AF146" s="150">
        <f t="shared" si="22"/>
        <v>0</v>
      </c>
      <c r="AG146" s="149">
        <f t="shared" si="22"/>
        <v>0</v>
      </c>
    </row>
    <row r="147" spans="1:34" ht="19.5" thickBot="1" x14ac:dyDescent="0.3">
      <c r="A147" s="327" t="s">
        <v>82</v>
      </c>
      <c r="B147" s="266">
        <f t="shared" si="22"/>
        <v>0</v>
      </c>
      <c r="C147" s="143">
        <f t="shared" si="22"/>
        <v>0</v>
      </c>
      <c r="D147" s="143">
        <f t="shared" si="22"/>
        <v>0</v>
      </c>
      <c r="E147" s="143">
        <f t="shared" si="22"/>
        <v>0</v>
      </c>
      <c r="F147" s="143">
        <f t="shared" si="22"/>
        <v>0</v>
      </c>
      <c r="G147" s="143">
        <f t="shared" si="22"/>
        <v>0</v>
      </c>
      <c r="H147" s="143">
        <f t="shared" si="22"/>
        <v>0</v>
      </c>
      <c r="I147" s="143">
        <f t="shared" si="22"/>
        <v>0</v>
      </c>
      <c r="J147" s="143">
        <f t="shared" si="22"/>
        <v>0</v>
      </c>
      <c r="K147" s="143">
        <f t="shared" si="22"/>
        <v>0</v>
      </c>
      <c r="L147" s="143">
        <f t="shared" si="22"/>
        <v>0</v>
      </c>
      <c r="M147" s="143">
        <f t="shared" si="22"/>
        <v>0</v>
      </c>
      <c r="N147" s="143">
        <f t="shared" si="22"/>
        <v>0</v>
      </c>
      <c r="O147" s="143">
        <f t="shared" si="22"/>
        <v>0</v>
      </c>
      <c r="P147" s="143">
        <f t="shared" si="22"/>
        <v>0</v>
      </c>
      <c r="Q147" s="143">
        <f t="shared" si="22"/>
        <v>0</v>
      </c>
      <c r="R147" s="143">
        <f t="shared" si="22"/>
        <v>0</v>
      </c>
      <c r="S147" s="143">
        <f t="shared" si="22"/>
        <v>0</v>
      </c>
      <c r="T147" s="143">
        <f t="shared" si="22"/>
        <v>0</v>
      </c>
      <c r="U147" s="143">
        <f t="shared" si="22"/>
        <v>0</v>
      </c>
      <c r="V147" s="143">
        <f t="shared" si="22"/>
        <v>0</v>
      </c>
      <c r="W147" s="143">
        <f t="shared" si="22"/>
        <v>0</v>
      </c>
      <c r="X147" s="143">
        <f t="shared" si="22"/>
        <v>0</v>
      </c>
      <c r="Y147" s="143">
        <f t="shared" si="22"/>
        <v>0</v>
      </c>
      <c r="Z147" s="143">
        <f t="shared" si="22"/>
        <v>0</v>
      </c>
      <c r="AA147" s="143">
        <f t="shared" si="22"/>
        <v>0</v>
      </c>
      <c r="AB147" s="143">
        <f t="shared" si="22"/>
        <v>0</v>
      </c>
      <c r="AC147" s="143">
        <f t="shared" si="22"/>
        <v>0</v>
      </c>
      <c r="AD147" s="143">
        <f t="shared" si="22"/>
        <v>0</v>
      </c>
      <c r="AE147" s="143">
        <f t="shared" si="22"/>
        <v>0</v>
      </c>
      <c r="AF147" s="142"/>
      <c r="AG147" s="86">
        <f t="shared" ref="AG147:AG178" si="23">SUM(B147:AF147)</f>
        <v>0</v>
      </c>
    </row>
    <row r="148" spans="1:34" ht="19.5" thickBot="1" x14ac:dyDescent="0.3">
      <c r="A148" s="328" t="s">
        <v>81</v>
      </c>
      <c r="B148" s="267">
        <f t="shared" ref="B148:AF148" si="24">SUM(B150:B153)</f>
        <v>0</v>
      </c>
      <c r="C148" s="147">
        <f t="shared" si="24"/>
        <v>0</v>
      </c>
      <c r="D148" s="147">
        <f t="shared" si="24"/>
        <v>0</v>
      </c>
      <c r="E148" s="147">
        <f t="shared" si="24"/>
        <v>0</v>
      </c>
      <c r="F148" s="147">
        <f t="shared" si="24"/>
        <v>0</v>
      </c>
      <c r="G148" s="147">
        <f t="shared" si="24"/>
        <v>0</v>
      </c>
      <c r="H148" s="147">
        <f t="shared" si="24"/>
        <v>0</v>
      </c>
      <c r="I148" s="147">
        <f t="shared" si="24"/>
        <v>0</v>
      </c>
      <c r="J148" s="147">
        <f t="shared" si="24"/>
        <v>0</v>
      </c>
      <c r="K148" s="147">
        <f t="shared" si="24"/>
        <v>0</v>
      </c>
      <c r="L148" s="147">
        <f t="shared" si="24"/>
        <v>0</v>
      </c>
      <c r="M148" s="147">
        <f t="shared" si="24"/>
        <v>0</v>
      </c>
      <c r="N148" s="147">
        <f t="shared" si="24"/>
        <v>0</v>
      </c>
      <c r="O148" s="147">
        <f t="shared" si="24"/>
        <v>0</v>
      </c>
      <c r="P148" s="147">
        <f t="shared" si="24"/>
        <v>0</v>
      </c>
      <c r="Q148" s="147">
        <f t="shared" si="24"/>
        <v>0</v>
      </c>
      <c r="R148" s="147">
        <f t="shared" si="24"/>
        <v>0</v>
      </c>
      <c r="S148" s="147">
        <f t="shared" si="24"/>
        <v>0</v>
      </c>
      <c r="T148" s="147">
        <f t="shared" si="24"/>
        <v>0</v>
      </c>
      <c r="U148" s="147">
        <f t="shared" si="24"/>
        <v>0</v>
      </c>
      <c r="V148" s="147">
        <f t="shared" si="24"/>
        <v>0</v>
      </c>
      <c r="W148" s="147">
        <f t="shared" si="24"/>
        <v>0</v>
      </c>
      <c r="X148" s="147">
        <f t="shared" si="24"/>
        <v>0</v>
      </c>
      <c r="Y148" s="147">
        <f t="shared" si="24"/>
        <v>0</v>
      </c>
      <c r="Z148" s="147">
        <f t="shared" si="24"/>
        <v>0</v>
      </c>
      <c r="AA148" s="147">
        <f t="shared" si="24"/>
        <v>0</v>
      </c>
      <c r="AB148" s="147">
        <f t="shared" si="24"/>
        <v>0</v>
      </c>
      <c r="AC148" s="147">
        <f t="shared" si="24"/>
        <v>0</v>
      </c>
      <c r="AD148" s="147">
        <f t="shared" si="24"/>
        <v>0</v>
      </c>
      <c r="AE148" s="147">
        <f t="shared" si="24"/>
        <v>0</v>
      </c>
      <c r="AF148" s="146">
        <f t="shared" si="24"/>
        <v>0</v>
      </c>
      <c r="AG148" s="145">
        <f t="shared" si="23"/>
        <v>0</v>
      </c>
    </row>
    <row r="149" spans="1:34" ht="19.5" thickBot="1" x14ac:dyDescent="0.3">
      <c r="A149" s="327" t="s">
        <v>80</v>
      </c>
      <c r="B149" s="266"/>
      <c r="C149" s="143"/>
      <c r="D149" s="143"/>
      <c r="E149" s="143"/>
      <c r="F149" s="143"/>
      <c r="G149" s="143"/>
      <c r="H149" s="143"/>
      <c r="I149" s="143"/>
      <c r="J149" s="143"/>
      <c r="K149" s="143"/>
      <c r="L149" s="143"/>
      <c r="M149" s="143"/>
      <c r="N149" s="143"/>
      <c r="O149" s="143"/>
      <c r="P149" s="143"/>
      <c r="Q149" s="143"/>
      <c r="R149" s="143"/>
      <c r="S149" s="143"/>
      <c r="T149" s="143"/>
      <c r="U149" s="143"/>
      <c r="V149" s="143"/>
      <c r="W149" s="143"/>
      <c r="X149" s="143"/>
      <c r="Y149" s="143"/>
      <c r="Z149" s="143"/>
      <c r="AA149" s="143"/>
      <c r="AB149" s="143"/>
      <c r="AC149" s="143"/>
      <c r="AD149" s="143"/>
      <c r="AE149" s="143"/>
      <c r="AF149" s="142"/>
      <c r="AG149" s="86">
        <f t="shared" si="23"/>
        <v>0</v>
      </c>
    </row>
    <row r="150" spans="1:34" ht="18.75" x14ac:dyDescent="0.25">
      <c r="A150" s="329" t="s">
        <v>79</v>
      </c>
      <c r="B150" s="268"/>
      <c r="C150" s="136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5"/>
      <c r="AG150" s="134">
        <f t="shared" si="23"/>
        <v>0</v>
      </c>
    </row>
    <row r="151" spans="1:34" ht="18.75" x14ac:dyDescent="0.25">
      <c r="A151" s="330" t="s">
        <v>78</v>
      </c>
      <c r="B151" s="269"/>
      <c r="C151" s="130"/>
      <c r="D151" s="130"/>
      <c r="E151" s="130"/>
      <c r="F151" s="130"/>
      <c r="G151" s="130"/>
      <c r="H151" s="130"/>
      <c r="I151" s="130"/>
      <c r="J151" s="130"/>
      <c r="K151" s="130"/>
      <c r="L151" s="130"/>
      <c r="M151" s="130"/>
      <c r="N151" s="130"/>
      <c r="O151" s="130"/>
      <c r="P151" s="130"/>
      <c r="Q151" s="130"/>
      <c r="R151" s="130"/>
      <c r="S151" s="130"/>
      <c r="T151" s="130"/>
      <c r="U151" s="130"/>
      <c r="V151" s="130"/>
      <c r="W151" s="130"/>
      <c r="X151" s="130"/>
      <c r="Y151" s="130"/>
      <c r="Z151" s="130"/>
      <c r="AA151" s="130"/>
      <c r="AB151" s="130"/>
      <c r="AC151" s="130"/>
      <c r="AD151" s="130"/>
      <c r="AE151" s="130"/>
      <c r="AF151" s="129"/>
      <c r="AG151" s="64">
        <f t="shared" si="23"/>
        <v>0</v>
      </c>
    </row>
    <row r="152" spans="1:34" ht="18.75" x14ac:dyDescent="0.25">
      <c r="A152" s="330" t="s">
        <v>77</v>
      </c>
      <c r="B152" s="269"/>
      <c r="C152" s="130"/>
      <c r="D152" s="130"/>
      <c r="E152" s="130"/>
      <c r="F152" s="130"/>
      <c r="G152" s="130"/>
      <c r="H152" s="130"/>
      <c r="I152" s="130"/>
      <c r="J152" s="130"/>
      <c r="K152" s="130"/>
      <c r="L152" s="130"/>
      <c r="M152" s="130"/>
      <c r="N152" s="130"/>
      <c r="O152" s="130"/>
      <c r="P152" s="130"/>
      <c r="Q152" s="130"/>
      <c r="R152" s="130"/>
      <c r="S152" s="130"/>
      <c r="T152" s="130"/>
      <c r="U152" s="130"/>
      <c r="V152" s="130"/>
      <c r="W152" s="130"/>
      <c r="X152" s="130"/>
      <c r="Y152" s="130"/>
      <c r="Z152" s="130"/>
      <c r="AA152" s="130"/>
      <c r="AB152" s="130"/>
      <c r="AC152" s="130"/>
      <c r="AD152" s="130"/>
      <c r="AE152" s="130"/>
      <c r="AF152" s="129"/>
      <c r="AG152" s="64">
        <f t="shared" si="23"/>
        <v>0</v>
      </c>
    </row>
    <row r="153" spans="1:34" ht="19.5" thickBot="1" x14ac:dyDescent="0.3">
      <c r="A153" s="331" t="s">
        <v>76</v>
      </c>
      <c r="B153" s="270"/>
      <c r="C153" s="127"/>
      <c r="D153" s="127"/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  <c r="Y153" s="127"/>
      <c r="Z153" s="127"/>
      <c r="AA153" s="127"/>
      <c r="AB153" s="127"/>
      <c r="AC153" s="127"/>
      <c r="AD153" s="127"/>
      <c r="AE153" s="127"/>
      <c r="AF153" s="126"/>
      <c r="AG153" s="10">
        <f t="shared" si="23"/>
        <v>0</v>
      </c>
    </row>
    <row r="154" spans="1:34" ht="19.5" thickBot="1" x14ac:dyDescent="0.3">
      <c r="A154" s="328" t="s">
        <v>75</v>
      </c>
      <c r="B154" s="267"/>
      <c r="C154" s="147"/>
      <c r="D154" s="147"/>
      <c r="E154" s="147"/>
      <c r="F154" s="147"/>
      <c r="G154" s="147"/>
      <c r="H154" s="147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  <c r="AA154" s="147"/>
      <c r="AB154" s="147"/>
      <c r="AC154" s="147"/>
      <c r="AD154" s="147"/>
      <c r="AE154" s="147"/>
      <c r="AF154" s="146"/>
      <c r="AG154" s="145">
        <f t="shared" si="23"/>
        <v>0</v>
      </c>
    </row>
    <row r="155" spans="1:34" ht="19.5" thickBot="1" x14ac:dyDescent="0.3">
      <c r="A155" s="327" t="s">
        <v>74</v>
      </c>
      <c r="B155" s="266"/>
      <c r="C155" s="143"/>
      <c r="D155" s="143"/>
      <c r="E155" s="143"/>
      <c r="F155" s="143"/>
      <c r="G155" s="143"/>
      <c r="H155" s="143"/>
      <c r="I155" s="143"/>
      <c r="J155" s="143"/>
      <c r="K155" s="143"/>
      <c r="L155" s="143"/>
      <c r="M155" s="143"/>
      <c r="N155" s="143"/>
      <c r="O155" s="143"/>
      <c r="P155" s="143"/>
      <c r="Q155" s="143"/>
      <c r="R155" s="143"/>
      <c r="S155" s="143"/>
      <c r="T155" s="143"/>
      <c r="U155" s="143"/>
      <c r="V155" s="143"/>
      <c r="W155" s="143"/>
      <c r="X155" s="143"/>
      <c r="Y155" s="143"/>
      <c r="Z155" s="143"/>
      <c r="AA155" s="143"/>
      <c r="AB155" s="143"/>
      <c r="AC155" s="143"/>
      <c r="AD155" s="143"/>
      <c r="AE155" s="143"/>
      <c r="AF155" s="142"/>
      <c r="AG155" s="86">
        <f t="shared" si="23"/>
        <v>0</v>
      </c>
    </row>
    <row r="156" spans="1:34" ht="18.75" x14ac:dyDescent="0.25">
      <c r="A156" s="332" t="s">
        <v>73</v>
      </c>
      <c r="B156" s="271">
        <v>117</v>
      </c>
      <c r="C156" s="18">
        <v>153</v>
      </c>
      <c r="D156" s="18">
        <v>133</v>
      </c>
      <c r="E156" s="18">
        <v>127</v>
      </c>
      <c r="F156" s="18">
        <v>149</v>
      </c>
      <c r="G156" s="18">
        <v>125</v>
      </c>
      <c r="H156" s="18">
        <v>129</v>
      </c>
      <c r="I156" s="18">
        <v>124</v>
      </c>
      <c r="J156" s="18">
        <v>130</v>
      </c>
      <c r="K156" s="18">
        <v>148</v>
      </c>
      <c r="L156" s="18">
        <v>140</v>
      </c>
      <c r="M156" s="18">
        <v>145</v>
      </c>
      <c r="N156" s="18">
        <v>156</v>
      </c>
      <c r="O156" s="18">
        <v>138</v>
      </c>
      <c r="P156" s="18">
        <v>133</v>
      </c>
      <c r="Q156" s="18">
        <v>145</v>
      </c>
      <c r="R156" s="18">
        <v>123</v>
      </c>
      <c r="S156" s="18">
        <v>126</v>
      </c>
      <c r="T156" s="18">
        <v>154</v>
      </c>
      <c r="U156" s="18">
        <v>127</v>
      </c>
      <c r="V156" s="18">
        <v>98</v>
      </c>
      <c r="W156" s="18">
        <v>107</v>
      </c>
      <c r="X156" s="18">
        <v>125</v>
      </c>
      <c r="Y156" s="18">
        <v>120</v>
      </c>
      <c r="Z156" s="18">
        <v>124</v>
      </c>
      <c r="AA156" s="18">
        <v>137</v>
      </c>
      <c r="AB156" s="18">
        <v>105</v>
      </c>
      <c r="AC156" s="18">
        <v>125</v>
      </c>
      <c r="AD156" s="18">
        <v>125</v>
      </c>
      <c r="AE156" s="18">
        <v>83</v>
      </c>
      <c r="AF156" s="17"/>
      <c r="AG156" s="7">
        <f t="shared" si="23"/>
        <v>3871</v>
      </c>
      <c r="AH156" s="98" t="s">
        <v>72</v>
      </c>
    </row>
    <row r="157" spans="1:34" ht="19.5" thickBot="1" x14ac:dyDescent="0.3">
      <c r="A157" s="324" t="s">
        <v>71</v>
      </c>
      <c r="B157" s="263">
        <v>9</v>
      </c>
      <c r="C157" s="140">
        <v>6</v>
      </c>
      <c r="D157" s="140">
        <v>5</v>
      </c>
      <c r="E157" s="140">
        <v>5</v>
      </c>
      <c r="F157" s="140">
        <v>7</v>
      </c>
      <c r="G157" s="140">
        <v>6</v>
      </c>
      <c r="H157" s="140">
        <v>7</v>
      </c>
      <c r="I157" s="140">
        <v>2</v>
      </c>
      <c r="J157" s="140">
        <v>5</v>
      </c>
      <c r="K157" s="140">
        <v>5</v>
      </c>
      <c r="L157" s="140">
        <v>2</v>
      </c>
      <c r="M157" s="140">
        <v>10</v>
      </c>
      <c r="N157" s="140">
        <v>13</v>
      </c>
      <c r="O157" s="140">
        <v>15</v>
      </c>
      <c r="P157" s="140">
        <v>13</v>
      </c>
      <c r="Q157" s="140">
        <v>8</v>
      </c>
      <c r="R157" s="140">
        <v>5</v>
      </c>
      <c r="S157" s="140">
        <v>5</v>
      </c>
      <c r="T157" s="140">
        <v>12</v>
      </c>
      <c r="U157" s="140">
        <v>2</v>
      </c>
      <c r="V157" s="140">
        <v>2</v>
      </c>
      <c r="W157" s="140">
        <v>5</v>
      </c>
      <c r="X157" s="140">
        <v>9</v>
      </c>
      <c r="Y157" s="140">
        <v>7</v>
      </c>
      <c r="Z157" s="140">
        <v>20</v>
      </c>
      <c r="AA157" s="140">
        <v>14</v>
      </c>
      <c r="AB157" s="140">
        <v>8</v>
      </c>
      <c r="AC157" s="140">
        <v>8</v>
      </c>
      <c r="AD157" s="140">
        <v>13</v>
      </c>
      <c r="AE157" s="140">
        <v>5</v>
      </c>
      <c r="AF157" s="139"/>
      <c r="AG157" s="138">
        <f t="shared" si="23"/>
        <v>233</v>
      </c>
      <c r="AH157" s="98"/>
    </row>
    <row r="158" spans="1:34" ht="19.5" thickBot="1" x14ac:dyDescent="0.3">
      <c r="A158" s="333" t="s">
        <v>70</v>
      </c>
      <c r="B158" s="272">
        <f t="shared" ref="B158:AF158" si="25">SUM(B159:B166)</f>
        <v>0</v>
      </c>
      <c r="C158" s="35">
        <f t="shared" si="25"/>
        <v>0</v>
      </c>
      <c r="D158" s="35">
        <f t="shared" si="25"/>
        <v>0</v>
      </c>
      <c r="E158" s="35">
        <f t="shared" si="25"/>
        <v>0</v>
      </c>
      <c r="F158" s="35">
        <f t="shared" si="25"/>
        <v>0</v>
      </c>
      <c r="G158" s="35">
        <f t="shared" si="25"/>
        <v>0</v>
      </c>
      <c r="H158" s="35">
        <f t="shared" si="25"/>
        <v>1</v>
      </c>
      <c r="I158" s="35">
        <f t="shared" si="25"/>
        <v>0</v>
      </c>
      <c r="J158" s="35">
        <f t="shared" si="25"/>
        <v>0</v>
      </c>
      <c r="K158" s="35">
        <f t="shared" si="25"/>
        <v>0</v>
      </c>
      <c r="L158" s="35">
        <f t="shared" si="25"/>
        <v>0</v>
      </c>
      <c r="M158" s="35">
        <f t="shared" si="25"/>
        <v>0</v>
      </c>
      <c r="N158" s="35">
        <f t="shared" si="25"/>
        <v>0</v>
      </c>
      <c r="O158" s="35">
        <f t="shared" si="25"/>
        <v>0</v>
      </c>
      <c r="P158" s="35">
        <f t="shared" si="25"/>
        <v>0</v>
      </c>
      <c r="Q158" s="35">
        <f t="shared" si="25"/>
        <v>0</v>
      </c>
      <c r="R158" s="35">
        <f t="shared" si="25"/>
        <v>0</v>
      </c>
      <c r="S158" s="35">
        <f t="shared" si="25"/>
        <v>0</v>
      </c>
      <c r="T158" s="35">
        <f t="shared" si="25"/>
        <v>0</v>
      </c>
      <c r="U158" s="35">
        <f t="shared" si="25"/>
        <v>0</v>
      </c>
      <c r="V158" s="35">
        <f t="shared" si="25"/>
        <v>1</v>
      </c>
      <c r="W158" s="35">
        <f t="shared" si="25"/>
        <v>0</v>
      </c>
      <c r="X158" s="35">
        <f t="shared" si="25"/>
        <v>0</v>
      </c>
      <c r="Y158" s="35">
        <f t="shared" si="25"/>
        <v>0</v>
      </c>
      <c r="Z158" s="35">
        <f t="shared" si="25"/>
        <v>0</v>
      </c>
      <c r="AA158" s="35">
        <f t="shared" si="25"/>
        <v>0</v>
      </c>
      <c r="AB158" s="35">
        <f t="shared" si="25"/>
        <v>0</v>
      </c>
      <c r="AC158" s="35">
        <f t="shared" si="25"/>
        <v>1</v>
      </c>
      <c r="AD158" s="35">
        <f t="shared" si="25"/>
        <v>0</v>
      </c>
      <c r="AE158" s="35">
        <f t="shared" si="25"/>
        <v>0</v>
      </c>
      <c r="AF158" s="34">
        <f t="shared" si="25"/>
        <v>0</v>
      </c>
      <c r="AG158" s="33">
        <f t="shared" si="23"/>
        <v>3</v>
      </c>
    </row>
    <row r="159" spans="1:34" ht="18.75" x14ac:dyDescent="0.25">
      <c r="A159" s="329" t="s">
        <v>69</v>
      </c>
      <c r="B159" s="268"/>
      <c r="C159" s="136"/>
      <c r="D159" s="136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A159" s="136"/>
      <c r="AB159" s="136"/>
      <c r="AC159" s="136"/>
      <c r="AD159" s="136"/>
      <c r="AE159" s="136"/>
      <c r="AF159" s="135"/>
      <c r="AG159" s="134">
        <f t="shared" si="23"/>
        <v>0</v>
      </c>
    </row>
    <row r="160" spans="1:34" ht="18.75" x14ac:dyDescent="0.25">
      <c r="A160" s="330" t="s">
        <v>68</v>
      </c>
      <c r="B160" s="269"/>
      <c r="C160" s="130"/>
      <c r="D160" s="130"/>
      <c r="E160" s="130"/>
      <c r="F160" s="130"/>
      <c r="G160" s="130"/>
      <c r="H160" s="130">
        <v>1</v>
      </c>
      <c r="I160" s="130"/>
      <c r="J160" s="130"/>
      <c r="K160" s="130"/>
      <c r="L160" s="130"/>
      <c r="M160" s="130"/>
      <c r="N160" s="130"/>
      <c r="O160" s="130"/>
      <c r="P160" s="130"/>
      <c r="Q160" s="130"/>
      <c r="R160" s="130"/>
      <c r="S160" s="130"/>
      <c r="T160" s="130"/>
      <c r="U160" s="130"/>
      <c r="V160" s="130"/>
      <c r="W160" s="130"/>
      <c r="X160" s="130"/>
      <c r="Y160" s="130"/>
      <c r="Z160" s="130"/>
      <c r="AA160" s="130"/>
      <c r="AB160" s="130"/>
      <c r="AC160" s="130"/>
      <c r="AD160" s="130"/>
      <c r="AE160" s="130"/>
      <c r="AF160" s="129"/>
      <c r="AG160" s="64">
        <f t="shared" si="23"/>
        <v>1</v>
      </c>
    </row>
    <row r="161" spans="1:34" ht="18.75" x14ac:dyDescent="0.25">
      <c r="A161" s="330" t="s">
        <v>67</v>
      </c>
      <c r="B161" s="269"/>
      <c r="C161" s="130"/>
      <c r="D161" s="130"/>
      <c r="E161" s="130"/>
      <c r="F161" s="130"/>
      <c r="G161" s="130"/>
      <c r="H161" s="130"/>
      <c r="I161" s="130"/>
      <c r="J161" s="130"/>
      <c r="K161" s="130"/>
      <c r="L161" s="130"/>
      <c r="M161" s="130"/>
      <c r="N161" s="130"/>
      <c r="O161" s="130"/>
      <c r="P161" s="130"/>
      <c r="Q161" s="130"/>
      <c r="R161" s="130"/>
      <c r="S161" s="130"/>
      <c r="T161" s="130"/>
      <c r="U161" s="130"/>
      <c r="V161" s="130"/>
      <c r="W161" s="130"/>
      <c r="X161" s="130"/>
      <c r="Y161" s="130"/>
      <c r="Z161" s="130"/>
      <c r="AA161" s="130"/>
      <c r="AB161" s="130"/>
      <c r="AC161" s="130"/>
      <c r="AD161" s="130"/>
      <c r="AE161" s="130"/>
      <c r="AF161" s="129"/>
      <c r="AG161" s="64">
        <f t="shared" si="23"/>
        <v>0</v>
      </c>
    </row>
    <row r="162" spans="1:34" ht="18.75" x14ac:dyDescent="0.25">
      <c r="A162" s="330" t="s">
        <v>66</v>
      </c>
      <c r="B162" s="269"/>
      <c r="C162" s="130"/>
      <c r="D162" s="130"/>
      <c r="E162" s="130"/>
      <c r="F162" s="130"/>
      <c r="G162" s="130"/>
      <c r="H162" s="130"/>
      <c r="I162" s="130"/>
      <c r="J162" s="130"/>
      <c r="K162" s="130"/>
      <c r="L162" s="130"/>
      <c r="M162" s="130"/>
      <c r="N162" s="130"/>
      <c r="O162" s="130"/>
      <c r="P162" s="130"/>
      <c r="Q162" s="130"/>
      <c r="R162" s="130"/>
      <c r="S162" s="130"/>
      <c r="T162" s="130"/>
      <c r="U162" s="130"/>
      <c r="V162" s="130"/>
      <c r="W162" s="130"/>
      <c r="X162" s="130"/>
      <c r="Y162" s="130"/>
      <c r="Z162" s="130"/>
      <c r="AA162" s="130"/>
      <c r="AB162" s="130"/>
      <c r="AC162" s="130"/>
      <c r="AD162" s="130"/>
      <c r="AE162" s="130"/>
      <c r="AF162" s="129"/>
      <c r="AG162" s="64">
        <f t="shared" si="23"/>
        <v>0</v>
      </c>
    </row>
    <row r="163" spans="1:34" ht="18.75" x14ac:dyDescent="0.25">
      <c r="A163" s="330" t="s">
        <v>65</v>
      </c>
      <c r="B163" s="269"/>
      <c r="C163" s="130"/>
      <c r="D163" s="130"/>
      <c r="E163" s="130"/>
      <c r="F163" s="130"/>
      <c r="G163" s="130"/>
      <c r="H163" s="130"/>
      <c r="I163" s="130"/>
      <c r="J163" s="130"/>
      <c r="K163" s="130"/>
      <c r="L163" s="130"/>
      <c r="M163" s="130"/>
      <c r="N163" s="130"/>
      <c r="O163" s="130"/>
      <c r="P163" s="130"/>
      <c r="Q163" s="130"/>
      <c r="R163" s="130"/>
      <c r="S163" s="130"/>
      <c r="T163" s="130"/>
      <c r="U163" s="130"/>
      <c r="V163" s="130"/>
      <c r="W163" s="130"/>
      <c r="X163" s="130"/>
      <c r="Y163" s="130"/>
      <c r="Z163" s="130"/>
      <c r="AA163" s="130"/>
      <c r="AB163" s="130"/>
      <c r="AC163" s="130"/>
      <c r="AD163" s="130"/>
      <c r="AE163" s="130"/>
      <c r="AF163" s="129"/>
      <c r="AG163" s="64">
        <f t="shared" si="23"/>
        <v>0</v>
      </c>
    </row>
    <row r="164" spans="1:34" ht="18.75" x14ac:dyDescent="0.25">
      <c r="A164" s="330" t="s">
        <v>64</v>
      </c>
      <c r="B164" s="269"/>
      <c r="C164" s="130"/>
      <c r="D164" s="130"/>
      <c r="E164" s="130"/>
      <c r="F164" s="130"/>
      <c r="G164" s="130"/>
      <c r="H164" s="130"/>
      <c r="I164" s="130"/>
      <c r="J164" s="130"/>
      <c r="K164" s="130"/>
      <c r="L164" s="130"/>
      <c r="M164" s="130"/>
      <c r="N164" s="130"/>
      <c r="O164" s="130"/>
      <c r="P164" s="130"/>
      <c r="Q164" s="130"/>
      <c r="R164" s="130"/>
      <c r="S164" s="130"/>
      <c r="T164" s="130"/>
      <c r="U164" s="130"/>
      <c r="V164" s="130"/>
      <c r="W164" s="130"/>
      <c r="X164" s="130"/>
      <c r="Y164" s="130"/>
      <c r="Z164" s="130"/>
      <c r="AA164" s="130"/>
      <c r="AB164" s="130"/>
      <c r="AC164" s="130">
        <v>1</v>
      </c>
      <c r="AD164" s="130"/>
      <c r="AE164" s="130"/>
      <c r="AF164" s="129"/>
      <c r="AG164" s="64">
        <f t="shared" si="23"/>
        <v>1</v>
      </c>
    </row>
    <row r="165" spans="1:34" ht="18.75" x14ac:dyDescent="0.25">
      <c r="A165" s="330" t="s">
        <v>63</v>
      </c>
      <c r="B165" s="269"/>
      <c r="C165" s="130"/>
      <c r="D165" s="130"/>
      <c r="E165" s="130"/>
      <c r="F165" s="130"/>
      <c r="G165" s="130"/>
      <c r="H165" s="130"/>
      <c r="I165" s="130"/>
      <c r="J165" s="130"/>
      <c r="K165" s="130"/>
      <c r="L165" s="130"/>
      <c r="M165" s="130"/>
      <c r="N165" s="130"/>
      <c r="O165" s="130"/>
      <c r="P165" s="130"/>
      <c r="Q165" s="130"/>
      <c r="R165" s="130"/>
      <c r="S165" s="130"/>
      <c r="T165" s="130"/>
      <c r="U165" s="130"/>
      <c r="V165" s="130">
        <v>1</v>
      </c>
      <c r="W165" s="130"/>
      <c r="X165" s="130"/>
      <c r="Y165" s="130"/>
      <c r="Z165" s="130"/>
      <c r="AA165" s="130"/>
      <c r="AB165" s="130"/>
      <c r="AC165" s="130"/>
      <c r="AD165" s="130"/>
      <c r="AE165" s="130"/>
      <c r="AF165" s="129"/>
      <c r="AG165" s="64">
        <f t="shared" si="23"/>
        <v>1</v>
      </c>
    </row>
    <row r="166" spans="1:34" ht="19.5" thickBot="1" x14ac:dyDescent="0.3">
      <c r="A166" s="331" t="s">
        <v>62</v>
      </c>
      <c r="B166" s="270"/>
      <c r="C166" s="127"/>
      <c r="D166" s="127"/>
      <c r="E166" s="127"/>
      <c r="F166" s="127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  <c r="Y166" s="127"/>
      <c r="Z166" s="127"/>
      <c r="AA166" s="127"/>
      <c r="AB166" s="127"/>
      <c r="AC166" s="127"/>
      <c r="AD166" s="127"/>
      <c r="AE166" s="127"/>
      <c r="AF166" s="126"/>
      <c r="AG166" s="10">
        <f t="shared" si="23"/>
        <v>0</v>
      </c>
    </row>
    <row r="167" spans="1:34" ht="18.75" x14ac:dyDescent="0.25">
      <c r="A167" s="332" t="s">
        <v>61</v>
      </c>
      <c r="B167" s="271">
        <f t="shared" ref="B167:AF167" si="26">SUM(B168:B171)</f>
        <v>0</v>
      </c>
      <c r="C167" s="18">
        <f t="shared" si="26"/>
        <v>0</v>
      </c>
      <c r="D167" s="18">
        <f t="shared" si="26"/>
        <v>0</v>
      </c>
      <c r="E167" s="18">
        <f t="shared" si="26"/>
        <v>0</v>
      </c>
      <c r="F167" s="18">
        <f t="shared" si="26"/>
        <v>0</v>
      </c>
      <c r="G167" s="18">
        <f t="shared" si="26"/>
        <v>0</v>
      </c>
      <c r="H167" s="18">
        <f t="shared" si="26"/>
        <v>0</v>
      </c>
      <c r="I167" s="18">
        <f t="shared" si="26"/>
        <v>0</v>
      </c>
      <c r="J167" s="18">
        <f t="shared" si="26"/>
        <v>0</v>
      </c>
      <c r="K167" s="18">
        <f t="shared" si="26"/>
        <v>0</v>
      </c>
      <c r="L167" s="18">
        <f t="shared" si="26"/>
        <v>1</v>
      </c>
      <c r="M167" s="18">
        <f t="shared" si="26"/>
        <v>0</v>
      </c>
      <c r="N167" s="18">
        <f t="shared" si="26"/>
        <v>0</v>
      </c>
      <c r="O167" s="18">
        <f t="shared" si="26"/>
        <v>0</v>
      </c>
      <c r="P167" s="18">
        <f t="shared" si="26"/>
        <v>0</v>
      </c>
      <c r="Q167" s="18">
        <f t="shared" si="26"/>
        <v>0</v>
      </c>
      <c r="R167" s="18">
        <f t="shared" si="26"/>
        <v>1</v>
      </c>
      <c r="S167" s="18">
        <f t="shared" si="26"/>
        <v>0</v>
      </c>
      <c r="T167" s="18">
        <f t="shared" si="26"/>
        <v>2</v>
      </c>
      <c r="U167" s="18">
        <f t="shared" si="26"/>
        <v>0</v>
      </c>
      <c r="V167" s="18">
        <f t="shared" si="26"/>
        <v>0</v>
      </c>
      <c r="W167" s="18">
        <f t="shared" si="26"/>
        <v>0</v>
      </c>
      <c r="X167" s="18">
        <f t="shared" si="26"/>
        <v>0</v>
      </c>
      <c r="Y167" s="18">
        <f t="shared" si="26"/>
        <v>0</v>
      </c>
      <c r="Z167" s="18">
        <f t="shared" si="26"/>
        <v>0</v>
      </c>
      <c r="AA167" s="18">
        <f t="shared" si="26"/>
        <v>0</v>
      </c>
      <c r="AB167" s="18">
        <f t="shared" si="26"/>
        <v>1</v>
      </c>
      <c r="AC167" s="18">
        <f t="shared" si="26"/>
        <v>0</v>
      </c>
      <c r="AD167" s="18">
        <f t="shared" si="26"/>
        <v>0</v>
      </c>
      <c r="AE167" s="18">
        <f t="shared" si="26"/>
        <v>0</v>
      </c>
      <c r="AF167" s="17">
        <f t="shared" si="26"/>
        <v>0</v>
      </c>
      <c r="AG167" s="7">
        <f t="shared" si="23"/>
        <v>5</v>
      </c>
    </row>
    <row r="168" spans="1:34" ht="18.75" x14ac:dyDescent="0.25">
      <c r="A168" s="334" t="s">
        <v>60</v>
      </c>
      <c r="B168" s="269"/>
      <c r="C168" s="130"/>
      <c r="D168" s="130"/>
      <c r="E168" s="130"/>
      <c r="F168" s="130"/>
      <c r="G168" s="130"/>
      <c r="H168" s="130"/>
      <c r="I168" s="130"/>
      <c r="J168" s="130"/>
      <c r="K168" s="130"/>
      <c r="L168" s="130"/>
      <c r="M168" s="130"/>
      <c r="N168" s="130"/>
      <c r="O168" s="130"/>
      <c r="P168" s="130"/>
      <c r="Q168" s="130"/>
      <c r="R168" s="130"/>
      <c r="S168" s="130"/>
      <c r="T168" s="130"/>
      <c r="U168" s="130"/>
      <c r="V168" s="130"/>
      <c r="W168" s="130"/>
      <c r="X168" s="130"/>
      <c r="Y168" s="130"/>
      <c r="Z168" s="130"/>
      <c r="AA168" s="130"/>
      <c r="AB168" s="130"/>
      <c r="AC168" s="130"/>
      <c r="AD168" s="130"/>
      <c r="AE168" s="130"/>
      <c r="AF168" s="129"/>
      <c r="AG168" s="64">
        <f t="shared" si="23"/>
        <v>0</v>
      </c>
    </row>
    <row r="169" spans="1:34" ht="18.75" x14ac:dyDescent="0.25">
      <c r="A169" s="334" t="s">
        <v>59</v>
      </c>
      <c r="B169" s="269"/>
      <c r="C169" s="130"/>
      <c r="D169" s="130"/>
      <c r="E169" s="130"/>
      <c r="F169" s="130"/>
      <c r="G169" s="130"/>
      <c r="H169" s="130"/>
      <c r="I169" s="130"/>
      <c r="J169" s="130"/>
      <c r="K169" s="130"/>
      <c r="L169" s="130"/>
      <c r="M169" s="130"/>
      <c r="N169" s="130"/>
      <c r="O169" s="130"/>
      <c r="P169" s="130"/>
      <c r="Q169" s="130"/>
      <c r="R169" s="130"/>
      <c r="S169" s="130"/>
      <c r="T169" s="130"/>
      <c r="U169" s="130"/>
      <c r="V169" s="130"/>
      <c r="W169" s="130"/>
      <c r="X169" s="130"/>
      <c r="Y169" s="130"/>
      <c r="Z169" s="130"/>
      <c r="AA169" s="130"/>
      <c r="AB169" s="130">
        <v>1</v>
      </c>
      <c r="AC169" s="130"/>
      <c r="AD169" s="130"/>
      <c r="AE169" s="130"/>
      <c r="AF169" s="129"/>
      <c r="AG169" s="64">
        <f t="shared" si="23"/>
        <v>1</v>
      </c>
    </row>
    <row r="170" spans="1:34" ht="18.75" x14ac:dyDescent="0.25">
      <c r="A170" s="334" t="s">
        <v>58</v>
      </c>
      <c r="B170" s="269"/>
      <c r="C170" s="130"/>
      <c r="D170" s="130"/>
      <c r="E170" s="130"/>
      <c r="F170" s="130"/>
      <c r="G170" s="130"/>
      <c r="H170" s="130"/>
      <c r="I170" s="130"/>
      <c r="J170" s="130"/>
      <c r="K170" s="130"/>
      <c r="L170" s="130"/>
      <c r="M170" s="130"/>
      <c r="N170" s="130"/>
      <c r="O170" s="130"/>
      <c r="P170" s="130"/>
      <c r="Q170" s="130"/>
      <c r="R170" s="130"/>
      <c r="S170" s="130"/>
      <c r="T170" s="130"/>
      <c r="U170" s="130"/>
      <c r="V170" s="130"/>
      <c r="W170" s="130"/>
      <c r="X170" s="130"/>
      <c r="Y170" s="130"/>
      <c r="Z170" s="130"/>
      <c r="AA170" s="130"/>
      <c r="AB170" s="130"/>
      <c r="AC170" s="130"/>
      <c r="AD170" s="130"/>
      <c r="AE170" s="130"/>
      <c r="AF170" s="129"/>
      <c r="AG170" s="64">
        <f t="shared" si="23"/>
        <v>0</v>
      </c>
    </row>
    <row r="171" spans="1:34" ht="19.5" thickBot="1" x14ac:dyDescent="0.3">
      <c r="A171" s="335" t="s">
        <v>57</v>
      </c>
      <c r="B171" s="270"/>
      <c r="C171" s="127"/>
      <c r="D171" s="127"/>
      <c r="E171" s="127"/>
      <c r="F171" s="127"/>
      <c r="G171" s="127"/>
      <c r="H171" s="127"/>
      <c r="I171" s="127"/>
      <c r="J171" s="127"/>
      <c r="K171" s="127"/>
      <c r="L171" s="127">
        <v>1</v>
      </c>
      <c r="M171" s="127"/>
      <c r="N171" s="127"/>
      <c r="O171" s="127"/>
      <c r="P171" s="127"/>
      <c r="Q171" s="127"/>
      <c r="R171" s="127">
        <v>1</v>
      </c>
      <c r="S171" s="127"/>
      <c r="T171" s="127">
        <v>2</v>
      </c>
      <c r="U171" s="127"/>
      <c r="V171" s="127"/>
      <c r="W171" s="127"/>
      <c r="X171" s="127"/>
      <c r="Y171" s="127"/>
      <c r="Z171" s="127"/>
      <c r="AA171" s="127"/>
      <c r="AB171" s="127"/>
      <c r="AC171" s="127"/>
      <c r="AD171" s="127"/>
      <c r="AE171" s="127"/>
      <c r="AF171" s="126"/>
      <c r="AG171" s="10">
        <f t="shared" si="23"/>
        <v>4</v>
      </c>
    </row>
    <row r="172" spans="1:34" ht="19.5" thickBot="1" x14ac:dyDescent="0.3">
      <c r="A172" s="336" t="s">
        <v>56</v>
      </c>
      <c r="B172" s="273"/>
      <c r="C172" s="124"/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>
        <v>1</v>
      </c>
      <c r="P172" s="124"/>
      <c r="Q172" s="124"/>
      <c r="R172" s="124"/>
      <c r="S172" s="124"/>
      <c r="T172" s="124"/>
      <c r="U172" s="124"/>
      <c r="V172" s="124"/>
      <c r="W172" s="124"/>
      <c r="X172" s="124"/>
      <c r="Y172" s="124"/>
      <c r="Z172" s="124"/>
      <c r="AA172" s="124"/>
      <c r="AB172" s="124"/>
      <c r="AC172" s="124">
        <v>1</v>
      </c>
      <c r="AD172" s="124"/>
      <c r="AE172" s="124"/>
      <c r="AF172" s="123"/>
      <c r="AG172" s="122">
        <f t="shared" si="23"/>
        <v>2</v>
      </c>
    </row>
    <row r="173" spans="1:34" ht="19.5" thickBot="1" x14ac:dyDescent="0.3">
      <c r="A173" s="299" t="s">
        <v>55</v>
      </c>
      <c r="B173" s="247">
        <f t="shared" ref="B173:AF173" si="27">SUM(B174:B175)</f>
        <v>0</v>
      </c>
      <c r="C173" s="120">
        <f t="shared" si="27"/>
        <v>1</v>
      </c>
      <c r="D173" s="120">
        <f t="shared" si="27"/>
        <v>1</v>
      </c>
      <c r="E173" s="120">
        <f t="shared" si="27"/>
        <v>0</v>
      </c>
      <c r="F173" s="120">
        <f t="shared" si="27"/>
        <v>1</v>
      </c>
      <c r="G173" s="120">
        <f t="shared" si="27"/>
        <v>0</v>
      </c>
      <c r="H173" s="120">
        <f t="shared" si="27"/>
        <v>0</v>
      </c>
      <c r="I173" s="120">
        <f t="shared" si="27"/>
        <v>2</v>
      </c>
      <c r="J173" s="120">
        <f t="shared" si="27"/>
        <v>0</v>
      </c>
      <c r="K173" s="120">
        <f t="shared" si="27"/>
        <v>0</v>
      </c>
      <c r="L173" s="120">
        <f t="shared" si="27"/>
        <v>0</v>
      </c>
      <c r="M173" s="120">
        <f t="shared" si="27"/>
        <v>0</v>
      </c>
      <c r="N173" s="120">
        <f t="shared" si="27"/>
        <v>1</v>
      </c>
      <c r="O173" s="120">
        <f t="shared" si="27"/>
        <v>1</v>
      </c>
      <c r="P173" s="120">
        <f t="shared" si="27"/>
        <v>0</v>
      </c>
      <c r="Q173" s="120">
        <f t="shared" si="27"/>
        <v>0</v>
      </c>
      <c r="R173" s="120">
        <f t="shared" si="27"/>
        <v>0</v>
      </c>
      <c r="S173" s="120">
        <f t="shared" si="27"/>
        <v>2</v>
      </c>
      <c r="T173" s="120">
        <f t="shared" si="27"/>
        <v>0</v>
      </c>
      <c r="U173" s="120">
        <f t="shared" si="27"/>
        <v>0</v>
      </c>
      <c r="V173" s="120">
        <f t="shared" si="27"/>
        <v>2</v>
      </c>
      <c r="W173" s="120">
        <f t="shared" si="27"/>
        <v>0</v>
      </c>
      <c r="X173" s="120">
        <f t="shared" si="27"/>
        <v>0</v>
      </c>
      <c r="Y173" s="120">
        <f t="shared" si="27"/>
        <v>4</v>
      </c>
      <c r="Z173" s="120">
        <f t="shared" si="27"/>
        <v>0</v>
      </c>
      <c r="AA173" s="120">
        <f t="shared" si="27"/>
        <v>1</v>
      </c>
      <c r="AB173" s="120">
        <f t="shared" si="27"/>
        <v>0</v>
      </c>
      <c r="AC173" s="120">
        <f t="shared" si="27"/>
        <v>3</v>
      </c>
      <c r="AD173" s="120">
        <f t="shared" si="27"/>
        <v>1</v>
      </c>
      <c r="AE173" s="120">
        <f t="shared" si="27"/>
        <v>2</v>
      </c>
      <c r="AF173" s="119">
        <f t="shared" si="27"/>
        <v>0</v>
      </c>
      <c r="AG173" s="118">
        <f t="shared" si="23"/>
        <v>22</v>
      </c>
      <c r="AH173" s="98" t="s">
        <v>54</v>
      </c>
    </row>
    <row r="174" spans="1:34" ht="18.75" x14ac:dyDescent="0.25">
      <c r="A174" s="337" t="s">
        <v>53</v>
      </c>
      <c r="B174" s="274">
        <v>0</v>
      </c>
      <c r="C174" s="116">
        <v>1</v>
      </c>
      <c r="D174" s="116">
        <v>1</v>
      </c>
      <c r="E174" s="116">
        <v>0</v>
      </c>
      <c r="F174" s="116">
        <v>1</v>
      </c>
      <c r="G174" s="116">
        <v>0</v>
      </c>
      <c r="H174" s="116">
        <v>0</v>
      </c>
      <c r="I174" s="116">
        <v>0</v>
      </c>
      <c r="J174" s="116">
        <v>0</v>
      </c>
      <c r="K174" s="116">
        <v>0</v>
      </c>
      <c r="L174" s="116">
        <v>0</v>
      </c>
      <c r="M174" s="116">
        <v>0</v>
      </c>
      <c r="N174" s="116">
        <v>1</v>
      </c>
      <c r="O174" s="116">
        <v>1</v>
      </c>
      <c r="P174" s="116">
        <v>0</v>
      </c>
      <c r="Q174" s="116">
        <v>0</v>
      </c>
      <c r="R174" s="116">
        <v>0</v>
      </c>
      <c r="S174" s="116">
        <v>2</v>
      </c>
      <c r="T174" s="116">
        <v>0</v>
      </c>
      <c r="U174" s="116">
        <v>0</v>
      </c>
      <c r="V174" s="116">
        <v>2</v>
      </c>
      <c r="W174" s="116">
        <v>0</v>
      </c>
      <c r="X174" s="116">
        <v>0</v>
      </c>
      <c r="Y174" s="116">
        <v>4</v>
      </c>
      <c r="Z174" s="116">
        <v>0</v>
      </c>
      <c r="AA174" s="116">
        <v>1</v>
      </c>
      <c r="AB174" s="116">
        <v>0</v>
      </c>
      <c r="AC174" s="116">
        <v>2</v>
      </c>
      <c r="AD174" s="116">
        <v>1</v>
      </c>
      <c r="AE174" s="116">
        <v>2</v>
      </c>
      <c r="AF174" s="115"/>
      <c r="AG174" s="114">
        <f t="shared" si="23"/>
        <v>19</v>
      </c>
      <c r="AH174" s="98"/>
    </row>
    <row r="175" spans="1:34" ht="18.75" x14ac:dyDescent="0.25">
      <c r="A175" s="338" t="s">
        <v>52</v>
      </c>
      <c r="B175" s="275">
        <v>0</v>
      </c>
      <c r="C175" s="112">
        <v>0</v>
      </c>
      <c r="D175" s="112">
        <v>0</v>
      </c>
      <c r="E175" s="112">
        <v>0</v>
      </c>
      <c r="F175" s="112">
        <v>0</v>
      </c>
      <c r="G175" s="112">
        <v>0</v>
      </c>
      <c r="H175" s="112">
        <v>0</v>
      </c>
      <c r="I175" s="112">
        <v>2</v>
      </c>
      <c r="J175" s="112">
        <v>0</v>
      </c>
      <c r="K175" s="112">
        <v>0</v>
      </c>
      <c r="L175" s="112">
        <v>0</v>
      </c>
      <c r="M175" s="112">
        <v>0</v>
      </c>
      <c r="N175" s="112">
        <v>0</v>
      </c>
      <c r="O175" s="112">
        <v>0</v>
      </c>
      <c r="P175" s="112">
        <v>0</v>
      </c>
      <c r="Q175" s="112">
        <v>0</v>
      </c>
      <c r="R175" s="112">
        <v>0</v>
      </c>
      <c r="S175" s="112">
        <v>0</v>
      </c>
      <c r="T175" s="112">
        <v>0</v>
      </c>
      <c r="U175" s="112">
        <v>0</v>
      </c>
      <c r="V175" s="112">
        <v>0</v>
      </c>
      <c r="W175" s="112">
        <v>0</v>
      </c>
      <c r="X175" s="112">
        <v>0</v>
      </c>
      <c r="Y175" s="112">
        <v>0</v>
      </c>
      <c r="Z175" s="112">
        <v>0</v>
      </c>
      <c r="AA175" s="112">
        <v>0</v>
      </c>
      <c r="AB175" s="112">
        <v>0</v>
      </c>
      <c r="AC175" s="112">
        <v>1</v>
      </c>
      <c r="AD175" s="112">
        <v>0</v>
      </c>
      <c r="AE175" s="112">
        <v>0</v>
      </c>
      <c r="AF175" s="111"/>
      <c r="AG175" s="110">
        <f t="shared" si="23"/>
        <v>3</v>
      </c>
      <c r="AH175" s="98"/>
    </row>
    <row r="176" spans="1:34" ht="19.5" thickBot="1" x14ac:dyDescent="0.3">
      <c r="A176" s="339" t="s">
        <v>51</v>
      </c>
      <c r="B176" s="276">
        <f t="shared" ref="B176:AF176" si="28">SUM(B177:B178)</f>
        <v>1</v>
      </c>
      <c r="C176" s="109">
        <f t="shared" si="28"/>
        <v>1</v>
      </c>
      <c r="D176" s="109">
        <f t="shared" si="28"/>
        <v>1</v>
      </c>
      <c r="E176" s="109">
        <f t="shared" si="28"/>
        <v>4</v>
      </c>
      <c r="F176" s="109">
        <f t="shared" si="28"/>
        <v>0</v>
      </c>
      <c r="G176" s="109">
        <f t="shared" si="28"/>
        <v>7</v>
      </c>
      <c r="H176" s="109">
        <f t="shared" si="28"/>
        <v>0</v>
      </c>
      <c r="I176" s="109">
        <f t="shared" si="28"/>
        <v>1</v>
      </c>
      <c r="J176" s="109">
        <f t="shared" si="28"/>
        <v>1</v>
      </c>
      <c r="K176" s="109">
        <f t="shared" si="28"/>
        <v>6</v>
      </c>
      <c r="L176" s="109">
        <f t="shared" si="28"/>
        <v>0</v>
      </c>
      <c r="M176" s="109">
        <f t="shared" si="28"/>
        <v>1</v>
      </c>
      <c r="N176" s="109">
        <f t="shared" si="28"/>
        <v>1</v>
      </c>
      <c r="O176" s="109">
        <f t="shared" si="28"/>
        <v>2</v>
      </c>
      <c r="P176" s="109">
        <f t="shared" si="28"/>
        <v>3</v>
      </c>
      <c r="Q176" s="109">
        <f t="shared" si="28"/>
        <v>1</v>
      </c>
      <c r="R176" s="109">
        <f t="shared" si="28"/>
        <v>4</v>
      </c>
      <c r="S176" s="109">
        <f t="shared" si="28"/>
        <v>2</v>
      </c>
      <c r="T176" s="109">
        <f t="shared" si="28"/>
        <v>3</v>
      </c>
      <c r="U176" s="109">
        <f t="shared" si="28"/>
        <v>6</v>
      </c>
      <c r="V176" s="109">
        <f t="shared" si="28"/>
        <v>3</v>
      </c>
      <c r="W176" s="109">
        <f t="shared" si="28"/>
        <v>4</v>
      </c>
      <c r="X176" s="109">
        <f t="shared" si="28"/>
        <v>1</v>
      </c>
      <c r="Y176" s="109">
        <f t="shared" si="28"/>
        <v>4</v>
      </c>
      <c r="Z176" s="109">
        <f t="shared" si="28"/>
        <v>1</v>
      </c>
      <c r="AA176" s="109">
        <f t="shared" si="28"/>
        <v>0</v>
      </c>
      <c r="AB176" s="109">
        <f t="shared" si="28"/>
        <v>2</v>
      </c>
      <c r="AC176" s="109">
        <f t="shared" si="28"/>
        <v>3</v>
      </c>
      <c r="AD176" s="109">
        <f t="shared" si="28"/>
        <v>4</v>
      </c>
      <c r="AE176" s="109">
        <f t="shared" si="28"/>
        <v>1</v>
      </c>
      <c r="AF176" s="108">
        <f t="shared" si="28"/>
        <v>0</v>
      </c>
      <c r="AG176" s="107">
        <f t="shared" si="23"/>
        <v>68</v>
      </c>
      <c r="AH176" s="98" t="s">
        <v>48</v>
      </c>
    </row>
    <row r="177" spans="1:34" ht="18.75" x14ac:dyDescent="0.25">
      <c r="A177" s="340" t="s">
        <v>50</v>
      </c>
      <c r="B177" s="277">
        <v>0</v>
      </c>
      <c r="C177" s="105">
        <v>0</v>
      </c>
      <c r="D177" s="105">
        <v>0</v>
      </c>
      <c r="E177" s="105">
        <v>0</v>
      </c>
      <c r="F177" s="105">
        <v>0</v>
      </c>
      <c r="G177" s="105">
        <v>0</v>
      </c>
      <c r="H177" s="105">
        <v>0</v>
      </c>
      <c r="I177" s="105">
        <v>0</v>
      </c>
      <c r="J177" s="105">
        <v>0</v>
      </c>
      <c r="K177" s="105">
        <v>0</v>
      </c>
      <c r="L177" s="105">
        <v>0</v>
      </c>
      <c r="M177" s="105">
        <v>0</v>
      </c>
      <c r="N177" s="105">
        <v>0</v>
      </c>
      <c r="O177" s="105">
        <v>0</v>
      </c>
      <c r="P177" s="105">
        <v>0</v>
      </c>
      <c r="Q177" s="105">
        <v>0</v>
      </c>
      <c r="R177" s="105">
        <v>0</v>
      </c>
      <c r="S177" s="105">
        <v>0</v>
      </c>
      <c r="T177" s="105">
        <v>0</v>
      </c>
      <c r="U177" s="105">
        <v>1</v>
      </c>
      <c r="V177" s="105">
        <v>0</v>
      </c>
      <c r="W177" s="105">
        <v>0</v>
      </c>
      <c r="X177" s="105">
        <v>0</v>
      </c>
      <c r="Y177" s="105">
        <v>0</v>
      </c>
      <c r="Z177" s="105">
        <v>0</v>
      </c>
      <c r="AA177" s="105">
        <v>0</v>
      </c>
      <c r="AB177" s="105">
        <v>0</v>
      </c>
      <c r="AC177" s="105">
        <v>0</v>
      </c>
      <c r="AD177" s="105">
        <v>1</v>
      </c>
      <c r="AE177" s="105">
        <v>0</v>
      </c>
      <c r="AF177" s="104"/>
      <c r="AG177" s="103">
        <f t="shared" si="23"/>
        <v>2</v>
      </c>
      <c r="AH177" s="98" t="s">
        <v>48</v>
      </c>
    </row>
    <row r="178" spans="1:34" ht="19.5" thickBot="1" x14ac:dyDescent="0.3">
      <c r="A178" s="313" t="s">
        <v>49</v>
      </c>
      <c r="B178" s="278">
        <v>1</v>
      </c>
      <c r="C178" s="101">
        <v>1</v>
      </c>
      <c r="D178" s="101">
        <v>1</v>
      </c>
      <c r="E178" s="101">
        <v>4</v>
      </c>
      <c r="F178" s="101">
        <v>0</v>
      </c>
      <c r="G178" s="101">
        <v>7</v>
      </c>
      <c r="H178" s="101">
        <v>0</v>
      </c>
      <c r="I178" s="101">
        <v>1</v>
      </c>
      <c r="J178" s="101">
        <v>1</v>
      </c>
      <c r="K178" s="101">
        <v>6</v>
      </c>
      <c r="L178" s="101">
        <v>0</v>
      </c>
      <c r="M178" s="101">
        <v>1</v>
      </c>
      <c r="N178" s="101">
        <v>1</v>
      </c>
      <c r="O178" s="101">
        <v>2</v>
      </c>
      <c r="P178" s="101">
        <v>3</v>
      </c>
      <c r="Q178" s="101">
        <v>1</v>
      </c>
      <c r="R178" s="101">
        <v>4</v>
      </c>
      <c r="S178" s="101">
        <v>2</v>
      </c>
      <c r="T178" s="101">
        <v>3</v>
      </c>
      <c r="U178" s="101">
        <v>5</v>
      </c>
      <c r="V178" s="101">
        <v>3</v>
      </c>
      <c r="W178" s="101">
        <v>4</v>
      </c>
      <c r="X178" s="101">
        <v>1</v>
      </c>
      <c r="Y178" s="101">
        <v>4</v>
      </c>
      <c r="Z178" s="101">
        <v>1</v>
      </c>
      <c r="AA178" s="101">
        <v>0</v>
      </c>
      <c r="AB178" s="101">
        <v>2</v>
      </c>
      <c r="AC178" s="101">
        <v>3</v>
      </c>
      <c r="AD178" s="101">
        <v>3</v>
      </c>
      <c r="AE178" s="101">
        <v>1</v>
      </c>
      <c r="AF178" s="100"/>
      <c r="AG178" s="99">
        <f t="shared" si="23"/>
        <v>66</v>
      </c>
      <c r="AH178" s="98" t="s">
        <v>48</v>
      </c>
    </row>
    <row r="179" spans="1:34" ht="18.75" x14ac:dyDescent="0.25">
      <c r="A179" s="341" t="s">
        <v>47</v>
      </c>
      <c r="B179" s="279"/>
      <c r="C179" s="96"/>
      <c r="D179" s="96"/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  <c r="AA179" s="96"/>
      <c r="AB179" s="96"/>
      <c r="AC179" s="96"/>
      <c r="AD179" s="96"/>
      <c r="AE179" s="96"/>
      <c r="AF179" s="95"/>
      <c r="AG179" s="94">
        <f t="shared" ref="AG179:AG210" si="29">SUM(B179:AF179)</f>
        <v>0</v>
      </c>
    </row>
    <row r="180" spans="1:34" ht="19.5" thickBot="1" x14ac:dyDescent="0.3">
      <c r="A180" s="342" t="s">
        <v>46</v>
      </c>
      <c r="B180" s="280"/>
      <c r="C180" s="92"/>
      <c r="D180" s="92"/>
      <c r="E180" s="92"/>
      <c r="F180" s="92"/>
      <c r="G180" s="92"/>
      <c r="H180" s="92"/>
      <c r="I180" s="92"/>
      <c r="J180" s="92"/>
      <c r="K180" s="92"/>
      <c r="L180" s="92"/>
      <c r="M180" s="92"/>
      <c r="N180" s="92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92"/>
      <c r="AA180" s="92"/>
      <c r="AB180" s="92"/>
      <c r="AC180" s="92"/>
      <c r="AD180" s="92"/>
      <c r="AE180" s="92"/>
      <c r="AF180" s="91"/>
      <c r="AG180" s="90">
        <f t="shared" si="29"/>
        <v>0</v>
      </c>
    </row>
    <row r="181" spans="1:34" ht="19.5" thickBot="1" x14ac:dyDescent="0.3">
      <c r="A181" s="343" t="s">
        <v>45</v>
      </c>
      <c r="B181" s="281">
        <f t="shared" ref="B181:AF181" si="30">SUM(B182:B207)</f>
        <v>81</v>
      </c>
      <c r="C181" s="88">
        <f t="shared" si="30"/>
        <v>76</v>
      </c>
      <c r="D181" s="88">
        <f t="shared" si="30"/>
        <v>55</v>
      </c>
      <c r="E181" s="88">
        <f t="shared" si="30"/>
        <v>60</v>
      </c>
      <c r="F181" s="88">
        <f t="shared" si="30"/>
        <v>96</v>
      </c>
      <c r="G181" s="88">
        <f t="shared" si="30"/>
        <v>71</v>
      </c>
      <c r="H181" s="88">
        <f t="shared" si="30"/>
        <v>89</v>
      </c>
      <c r="I181" s="88">
        <f t="shared" si="30"/>
        <v>94</v>
      </c>
      <c r="J181" s="88">
        <f t="shared" si="30"/>
        <v>85</v>
      </c>
      <c r="K181" s="88">
        <f t="shared" si="30"/>
        <v>62</v>
      </c>
      <c r="L181" s="88">
        <f t="shared" si="30"/>
        <v>64</v>
      </c>
      <c r="M181" s="88">
        <f t="shared" si="30"/>
        <v>96</v>
      </c>
      <c r="N181" s="88">
        <f t="shared" si="30"/>
        <v>101</v>
      </c>
      <c r="O181" s="88">
        <f t="shared" si="30"/>
        <v>81</v>
      </c>
      <c r="P181" s="88">
        <f t="shared" si="30"/>
        <v>72</v>
      </c>
      <c r="Q181" s="88">
        <f t="shared" si="30"/>
        <v>96</v>
      </c>
      <c r="R181" s="88">
        <f t="shared" si="30"/>
        <v>63</v>
      </c>
      <c r="S181" s="88">
        <f t="shared" si="30"/>
        <v>59</v>
      </c>
      <c r="T181" s="88">
        <f t="shared" si="30"/>
        <v>106</v>
      </c>
      <c r="U181" s="88">
        <f t="shared" si="30"/>
        <v>83</v>
      </c>
      <c r="V181" s="88">
        <f t="shared" si="30"/>
        <v>60</v>
      </c>
      <c r="W181" s="88">
        <f t="shared" si="30"/>
        <v>64</v>
      </c>
      <c r="X181" s="88">
        <f t="shared" si="30"/>
        <v>81</v>
      </c>
      <c r="Y181" s="88">
        <f t="shared" si="30"/>
        <v>53</v>
      </c>
      <c r="Z181" s="88">
        <f t="shared" si="30"/>
        <v>58</v>
      </c>
      <c r="AA181" s="88">
        <f t="shared" si="30"/>
        <v>78</v>
      </c>
      <c r="AB181" s="88">
        <f t="shared" si="30"/>
        <v>68</v>
      </c>
      <c r="AC181" s="88">
        <f t="shared" si="30"/>
        <v>74</v>
      </c>
      <c r="AD181" s="88">
        <f t="shared" si="30"/>
        <v>76</v>
      </c>
      <c r="AE181" s="88">
        <f t="shared" si="30"/>
        <v>45</v>
      </c>
      <c r="AF181" s="87">
        <f t="shared" si="30"/>
        <v>0</v>
      </c>
      <c r="AG181" s="86">
        <f t="shared" si="29"/>
        <v>2247</v>
      </c>
      <c r="AH181" s="85"/>
    </row>
    <row r="182" spans="1:34" ht="18.75" x14ac:dyDescent="0.25">
      <c r="A182" s="76" t="s">
        <v>44</v>
      </c>
      <c r="B182" s="282">
        <v>9</v>
      </c>
      <c r="C182" s="84">
        <v>20</v>
      </c>
      <c r="D182" s="84">
        <v>2</v>
      </c>
      <c r="E182" s="84">
        <v>2</v>
      </c>
      <c r="F182" s="84">
        <v>7</v>
      </c>
      <c r="G182" s="84">
        <v>3</v>
      </c>
      <c r="H182" s="84">
        <v>3</v>
      </c>
      <c r="I182" s="84">
        <v>7</v>
      </c>
      <c r="J182" s="84">
        <v>8</v>
      </c>
      <c r="K182" s="84">
        <v>4</v>
      </c>
      <c r="L182" s="84">
        <v>10</v>
      </c>
      <c r="M182" s="84">
        <v>3</v>
      </c>
      <c r="N182" s="83">
        <v>2</v>
      </c>
      <c r="O182" s="83">
        <v>9</v>
      </c>
      <c r="P182" s="83">
        <v>6</v>
      </c>
      <c r="Q182" s="83">
        <v>8</v>
      </c>
      <c r="R182" s="83">
        <v>6</v>
      </c>
      <c r="S182" s="83">
        <v>3</v>
      </c>
      <c r="T182" s="83">
        <v>4</v>
      </c>
      <c r="U182" s="83">
        <v>1</v>
      </c>
      <c r="V182" s="83"/>
      <c r="W182" s="83">
        <v>1</v>
      </c>
      <c r="X182" s="83">
        <v>7</v>
      </c>
      <c r="Y182" s="83">
        <v>4</v>
      </c>
      <c r="Z182" s="83">
        <v>7</v>
      </c>
      <c r="AA182" s="83">
        <v>7</v>
      </c>
      <c r="AB182" s="83">
        <v>2</v>
      </c>
      <c r="AC182" s="83">
        <v>1</v>
      </c>
      <c r="AD182" s="83">
        <v>2</v>
      </c>
      <c r="AE182" s="83">
        <v>2</v>
      </c>
      <c r="AF182" s="82"/>
      <c r="AG182" s="11">
        <f t="shared" si="29"/>
        <v>150</v>
      </c>
    </row>
    <row r="183" spans="1:34" ht="18.75" x14ac:dyDescent="0.25">
      <c r="A183" s="76" t="s">
        <v>43</v>
      </c>
      <c r="B183" s="283">
        <v>1</v>
      </c>
      <c r="C183" s="69"/>
      <c r="D183" s="69"/>
      <c r="E183" s="69"/>
      <c r="F183" s="69"/>
      <c r="G183" s="69"/>
      <c r="H183" s="69"/>
      <c r="I183" s="69">
        <v>1</v>
      </c>
      <c r="J183" s="69"/>
      <c r="K183" s="69"/>
      <c r="L183" s="69"/>
      <c r="M183" s="69"/>
      <c r="N183" s="68"/>
      <c r="O183" s="68"/>
      <c r="P183" s="68"/>
      <c r="Q183" s="68"/>
      <c r="R183" s="68"/>
      <c r="S183" s="68"/>
      <c r="T183" s="68"/>
      <c r="U183" s="68"/>
      <c r="V183" s="68"/>
      <c r="W183" s="68">
        <v>3</v>
      </c>
      <c r="X183" s="68"/>
      <c r="Y183" s="68"/>
      <c r="Z183" s="68"/>
      <c r="AA183" s="68"/>
      <c r="AB183" s="68">
        <v>1</v>
      </c>
      <c r="AC183" s="68"/>
      <c r="AD183" s="68"/>
      <c r="AE183" s="68"/>
      <c r="AF183" s="67"/>
      <c r="AG183" s="64">
        <f t="shared" si="29"/>
        <v>6</v>
      </c>
    </row>
    <row r="184" spans="1:34" ht="18.75" x14ac:dyDescent="0.25">
      <c r="A184" s="76" t="s">
        <v>42</v>
      </c>
      <c r="B184" s="283">
        <v>1</v>
      </c>
      <c r="C184" s="69"/>
      <c r="D184" s="69"/>
      <c r="E184" s="69"/>
      <c r="F184" s="69">
        <v>2</v>
      </c>
      <c r="G184" s="69"/>
      <c r="H184" s="69"/>
      <c r="I184" s="69"/>
      <c r="J184" s="69">
        <v>1</v>
      </c>
      <c r="K184" s="69"/>
      <c r="L184" s="69"/>
      <c r="M184" s="69">
        <v>4</v>
      </c>
      <c r="N184" s="68">
        <v>4</v>
      </c>
      <c r="O184" s="68"/>
      <c r="P184" s="68"/>
      <c r="Q184" s="68">
        <v>1</v>
      </c>
      <c r="R184" s="68"/>
      <c r="S184" s="68">
        <v>1</v>
      </c>
      <c r="T184" s="68">
        <v>1</v>
      </c>
      <c r="U184" s="68">
        <v>5</v>
      </c>
      <c r="V184" s="68"/>
      <c r="W184" s="68"/>
      <c r="X184" s="68"/>
      <c r="Y184" s="68"/>
      <c r="Z184" s="68"/>
      <c r="AA184" s="68">
        <v>3</v>
      </c>
      <c r="AB184" s="68">
        <v>8</v>
      </c>
      <c r="AC184" s="68"/>
      <c r="AD184" s="68"/>
      <c r="AE184" s="68"/>
      <c r="AF184" s="67"/>
      <c r="AG184" s="64">
        <f t="shared" si="29"/>
        <v>31</v>
      </c>
    </row>
    <row r="185" spans="1:34" ht="18.75" x14ac:dyDescent="0.25">
      <c r="A185" s="76" t="s">
        <v>41</v>
      </c>
      <c r="B185" s="283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  <c r="AB185" s="68"/>
      <c r="AC185" s="68"/>
      <c r="AD185" s="68"/>
      <c r="AE185" s="68"/>
      <c r="AF185" s="67"/>
      <c r="AG185" s="64">
        <f t="shared" si="29"/>
        <v>0</v>
      </c>
    </row>
    <row r="186" spans="1:34" s="77" customFormat="1" ht="18.75" x14ac:dyDescent="0.25">
      <c r="A186" s="81" t="s">
        <v>40</v>
      </c>
      <c r="B186" s="284">
        <v>66</v>
      </c>
      <c r="C186" s="80">
        <v>52</v>
      </c>
      <c r="D186" s="80">
        <v>52</v>
      </c>
      <c r="E186" s="80">
        <v>58</v>
      </c>
      <c r="F186" s="80">
        <v>83</v>
      </c>
      <c r="G186" s="80">
        <v>65</v>
      </c>
      <c r="H186" s="80">
        <v>86</v>
      </c>
      <c r="I186" s="80">
        <v>78</v>
      </c>
      <c r="J186" s="80">
        <v>76</v>
      </c>
      <c r="K186" s="80">
        <v>57</v>
      </c>
      <c r="L186" s="80">
        <v>53</v>
      </c>
      <c r="M186" s="80">
        <v>89</v>
      </c>
      <c r="N186" s="79">
        <v>94</v>
      </c>
      <c r="O186" s="79">
        <v>70</v>
      </c>
      <c r="P186" s="79">
        <v>65</v>
      </c>
      <c r="Q186" s="79">
        <v>77</v>
      </c>
      <c r="R186" s="79">
        <v>55</v>
      </c>
      <c r="S186" s="79">
        <v>54</v>
      </c>
      <c r="T186" s="79">
        <v>98</v>
      </c>
      <c r="U186" s="79">
        <v>72</v>
      </c>
      <c r="V186" s="79">
        <v>59</v>
      </c>
      <c r="W186" s="79">
        <v>56</v>
      </c>
      <c r="X186" s="79">
        <v>73</v>
      </c>
      <c r="Y186" s="79">
        <v>48</v>
      </c>
      <c r="Z186" s="79">
        <v>48</v>
      </c>
      <c r="AA186" s="79">
        <v>67</v>
      </c>
      <c r="AB186" s="79">
        <v>55</v>
      </c>
      <c r="AC186" s="79">
        <v>72</v>
      </c>
      <c r="AD186" s="79">
        <v>66</v>
      </c>
      <c r="AE186" s="79">
        <v>38</v>
      </c>
      <c r="AF186" s="78"/>
      <c r="AG186" s="21">
        <f t="shared" si="29"/>
        <v>1982</v>
      </c>
    </row>
    <row r="187" spans="1:34" ht="18.75" x14ac:dyDescent="0.25">
      <c r="A187" s="76" t="s">
        <v>39</v>
      </c>
      <c r="B187" s="283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8"/>
      <c r="O187" s="68"/>
      <c r="P187" s="68">
        <v>1</v>
      </c>
      <c r="Q187" s="68"/>
      <c r="R187" s="68"/>
      <c r="S187" s="68"/>
      <c r="T187" s="68"/>
      <c r="U187" s="68"/>
      <c r="V187" s="68"/>
      <c r="W187" s="68"/>
      <c r="X187" s="68"/>
      <c r="Y187" s="68"/>
      <c r="Z187" s="68"/>
      <c r="AA187" s="68"/>
      <c r="AB187" s="68"/>
      <c r="AC187" s="68"/>
      <c r="AD187" s="68"/>
      <c r="AE187" s="68"/>
      <c r="AF187" s="67"/>
      <c r="AG187" s="64">
        <f t="shared" si="29"/>
        <v>1</v>
      </c>
    </row>
    <row r="188" spans="1:34" ht="18.75" x14ac:dyDescent="0.25">
      <c r="A188" s="76" t="s">
        <v>38</v>
      </c>
      <c r="B188" s="283"/>
      <c r="C188" s="69"/>
      <c r="D188" s="69"/>
      <c r="E188" s="69"/>
      <c r="F188" s="69"/>
      <c r="G188" s="69"/>
      <c r="H188" s="69"/>
      <c r="I188" s="69">
        <v>1</v>
      </c>
      <c r="J188" s="69"/>
      <c r="K188" s="69"/>
      <c r="L188" s="69"/>
      <c r="M188" s="69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  <c r="AA188" s="68"/>
      <c r="AB188" s="68"/>
      <c r="AC188" s="68"/>
      <c r="AD188" s="68">
        <v>1</v>
      </c>
      <c r="AE188" s="68"/>
      <c r="AF188" s="67"/>
      <c r="AG188" s="64">
        <f t="shared" si="29"/>
        <v>2</v>
      </c>
    </row>
    <row r="189" spans="1:34" ht="18.75" x14ac:dyDescent="0.25">
      <c r="A189" s="76" t="s">
        <v>37</v>
      </c>
      <c r="B189" s="283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  <c r="AA189" s="68"/>
      <c r="AB189" s="68"/>
      <c r="AC189" s="68"/>
      <c r="AD189" s="68"/>
      <c r="AE189" s="68"/>
      <c r="AF189" s="67"/>
      <c r="AG189" s="64">
        <f t="shared" si="29"/>
        <v>0</v>
      </c>
    </row>
    <row r="190" spans="1:34" ht="18.75" x14ac:dyDescent="0.25">
      <c r="A190" s="76" t="s">
        <v>36</v>
      </c>
      <c r="B190" s="283">
        <v>3</v>
      </c>
      <c r="C190" s="69"/>
      <c r="D190" s="69"/>
      <c r="E190" s="69"/>
      <c r="F190" s="69">
        <v>3</v>
      </c>
      <c r="G190" s="69">
        <v>3</v>
      </c>
      <c r="H190" s="69"/>
      <c r="I190" s="69">
        <v>5</v>
      </c>
      <c r="J190" s="69"/>
      <c r="K190" s="69"/>
      <c r="L190" s="69"/>
      <c r="M190" s="69"/>
      <c r="N190" s="68"/>
      <c r="O190" s="68"/>
      <c r="P190" s="68"/>
      <c r="Q190" s="68">
        <v>4</v>
      </c>
      <c r="R190" s="68"/>
      <c r="S190" s="68"/>
      <c r="T190" s="68">
        <v>3</v>
      </c>
      <c r="U190" s="68">
        <v>3</v>
      </c>
      <c r="V190" s="68"/>
      <c r="W190" s="68">
        <v>4</v>
      </c>
      <c r="X190" s="68"/>
      <c r="Y190" s="68"/>
      <c r="Z190" s="68">
        <v>2</v>
      </c>
      <c r="AA190" s="68"/>
      <c r="AB190" s="68"/>
      <c r="AC190" s="68"/>
      <c r="AD190" s="68">
        <v>6</v>
      </c>
      <c r="AE190" s="68"/>
      <c r="AF190" s="67"/>
      <c r="AG190" s="64">
        <f t="shared" si="29"/>
        <v>36</v>
      </c>
    </row>
    <row r="191" spans="1:34" ht="18.75" x14ac:dyDescent="0.25">
      <c r="A191" s="66" t="s">
        <v>35</v>
      </c>
      <c r="B191" s="283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  <c r="AA191" s="68"/>
      <c r="AB191" s="68"/>
      <c r="AC191" s="68"/>
      <c r="AD191" s="68"/>
      <c r="AE191" s="68"/>
      <c r="AF191" s="67"/>
      <c r="AG191" s="64">
        <f t="shared" si="29"/>
        <v>0</v>
      </c>
    </row>
    <row r="192" spans="1:34" ht="18.75" x14ac:dyDescent="0.25">
      <c r="A192" s="66" t="s">
        <v>34</v>
      </c>
      <c r="B192" s="283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  <c r="AA192" s="68"/>
      <c r="AB192" s="68"/>
      <c r="AC192" s="68"/>
      <c r="AD192" s="68"/>
      <c r="AE192" s="68"/>
      <c r="AF192" s="67"/>
      <c r="AG192" s="64">
        <f t="shared" si="29"/>
        <v>0</v>
      </c>
    </row>
    <row r="193" spans="1:34" ht="18.75" x14ac:dyDescent="0.25">
      <c r="A193" s="66" t="s">
        <v>33</v>
      </c>
      <c r="B193" s="283"/>
      <c r="C193" s="69"/>
      <c r="D193" s="69"/>
      <c r="E193" s="69"/>
      <c r="F193" s="69"/>
      <c r="G193" s="69"/>
      <c r="H193" s="69"/>
      <c r="I193" s="69">
        <v>1</v>
      </c>
      <c r="J193" s="69"/>
      <c r="K193" s="69"/>
      <c r="L193" s="69"/>
      <c r="M193" s="69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  <c r="AA193" s="68"/>
      <c r="AB193" s="68"/>
      <c r="AC193" s="68"/>
      <c r="AD193" s="68"/>
      <c r="AE193" s="68"/>
      <c r="AF193" s="67"/>
      <c r="AG193" s="64">
        <f t="shared" si="29"/>
        <v>1</v>
      </c>
    </row>
    <row r="194" spans="1:34" ht="18.75" x14ac:dyDescent="0.25">
      <c r="A194" s="66" t="s">
        <v>32</v>
      </c>
      <c r="B194" s="283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  <c r="AA194" s="68"/>
      <c r="AB194" s="68"/>
      <c r="AC194" s="68"/>
      <c r="AD194" s="68"/>
      <c r="AE194" s="68"/>
      <c r="AF194" s="67"/>
      <c r="AG194" s="64">
        <f t="shared" si="29"/>
        <v>0</v>
      </c>
    </row>
    <row r="195" spans="1:34" ht="18.75" x14ac:dyDescent="0.25">
      <c r="A195" s="75" t="s">
        <v>31</v>
      </c>
      <c r="B195" s="285"/>
      <c r="C195" s="74">
        <v>3</v>
      </c>
      <c r="D195" s="74">
        <v>1</v>
      </c>
      <c r="E195" s="74"/>
      <c r="F195" s="74"/>
      <c r="G195" s="74"/>
      <c r="H195" s="74"/>
      <c r="I195" s="74"/>
      <c r="J195" s="74"/>
      <c r="K195" s="74">
        <v>1</v>
      </c>
      <c r="L195" s="74"/>
      <c r="M195" s="74"/>
      <c r="N195" s="73">
        <v>1</v>
      </c>
      <c r="O195" s="73">
        <v>1</v>
      </c>
      <c r="P195" s="73"/>
      <c r="Q195" s="73">
        <v>3</v>
      </c>
      <c r="R195" s="73">
        <v>2</v>
      </c>
      <c r="S195" s="73">
        <v>1</v>
      </c>
      <c r="T195" s="73"/>
      <c r="U195" s="73">
        <v>2</v>
      </c>
      <c r="V195" s="73"/>
      <c r="W195" s="73"/>
      <c r="X195" s="73"/>
      <c r="Y195" s="73">
        <v>1</v>
      </c>
      <c r="Z195" s="73"/>
      <c r="AA195" s="73"/>
      <c r="AB195" s="73">
        <v>2</v>
      </c>
      <c r="AC195" s="73">
        <v>1</v>
      </c>
      <c r="AD195" s="73"/>
      <c r="AE195" s="73">
        <v>4</v>
      </c>
      <c r="AF195" s="72"/>
      <c r="AG195" s="71">
        <f t="shared" si="29"/>
        <v>23</v>
      </c>
    </row>
    <row r="196" spans="1:34" ht="18.75" x14ac:dyDescent="0.25">
      <c r="A196" s="70" t="s">
        <v>30</v>
      </c>
      <c r="B196" s="283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  <c r="AB196" s="68"/>
      <c r="AC196" s="68"/>
      <c r="AD196" s="68"/>
      <c r="AE196" s="68"/>
      <c r="AF196" s="67"/>
      <c r="AG196" s="64">
        <f t="shared" si="29"/>
        <v>0</v>
      </c>
    </row>
    <row r="197" spans="1:34" ht="18.75" x14ac:dyDescent="0.25">
      <c r="A197" s="70" t="s">
        <v>29</v>
      </c>
      <c r="B197" s="283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  <c r="AA197" s="68"/>
      <c r="AB197" s="68"/>
      <c r="AC197" s="68"/>
      <c r="AD197" s="68"/>
      <c r="AE197" s="68"/>
      <c r="AF197" s="67"/>
      <c r="AG197" s="64">
        <f t="shared" si="29"/>
        <v>0</v>
      </c>
    </row>
    <row r="198" spans="1:34" ht="18.75" x14ac:dyDescent="0.25">
      <c r="A198" s="70" t="s">
        <v>28</v>
      </c>
      <c r="B198" s="283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  <c r="AA198" s="68"/>
      <c r="AB198" s="68"/>
      <c r="AC198" s="68"/>
      <c r="AD198" s="68"/>
      <c r="AE198" s="68"/>
      <c r="AF198" s="67"/>
      <c r="AG198" s="64">
        <f t="shared" si="29"/>
        <v>0</v>
      </c>
    </row>
    <row r="199" spans="1:34" ht="18.75" x14ac:dyDescent="0.25">
      <c r="A199" s="70" t="s">
        <v>27</v>
      </c>
      <c r="B199" s="283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8"/>
      <c r="O199" s="68"/>
      <c r="P199" s="68"/>
      <c r="Q199" s="68">
        <v>1</v>
      </c>
      <c r="R199" s="68"/>
      <c r="S199" s="68"/>
      <c r="T199" s="68"/>
      <c r="U199" s="68"/>
      <c r="V199" s="68"/>
      <c r="W199" s="68"/>
      <c r="X199" s="68"/>
      <c r="Y199" s="68"/>
      <c r="Z199" s="68"/>
      <c r="AA199" s="68"/>
      <c r="AB199" s="68"/>
      <c r="AC199" s="68"/>
      <c r="AD199" s="68"/>
      <c r="AE199" s="68">
        <v>1</v>
      </c>
      <c r="AF199" s="67"/>
      <c r="AG199" s="64">
        <f t="shared" si="29"/>
        <v>2</v>
      </c>
    </row>
    <row r="200" spans="1:34" ht="18.75" x14ac:dyDescent="0.25">
      <c r="A200" s="70" t="s">
        <v>26</v>
      </c>
      <c r="B200" s="283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  <c r="AA200" s="68"/>
      <c r="AB200" s="68"/>
      <c r="AC200" s="68"/>
      <c r="AD200" s="68"/>
      <c r="AE200" s="68"/>
      <c r="AF200" s="67"/>
      <c r="AG200" s="64">
        <f t="shared" si="29"/>
        <v>0</v>
      </c>
    </row>
    <row r="201" spans="1:34" ht="18.75" x14ac:dyDescent="0.25">
      <c r="A201" s="70" t="s">
        <v>25</v>
      </c>
      <c r="B201" s="283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  <c r="AA201" s="68"/>
      <c r="AB201" s="68"/>
      <c r="AC201" s="68"/>
      <c r="AD201" s="68"/>
      <c r="AE201" s="68"/>
      <c r="AF201" s="67"/>
      <c r="AG201" s="64">
        <f t="shared" si="29"/>
        <v>0</v>
      </c>
    </row>
    <row r="202" spans="1:34" ht="18.75" x14ac:dyDescent="0.25">
      <c r="A202" s="66" t="s">
        <v>24</v>
      </c>
      <c r="B202" s="283">
        <v>1</v>
      </c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  <c r="AA202" s="68"/>
      <c r="AB202" s="68"/>
      <c r="AC202" s="68"/>
      <c r="AD202" s="68"/>
      <c r="AE202" s="68"/>
      <c r="AF202" s="67"/>
      <c r="AG202" s="64">
        <f t="shared" si="29"/>
        <v>1</v>
      </c>
    </row>
    <row r="203" spans="1:34" ht="18.75" x14ac:dyDescent="0.25">
      <c r="A203" s="66" t="s">
        <v>23</v>
      </c>
      <c r="B203" s="283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  <c r="AA203" s="68"/>
      <c r="AB203" s="68"/>
      <c r="AC203" s="68"/>
      <c r="AD203" s="68"/>
      <c r="AE203" s="68"/>
      <c r="AF203" s="67"/>
      <c r="AG203" s="64">
        <f t="shared" si="29"/>
        <v>0</v>
      </c>
    </row>
    <row r="204" spans="1:34" ht="18.75" x14ac:dyDescent="0.25">
      <c r="A204" s="66" t="s">
        <v>22</v>
      </c>
      <c r="B204" s="283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  <c r="AA204" s="68"/>
      <c r="AB204" s="68"/>
      <c r="AC204" s="68"/>
      <c r="AD204" s="68">
        <v>1</v>
      </c>
      <c r="AE204" s="68"/>
      <c r="AF204" s="67"/>
      <c r="AG204" s="64">
        <f t="shared" si="29"/>
        <v>1</v>
      </c>
    </row>
    <row r="205" spans="1:34" ht="18.75" x14ac:dyDescent="0.25">
      <c r="A205" s="66" t="s">
        <v>21</v>
      </c>
      <c r="B205" s="286"/>
      <c r="C205" s="62"/>
      <c r="D205" s="62"/>
      <c r="E205" s="62"/>
      <c r="F205" s="62">
        <v>1</v>
      </c>
      <c r="G205" s="62"/>
      <c r="H205" s="62"/>
      <c r="I205" s="62">
        <v>1</v>
      </c>
      <c r="J205" s="62"/>
      <c r="K205" s="62"/>
      <c r="L205" s="62">
        <v>1</v>
      </c>
      <c r="M205" s="62"/>
      <c r="N205" s="61"/>
      <c r="O205" s="61">
        <v>1</v>
      </c>
      <c r="P205" s="61"/>
      <c r="Q205" s="61">
        <v>1</v>
      </c>
      <c r="R205" s="61"/>
      <c r="S205" s="61"/>
      <c r="T205" s="61"/>
      <c r="U205" s="61"/>
      <c r="V205" s="61">
        <v>1</v>
      </c>
      <c r="W205" s="61"/>
      <c r="X205" s="61">
        <v>1</v>
      </c>
      <c r="Y205" s="61"/>
      <c r="Z205" s="61"/>
      <c r="AA205" s="61"/>
      <c r="AB205" s="61"/>
      <c r="AC205" s="61"/>
      <c r="AD205" s="61"/>
      <c r="AE205" s="61"/>
      <c r="AF205" s="60"/>
      <c r="AG205" s="64">
        <f t="shared" si="29"/>
        <v>7</v>
      </c>
    </row>
    <row r="206" spans="1:34" ht="18.75" x14ac:dyDescent="0.25">
      <c r="A206" s="65" t="s">
        <v>20</v>
      </c>
      <c r="B206" s="286"/>
      <c r="C206" s="62">
        <v>1</v>
      </c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1"/>
      <c r="O206" s="61"/>
      <c r="P206" s="61"/>
      <c r="Q206" s="61">
        <v>1</v>
      </c>
      <c r="R206" s="61"/>
      <c r="S206" s="61"/>
      <c r="T206" s="61"/>
      <c r="U206" s="61"/>
      <c r="V206" s="61"/>
      <c r="W206" s="61"/>
      <c r="X206" s="61"/>
      <c r="Y206" s="61"/>
      <c r="Z206" s="61">
        <v>1</v>
      </c>
      <c r="AA206" s="61">
        <v>1</v>
      </c>
      <c r="AB206" s="61"/>
      <c r="AC206" s="61"/>
      <c r="AD206" s="61"/>
      <c r="AE206" s="61"/>
      <c r="AF206" s="60"/>
      <c r="AG206" s="64">
        <f t="shared" si="29"/>
        <v>4</v>
      </c>
    </row>
    <row r="207" spans="1:34" ht="19.5" thickBot="1" x14ac:dyDescent="0.3">
      <c r="A207" s="63" t="s">
        <v>19</v>
      </c>
      <c r="B207" s="286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  <c r="AB207" s="61"/>
      <c r="AC207" s="61"/>
      <c r="AD207" s="61"/>
      <c r="AE207" s="61"/>
      <c r="AF207" s="60"/>
      <c r="AG207" s="10">
        <f t="shared" si="29"/>
        <v>0</v>
      </c>
    </row>
    <row r="208" spans="1:34" ht="19.5" thickBot="1" x14ac:dyDescent="0.3">
      <c r="A208" s="59" t="s">
        <v>18</v>
      </c>
      <c r="B208" s="287">
        <f t="shared" ref="B208:AF208" si="31">SUM(B209:B213)</f>
        <v>117</v>
      </c>
      <c r="C208" s="57">
        <f t="shared" si="31"/>
        <v>153</v>
      </c>
      <c r="D208" s="57">
        <f t="shared" si="31"/>
        <v>133</v>
      </c>
      <c r="E208" s="57">
        <f t="shared" si="31"/>
        <v>127</v>
      </c>
      <c r="F208" s="57">
        <f t="shared" si="31"/>
        <v>149</v>
      </c>
      <c r="G208" s="57">
        <f t="shared" si="31"/>
        <v>125</v>
      </c>
      <c r="H208" s="57">
        <f t="shared" si="31"/>
        <v>130</v>
      </c>
      <c r="I208" s="57">
        <f t="shared" si="31"/>
        <v>124</v>
      </c>
      <c r="J208" s="57">
        <f t="shared" si="31"/>
        <v>130</v>
      </c>
      <c r="K208" s="57">
        <f t="shared" si="31"/>
        <v>148</v>
      </c>
      <c r="L208" s="57">
        <f t="shared" si="31"/>
        <v>141</v>
      </c>
      <c r="M208" s="57">
        <f t="shared" si="31"/>
        <v>145</v>
      </c>
      <c r="N208" s="56">
        <f t="shared" si="31"/>
        <v>156</v>
      </c>
      <c r="O208" s="56">
        <f t="shared" si="31"/>
        <v>138</v>
      </c>
      <c r="P208" s="56">
        <f t="shared" si="31"/>
        <v>133</v>
      </c>
      <c r="Q208" s="56">
        <f t="shared" si="31"/>
        <v>145</v>
      </c>
      <c r="R208" s="56">
        <f t="shared" si="31"/>
        <v>124</v>
      </c>
      <c r="S208" s="56">
        <f t="shared" si="31"/>
        <v>126</v>
      </c>
      <c r="T208" s="56">
        <f t="shared" si="31"/>
        <v>156</v>
      </c>
      <c r="U208" s="56">
        <f t="shared" si="31"/>
        <v>127</v>
      </c>
      <c r="V208" s="56">
        <f t="shared" si="31"/>
        <v>99</v>
      </c>
      <c r="W208" s="56">
        <f t="shared" si="31"/>
        <v>107</v>
      </c>
      <c r="X208" s="56">
        <f t="shared" si="31"/>
        <v>125</v>
      </c>
      <c r="Y208" s="56">
        <f t="shared" si="31"/>
        <v>120</v>
      </c>
      <c r="Z208" s="56">
        <f t="shared" si="31"/>
        <v>124</v>
      </c>
      <c r="AA208" s="56">
        <f t="shared" si="31"/>
        <v>137</v>
      </c>
      <c r="AB208" s="56">
        <f t="shared" si="31"/>
        <v>106</v>
      </c>
      <c r="AC208" s="56">
        <f t="shared" si="31"/>
        <v>126</v>
      </c>
      <c r="AD208" s="56">
        <f t="shared" si="31"/>
        <v>125</v>
      </c>
      <c r="AE208" s="56">
        <f t="shared" si="31"/>
        <v>83</v>
      </c>
      <c r="AF208" s="55">
        <f t="shared" si="31"/>
        <v>0</v>
      </c>
      <c r="AG208" s="54">
        <f t="shared" si="29"/>
        <v>3879</v>
      </c>
      <c r="AH208" s="53" t="str">
        <f>IF(AG208&lt;&gt;AG93,"X","")</f>
        <v/>
      </c>
    </row>
    <row r="209" spans="1:34" ht="18.75" x14ac:dyDescent="0.25">
      <c r="A209" s="344" t="s">
        <v>17</v>
      </c>
      <c r="B209" s="288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0"/>
      <c r="O209" s="50"/>
      <c r="P209" s="50"/>
      <c r="Q209" s="50"/>
      <c r="R209" s="50"/>
      <c r="S209" s="50"/>
      <c r="T209" s="50">
        <v>1</v>
      </c>
      <c r="U209" s="50"/>
      <c r="V209" s="50"/>
      <c r="W209" s="50"/>
      <c r="X209" s="50"/>
      <c r="Y209" s="50"/>
      <c r="Z209" s="50"/>
      <c r="AA209" s="50"/>
      <c r="AB209" s="50"/>
      <c r="AC209" s="50"/>
      <c r="AD209" s="50"/>
      <c r="AE209" s="50"/>
      <c r="AF209" s="49"/>
      <c r="AG209" s="48">
        <f t="shared" si="29"/>
        <v>1</v>
      </c>
    </row>
    <row r="210" spans="1:34" ht="18.75" x14ac:dyDescent="0.25">
      <c r="A210" s="345" t="s">
        <v>16</v>
      </c>
      <c r="B210" s="289">
        <v>1</v>
      </c>
      <c r="C210" s="46">
        <v>1</v>
      </c>
      <c r="D210" s="46"/>
      <c r="E210" s="46">
        <v>3</v>
      </c>
      <c r="F210" s="46">
        <v>1</v>
      </c>
      <c r="G210" s="46">
        <v>2</v>
      </c>
      <c r="H210" s="46">
        <v>2</v>
      </c>
      <c r="I210" s="46">
        <v>2</v>
      </c>
      <c r="J210" s="46"/>
      <c r="K210" s="46">
        <v>1</v>
      </c>
      <c r="L210" s="46">
        <v>1</v>
      </c>
      <c r="M210" s="46"/>
      <c r="N210" s="45">
        <v>2</v>
      </c>
      <c r="O210" s="45"/>
      <c r="P210" s="45"/>
      <c r="Q210" s="45"/>
      <c r="R210" s="45">
        <v>1</v>
      </c>
      <c r="S210" s="45"/>
      <c r="T210" s="45"/>
      <c r="U210" s="45">
        <v>1</v>
      </c>
      <c r="V210" s="45">
        <v>2</v>
      </c>
      <c r="W210" s="45">
        <v>2</v>
      </c>
      <c r="X210" s="45">
        <v>1</v>
      </c>
      <c r="Y210" s="45">
        <v>3</v>
      </c>
      <c r="Z210" s="45">
        <v>1</v>
      </c>
      <c r="AA210" s="45">
        <v>2</v>
      </c>
      <c r="AB210" s="45">
        <v>1</v>
      </c>
      <c r="AC210" s="45">
        <v>1</v>
      </c>
      <c r="AD210" s="45">
        <v>1</v>
      </c>
      <c r="AE210" s="45">
        <v>1</v>
      </c>
      <c r="AF210" s="44"/>
      <c r="AG210" s="43">
        <f t="shared" si="29"/>
        <v>33</v>
      </c>
    </row>
    <row r="211" spans="1:34" ht="18.75" x14ac:dyDescent="0.25">
      <c r="A211" s="345" t="s">
        <v>15</v>
      </c>
      <c r="B211" s="289">
        <v>14</v>
      </c>
      <c r="C211" s="46">
        <v>34</v>
      </c>
      <c r="D211" s="46">
        <v>13</v>
      </c>
      <c r="E211" s="46">
        <v>9</v>
      </c>
      <c r="F211" s="46">
        <v>14</v>
      </c>
      <c r="G211" s="46">
        <v>14</v>
      </c>
      <c r="H211" s="46">
        <v>9</v>
      </c>
      <c r="I211" s="46">
        <v>12</v>
      </c>
      <c r="J211" s="46">
        <v>14</v>
      </c>
      <c r="K211" s="46">
        <v>16</v>
      </c>
      <c r="L211" s="46">
        <v>12</v>
      </c>
      <c r="M211" s="46">
        <v>7</v>
      </c>
      <c r="N211" s="45">
        <v>11</v>
      </c>
      <c r="O211" s="45">
        <v>17</v>
      </c>
      <c r="P211" s="45">
        <v>12</v>
      </c>
      <c r="Q211" s="45">
        <v>20</v>
      </c>
      <c r="R211" s="45">
        <v>13</v>
      </c>
      <c r="S211" s="45">
        <v>16</v>
      </c>
      <c r="T211" s="45">
        <v>8</v>
      </c>
      <c r="U211" s="45">
        <v>9</v>
      </c>
      <c r="V211" s="45">
        <v>3</v>
      </c>
      <c r="W211" s="45">
        <v>4</v>
      </c>
      <c r="X211" s="45">
        <v>5</v>
      </c>
      <c r="Y211" s="45">
        <v>7</v>
      </c>
      <c r="Z211" s="45">
        <v>9</v>
      </c>
      <c r="AA211" s="45">
        <v>15</v>
      </c>
      <c r="AB211" s="45">
        <v>6</v>
      </c>
      <c r="AC211" s="45">
        <v>11</v>
      </c>
      <c r="AD211" s="45">
        <v>7</v>
      </c>
      <c r="AE211" s="45">
        <v>11</v>
      </c>
      <c r="AF211" s="44"/>
      <c r="AG211" s="43">
        <f t="shared" ref="AG211:AG221" si="32">SUM(B211:AF211)</f>
        <v>352</v>
      </c>
    </row>
    <row r="212" spans="1:34" ht="18.75" x14ac:dyDescent="0.25">
      <c r="A212" s="345" t="s">
        <v>14</v>
      </c>
      <c r="B212" s="289">
        <v>76</v>
      </c>
      <c r="C212" s="46">
        <v>57</v>
      </c>
      <c r="D212" s="46">
        <v>91</v>
      </c>
      <c r="E212" s="46">
        <v>86</v>
      </c>
      <c r="F212" s="46">
        <v>105</v>
      </c>
      <c r="G212" s="46">
        <v>80</v>
      </c>
      <c r="H212" s="46">
        <v>107</v>
      </c>
      <c r="I212" s="46">
        <v>96</v>
      </c>
      <c r="J212" s="46">
        <v>88</v>
      </c>
      <c r="K212" s="46">
        <v>70</v>
      </c>
      <c r="L212" s="46">
        <v>93</v>
      </c>
      <c r="M212" s="46">
        <v>133</v>
      </c>
      <c r="N212" s="45">
        <v>118</v>
      </c>
      <c r="O212" s="45">
        <v>92</v>
      </c>
      <c r="P212" s="45">
        <v>105</v>
      </c>
      <c r="Q212" s="45">
        <v>107</v>
      </c>
      <c r="R212" s="45">
        <v>68</v>
      </c>
      <c r="S212" s="45">
        <v>49</v>
      </c>
      <c r="T212" s="45">
        <v>116</v>
      </c>
      <c r="U212" s="45">
        <v>98</v>
      </c>
      <c r="V212" s="45">
        <v>86</v>
      </c>
      <c r="W212" s="45">
        <v>68</v>
      </c>
      <c r="X212" s="45">
        <v>89</v>
      </c>
      <c r="Y212" s="45">
        <v>83</v>
      </c>
      <c r="Z212" s="45">
        <v>79</v>
      </c>
      <c r="AA212" s="45">
        <v>90</v>
      </c>
      <c r="AB212" s="45">
        <v>88</v>
      </c>
      <c r="AC212" s="45">
        <v>106</v>
      </c>
      <c r="AD212" s="45">
        <v>98</v>
      </c>
      <c r="AE212" s="45">
        <v>58</v>
      </c>
      <c r="AF212" s="44"/>
      <c r="AG212" s="43">
        <f t="shared" si="32"/>
        <v>2680</v>
      </c>
    </row>
    <row r="213" spans="1:34" ht="19.5" thickBot="1" x14ac:dyDescent="0.3">
      <c r="A213" s="346" t="s">
        <v>13</v>
      </c>
      <c r="B213" s="290">
        <v>26</v>
      </c>
      <c r="C213" s="41">
        <v>61</v>
      </c>
      <c r="D213" s="41">
        <v>29</v>
      </c>
      <c r="E213" s="41">
        <v>29</v>
      </c>
      <c r="F213" s="41">
        <v>29</v>
      </c>
      <c r="G213" s="41">
        <v>29</v>
      </c>
      <c r="H213" s="41">
        <v>12</v>
      </c>
      <c r="I213" s="41">
        <v>14</v>
      </c>
      <c r="J213" s="41">
        <v>28</v>
      </c>
      <c r="K213" s="41">
        <v>61</v>
      </c>
      <c r="L213" s="41">
        <v>35</v>
      </c>
      <c r="M213" s="41">
        <v>5</v>
      </c>
      <c r="N213" s="40">
        <v>25</v>
      </c>
      <c r="O213" s="40">
        <v>29</v>
      </c>
      <c r="P213" s="40">
        <v>16</v>
      </c>
      <c r="Q213" s="40">
        <v>18</v>
      </c>
      <c r="R213" s="40">
        <v>42</v>
      </c>
      <c r="S213" s="40">
        <v>61</v>
      </c>
      <c r="T213" s="40">
        <v>31</v>
      </c>
      <c r="U213" s="40">
        <v>19</v>
      </c>
      <c r="V213" s="40">
        <v>8</v>
      </c>
      <c r="W213" s="40">
        <v>33</v>
      </c>
      <c r="X213" s="40">
        <v>30</v>
      </c>
      <c r="Y213" s="40">
        <v>27</v>
      </c>
      <c r="Z213" s="40">
        <v>35</v>
      </c>
      <c r="AA213" s="40">
        <v>30</v>
      </c>
      <c r="AB213" s="40">
        <v>11</v>
      </c>
      <c r="AC213" s="40">
        <v>8</v>
      </c>
      <c r="AD213" s="40">
        <v>19</v>
      </c>
      <c r="AE213" s="40">
        <v>13</v>
      </c>
      <c r="AF213" s="39"/>
      <c r="AG213" s="38">
        <f t="shared" si="32"/>
        <v>813</v>
      </c>
    </row>
    <row r="214" spans="1:34" ht="19.5" thickBot="1" x14ac:dyDescent="0.3">
      <c r="A214" s="333" t="s">
        <v>12</v>
      </c>
      <c r="B214" s="361"/>
      <c r="C214" s="362"/>
      <c r="D214" s="362"/>
      <c r="E214" s="362"/>
      <c r="F214" s="362"/>
      <c r="G214" s="362"/>
      <c r="H214" s="362"/>
      <c r="I214" s="362"/>
      <c r="J214" s="362"/>
      <c r="K214" s="362"/>
      <c r="L214" s="362"/>
      <c r="M214" s="362"/>
      <c r="N214" s="360"/>
      <c r="O214" s="360"/>
      <c r="P214" s="360"/>
      <c r="Q214" s="360"/>
      <c r="R214" s="360"/>
      <c r="S214" s="360"/>
      <c r="T214" s="360"/>
      <c r="U214" s="360"/>
      <c r="V214" s="360"/>
      <c r="W214" s="360"/>
      <c r="X214" s="35">
        <f t="shared" ref="X214:AF214" si="33">SUM(X215:X217)</f>
        <v>32</v>
      </c>
      <c r="Y214" s="35">
        <f t="shared" si="33"/>
        <v>44</v>
      </c>
      <c r="Z214" s="35">
        <f t="shared" si="33"/>
        <v>38</v>
      </c>
      <c r="AA214" s="35">
        <f t="shared" si="33"/>
        <v>34</v>
      </c>
      <c r="AB214" s="35">
        <f t="shared" si="33"/>
        <v>35</v>
      </c>
      <c r="AC214" s="35">
        <f t="shared" si="33"/>
        <v>41</v>
      </c>
      <c r="AD214" s="35">
        <f t="shared" si="33"/>
        <v>27</v>
      </c>
      <c r="AE214" s="35">
        <f t="shared" si="33"/>
        <v>26</v>
      </c>
      <c r="AF214" s="34">
        <f t="shared" si="33"/>
        <v>0</v>
      </c>
      <c r="AG214" s="33">
        <f t="shared" si="32"/>
        <v>277</v>
      </c>
    </row>
    <row r="215" spans="1:34" ht="18.75" x14ac:dyDescent="0.25">
      <c r="A215" s="81" t="s">
        <v>7</v>
      </c>
      <c r="B215" s="363"/>
      <c r="C215" s="364"/>
      <c r="D215" s="364"/>
      <c r="E215" s="364"/>
      <c r="F215" s="364"/>
      <c r="G215" s="364"/>
      <c r="H215" s="364"/>
      <c r="I215" s="364"/>
      <c r="J215" s="364"/>
      <c r="K215" s="364"/>
      <c r="L215" s="364"/>
      <c r="M215" s="364"/>
      <c r="N215" s="365"/>
      <c r="O215" s="365"/>
      <c r="P215" s="365"/>
      <c r="Q215" s="365"/>
      <c r="R215" s="365"/>
      <c r="S215" s="365"/>
      <c r="T215" s="365"/>
      <c r="U215" s="365"/>
      <c r="V215" s="365"/>
      <c r="W215" s="365"/>
      <c r="X215" s="30">
        <v>5</v>
      </c>
      <c r="Y215" s="30">
        <v>9</v>
      </c>
      <c r="Z215" s="30">
        <v>3</v>
      </c>
      <c r="AA215" s="30">
        <v>1</v>
      </c>
      <c r="AB215" s="30">
        <v>10</v>
      </c>
      <c r="AC215" s="30">
        <v>11</v>
      </c>
      <c r="AD215" s="30">
        <v>1</v>
      </c>
      <c r="AE215" s="30">
        <v>2</v>
      </c>
      <c r="AF215" s="29"/>
      <c r="AG215" s="28">
        <f t="shared" si="32"/>
        <v>42</v>
      </c>
    </row>
    <row r="216" spans="1:34" ht="18.75" x14ac:dyDescent="0.25">
      <c r="A216" s="347" t="s">
        <v>11</v>
      </c>
      <c r="B216" s="366"/>
      <c r="C216" s="367"/>
      <c r="D216" s="367"/>
      <c r="E216" s="367"/>
      <c r="F216" s="367"/>
      <c r="G216" s="367"/>
      <c r="H216" s="367"/>
      <c r="I216" s="367"/>
      <c r="J216" s="367"/>
      <c r="K216" s="367"/>
      <c r="L216" s="367"/>
      <c r="M216" s="367"/>
      <c r="N216" s="368"/>
      <c r="O216" s="368"/>
      <c r="P216" s="368"/>
      <c r="Q216" s="368"/>
      <c r="R216" s="368"/>
      <c r="S216" s="368"/>
      <c r="T216" s="368"/>
      <c r="U216" s="368"/>
      <c r="V216" s="368"/>
      <c r="W216" s="368"/>
      <c r="X216" s="24">
        <v>27</v>
      </c>
      <c r="Y216" s="24">
        <v>35</v>
      </c>
      <c r="Z216" s="24">
        <v>35</v>
      </c>
      <c r="AA216" s="24">
        <v>33</v>
      </c>
      <c r="AB216" s="24">
        <v>25</v>
      </c>
      <c r="AC216" s="24">
        <v>30</v>
      </c>
      <c r="AD216" s="24">
        <v>22</v>
      </c>
      <c r="AE216" s="24">
        <v>23</v>
      </c>
      <c r="AF216" s="23"/>
      <c r="AG216" s="21">
        <f t="shared" si="32"/>
        <v>230</v>
      </c>
    </row>
    <row r="217" spans="1:34" ht="19.5" thickBot="1" x14ac:dyDescent="0.3">
      <c r="A217" s="348" t="s">
        <v>8</v>
      </c>
      <c r="B217" s="366"/>
      <c r="C217" s="367"/>
      <c r="D217" s="367"/>
      <c r="E217" s="367"/>
      <c r="F217" s="367"/>
      <c r="G217" s="367"/>
      <c r="H217" s="367"/>
      <c r="I217" s="367"/>
      <c r="J217" s="367"/>
      <c r="K217" s="367"/>
      <c r="L217" s="367"/>
      <c r="M217" s="367"/>
      <c r="N217" s="368"/>
      <c r="O217" s="368"/>
      <c r="P217" s="368"/>
      <c r="Q217" s="368"/>
      <c r="R217" s="368"/>
      <c r="S217" s="368"/>
      <c r="T217" s="368"/>
      <c r="U217" s="368"/>
      <c r="V217" s="368"/>
      <c r="W217" s="368"/>
      <c r="X217" s="24"/>
      <c r="Y217" s="24"/>
      <c r="Z217" s="24"/>
      <c r="AA217" s="24"/>
      <c r="AB217" s="24"/>
      <c r="AC217" s="24"/>
      <c r="AD217" s="24">
        <v>4</v>
      </c>
      <c r="AE217" s="24">
        <v>1</v>
      </c>
      <c r="AF217" s="23"/>
      <c r="AG217" s="21"/>
    </row>
    <row r="218" spans="1:34" ht="19.5" thickBot="1" x14ac:dyDescent="0.3">
      <c r="A218" s="327" t="s">
        <v>164</v>
      </c>
      <c r="B218" s="294"/>
      <c r="C218" s="226"/>
      <c r="D218" s="226"/>
      <c r="E218" s="226"/>
      <c r="F218" s="226"/>
      <c r="G218" s="226"/>
      <c r="H218" s="226"/>
      <c r="I218" s="226"/>
      <c r="J218" s="226"/>
      <c r="K218" s="226"/>
      <c r="L218" s="226"/>
      <c r="M218" s="226"/>
      <c r="N218" s="226"/>
      <c r="O218" s="226"/>
      <c r="P218" s="226"/>
      <c r="Q218" s="226"/>
      <c r="R218" s="226"/>
      <c r="S218" s="226"/>
      <c r="T218" s="226"/>
      <c r="U218" s="226"/>
      <c r="V218" s="226"/>
      <c r="W218" s="226"/>
      <c r="X218" s="143">
        <f t="shared" ref="X218:AF218" si="34">SUM(X219:X221)</f>
        <v>41</v>
      </c>
      <c r="Y218" s="143">
        <f t="shared" si="34"/>
        <v>0</v>
      </c>
      <c r="Z218" s="143">
        <f t="shared" si="34"/>
        <v>6</v>
      </c>
      <c r="AA218" s="143">
        <f t="shared" si="34"/>
        <v>23</v>
      </c>
      <c r="AB218" s="143">
        <f t="shared" si="34"/>
        <v>28</v>
      </c>
      <c r="AC218" s="143">
        <f t="shared" si="34"/>
        <v>20</v>
      </c>
      <c r="AD218" s="143">
        <f t="shared" si="34"/>
        <v>40</v>
      </c>
      <c r="AE218" s="143">
        <f t="shared" si="34"/>
        <v>16</v>
      </c>
      <c r="AF218" s="142">
        <f t="shared" si="34"/>
        <v>0</v>
      </c>
      <c r="AG218" s="86">
        <f t="shared" si="32"/>
        <v>174</v>
      </c>
    </row>
    <row r="219" spans="1:34" ht="18.75" x14ac:dyDescent="0.25">
      <c r="A219" s="349" t="s">
        <v>165</v>
      </c>
      <c r="B219" s="295"/>
      <c r="C219" s="227"/>
      <c r="D219" s="227"/>
      <c r="E219" s="227"/>
      <c r="F219" s="227"/>
      <c r="G219" s="227"/>
      <c r="H219" s="227"/>
      <c r="I219" s="227"/>
      <c r="J219" s="227"/>
      <c r="K219" s="227"/>
      <c r="L219" s="227"/>
      <c r="M219" s="227"/>
      <c r="N219" s="227"/>
      <c r="O219" s="227"/>
      <c r="P219" s="227"/>
      <c r="Q219" s="227"/>
      <c r="R219" s="227"/>
      <c r="S219" s="227"/>
      <c r="T219" s="227"/>
      <c r="U219" s="227"/>
      <c r="V219" s="227"/>
      <c r="W219" s="227"/>
      <c r="X219" s="218">
        <v>9</v>
      </c>
      <c r="Y219" s="218">
        <v>0</v>
      </c>
      <c r="Z219" s="218">
        <v>4</v>
      </c>
      <c r="AA219" s="218">
        <v>5</v>
      </c>
      <c r="AB219" s="218">
        <v>8</v>
      </c>
      <c r="AC219" s="218">
        <v>4</v>
      </c>
      <c r="AD219" s="218">
        <v>11</v>
      </c>
      <c r="AE219" s="218">
        <v>2</v>
      </c>
      <c r="AF219" s="224"/>
      <c r="AG219" s="225">
        <f t="shared" si="32"/>
        <v>43</v>
      </c>
    </row>
    <row r="220" spans="1:34" ht="18.75" x14ac:dyDescent="0.25">
      <c r="A220" s="350" t="s">
        <v>166</v>
      </c>
      <c r="B220" s="296"/>
      <c r="C220" s="231"/>
      <c r="D220" s="231"/>
      <c r="E220" s="231"/>
      <c r="F220" s="231"/>
      <c r="G220" s="231"/>
      <c r="H220" s="231"/>
      <c r="I220" s="231"/>
      <c r="J220" s="231"/>
      <c r="K220" s="231"/>
      <c r="L220" s="231"/>
      <c r="M220" s="231"/>
      <c r="N220" s="231"/>
      <c r="O220" s="231"/>
      <c r="P220" s="231"/>
      <c r="Q220" s="231"/>
      <c r="R220" s="231"/>
      <c r="S220" s="231"/>
      <c r="T220" s="231"/>
      <c r="U220" s="231"/>
      <c r="V220" s="231"/>
      <c r="W220" s="231"/>
      <c r="X220" s="219">
        <v>32</v>
      </c>
      <c r="Y220" s="219">
        <v>0</v>
      </c>
      <c r="Z220" s="219">
        <v>2</v>
      </c>
      <c r="AA220" s="219">
        <v>18</v>
      </c>
      <c r="AB220" s="219">
        <v>20</v>
      </c>
      <c r="AC220" s="219">
        <v>16</v>
      </c>
      <c r="AD220" s="219">
        <v>28</v>
      </c>
      <c r="AE220" s="219">
        <v>14</v>
      </c>
      <c r="AF220" s="232"/>
      <c r="AG220" s="164">
        <f t="shared" si="32"/>
        <v>130</v>
      </c>
    </row>
    <row r="221" spans="1:34" ht="19.5" thickBot="1" x14ac:dyDescent="0.3">
      <c r="A221" s="324" t="s">
        <v>167</v>
      </c>
      <c r="B221" s="296"/>
      <c r="C221" s="231"/>
      <c r="D221" s="231"/>
      <c r="E221" s="231"/>
      <c r="F221" s="231"/>
      <c r="G221" s="231"/>
      <c r="H221" s="231"/>
      <c r="I221" s="231"/>
      <c r="J221" s="231"/>
      <c r="K221" s="231"/>
      <c r="L221" s="231"/>
      <c r="M221" s="231"/>
      <c r="N221" s="231"/>
      <c r="O221" s="231"/>
      <c r="P221" s="231"/>
      <c r="Q221" s="231"/>
      <c r="R221" s="231"/>
      <c r="S221" s="231"/>
      <c r="T221" s="231"/>
      <c r="U221" s="231"/>
      <c r="V221" s="231"/>
      <c r="W221" s="231"/>
      <c r="X221" s="140"/>
      <c r="Y221" s="140"/>
      <c r="Z221" s="140"/>
      <c r="AA221" s="140"/>
      <c r="AB221" s="140"/>
      <c r="AC221" s="140"/>
      <c r="AD221" s="140">
        <v>1</v>
      </c>
      <c r="AE221" s="140">
        <v>0</v>
      </c>
      <c r="AF221" s="233"/>
      <c r="AG221" s="153">
        <f t="shared" si="32"/>
        <v>1</v>
      </c>
    </row>
    <row r="222" spans="1:34" ht="18.75" x14ac:dyDescent="0.25">
      <c r="A222" s="351" t="s">
        <v>4</v>
      </c>
      <c r="B222" s="265">
        <f t="shared" ref="B222:AF222" si="35">SUM(B223:B225)</f>
        <v>9</v>
      </c>
      <c r="C222" s="8">
        <f t="shared" si="35"/>
        <v>7</v>
      </c>
      <c r="D222" s="8">
        <f t="shared" si="35"/>
        <v>3</v>
      </c>
      <c r="E222" s="8">
        <f t="shared" si="35"/>
        <v>7</v>
      </c>
      <c r="F222" s="8">
        <f t="shared" si="35"/>
        <v>11</v>
      </c>
      <c r="G222" s="8">
        <f t="shared" si="35"/>
        <v>9</v>
      </c>
      <c r="H222" s="8">
        <f t="shared" si="35"/>
        <v>8</v>
      </c>
      <c r="I222" s="8">
        <f t="shared" si="35"/>
        <v>6</v>
      </c>
      <c r="J222" s="8">
        <f t="shared" si="35"/>
        <v>9</v>
      </c>
      <c r="K222" s="8">
        <f t="shared" si="35"/>
        <v>13</v>
      </c>
      <c r="L222" s="8">
        <f t="shared" si="35"/>
        <v>7</v>
      </c>
      <c r="M222" s="8">
        <f t="shared" si="35"/>
        <v>17</v>
      </c>
      <c r="N222" s="8">
        <f t="shared" si="35"/>
        <v>13</v>
      </c>
      <c r="O222" s="8">
        <f t="shared" si="35"/>
        <v>13</v>
      </c>
      <c r="P222" s="8">
        <f t="shared" si="35"/>
        <v>12</v>
      </c>
      <c r="Q222" s="8">
        <f t="shared" si="35"/>
        <v>4</v>
      </c>
      <c r="R222" s="8">
        <f t="shared" si="35"/>
        <v>3</v>
      </c>
      <c r="S222" s="8">
        <f t="shared" si="35"/>
        <v>7</v>
      </c>
      <c r="T222" s="8">
        <f t="shared" si="35"/>
        <v>7</v>
      </c>
      <c r="U222" s="8">
        <f t="shared" si="35"/>
        <v>7</v>
      </c>
      <c r="V222" s="8">
        <f t="shared" si="35"/>
        <v>10</v>
      </c>
      <c r="W222" s="8">
        <f t="shared" si="35"/>
        <v>5</v>
      </c>
      <c r="X222" s="8">
        <f t="shared" si="35"/>
        <v>9</v>
      </c>
      <c r="Y222" s="8">
        <f t="shared" si="35"/>
        <v>12</v>
      </c>
      <c r="Z222" s="8">
        <f t="shared" si="35"/>
        <v>4</v>
      </c>
      <c r="AA222" s="8">
        <f t="shared" si="35"/>
        <v>6</v>
      </c>
      <c r="AB222" s="8">
        <f t="shared" si="35"/>
        <v>6</v>
      </c>
      <c r="AC222" s="8">
        <f t="shared" si="35"/>
        <v>12</v>
      </c>
      <c r="AD222" s="8">
        <f t="shared" si="35"/>
        <v>11</v>
      </c>
      <c r="AE222" s="8">
        <f t="shared" si="35"/>
        <v>12</v>
      </c>
      <c r="AF222" s="8">
        <f t="shared" si="35"/>
        <v>0</v>
      </c>
      <c r="AG222" s="7">
        <f t="shared" ref="AG222:AG225" si="36">SUM(B222:AF222)</f>
        <v>259</v>
      </c>
      <c r="AH222" s="406" t="s">
        <v>3</v>
      </c>
    </row>
    <row r="223" spans="1:34" ht="18.75" x14ac:dyDescent="0.25">
      <c r="A223" s="352" t="s">
        <v>2</v>
      </c>
      <c r="B223" s="5">
        <v>1</v>
      </c>
      <c r="C223" s="3">
        <v>1</v>
      </c>
      <c r="D223" s="3">
        <v>0</v>
      </c>
      <c r="E223" s="3">
        <v>3</v>
      </c>
      <c r="F223" s="3">
        <v>8</v>
      </c>
      <c r="G223" s="3">
        <v>5</v>
      </c>
      <c r="H223" s="3">
        <v>4</v>
      </c>
      <c r="I223" s="3">
        <v>1</v>
      </c>
      <c r="J223" s="3">
        <v>1</v>
      </c>
      <c r="K223" s="3">
        <v>5</v>
      </c>
      <c r="L223" s="3">
        <v>2</v>
      </c>
      <c r="M223" s="3">
        <v>10</v>
      </c>
      <c r="N223" s="5">
        <v>7</v>
      </c>
      <c r="O223" s="3">
        <v>8</v>
      </c>
      <c r="P223" s="3">
        <v>4</v>
      </c>
      <c r="Q223" s="3">
        <v>3</v>
      </c>
      <c r="R223" s="3">
        <v>2</v>
      </c>
      <c r="S223" s="3">
        <v>2</v>
      </c>
      <c r="T223" s="3">
        <v>3</v>
      </c>
      <c r="U223" s="3">
        <v>3</v>
      </c>
      <c r="V223" s="3">
        <v>3</v>
      </c>
      <c r="W223" s="3">
        <v>2</v>
      </c>
      <c r="X223" s="3">
        <v>6</v>
      </c>
      <c r="Y223" s="3">
        <v>5</v>
      </c>
      <c r="Z223" s="4">
        <v>1</v>
      </c>
      <c r="AA223" s="3">
        <v>4</v>
      </c>
      <c r="AB223" s="3">
        <v>3</v>
      </c>
      <c r="AC223" s="3">
        <v>5</v>
      </c>
      <c r="AD223" s="3">
        <v>6</v>
      </c>
      <c r="AE223" s="3">
        <v>5</v>
      </c>
      <c r="AF223" s="2"/>
      <c r="AG223" s="1">
        <f t="shared" si="36"/>
        <v>113</v>
      </c>
      <c r="AH223" s="407"/>
    </row>
    <row r="224" spans="1:34" ht="18.75" x14ac:dyDescent="0.25">
      <c r="A224" s="352" t="s">
        <v>1</v>
      </c>
      <c r="B224" s="5">
        <v>8</v>
      </c>
      <c r="C224" s="3">
        <v>6</v>
      </c>
      <c r="D224" s="3">
        <v>3</v>
      </c>
      <c r="E224" s="3">
        <v>4</v>
      </c>
      <c r="F224" s="3">
        <v>3</v>
      </c>
      <c r="G224" s="3">
        <v>4</v>
      </c>
      <c r="H224" s="3">
        <v>4</v>
      </c>
      <c r="I224" s="3">
        <v>5</v>
      </c>
      <c r="J224" s="3">
        <v>8</v>
      </c>
      <c r="K224" s="3">
        <v>8</v>
      </c>
      <c r="L224" s="3">
        <v>5</v>
      </c>
      <c r="M224" s="3">
        <v>7</v>
      </c>
      <c r="N224" s="5">
        <v>6</v>
      </c>
      <c r="O224" s="3">
        <v>5</v>
      </c>
      <c r="P224" s="3">
        <v>8</v>
      </c>
      <c r="Q224" s="3">
        <v>1</v>
      </c>
      <c r="R224" s="3">
        <v>1</v>
      </c>
      <c r="S224" s="3">
        <v>5</v>
      </c>
      <c r="T224" s="3">
        <v>4</v>
      </c>
      <c r="U224" s="3">
        <v>4</v>
      </c>
      <c r="V224" s="3">
        <v>7</v>
      </c>
      <c r="W224" s="3">
        <v>3</v>
      </c>
      <c r="X224" s="3">
        <v>3</v>
      </c>
      <c r="Y224" s="3">
        <v>7</v>
      </c>
      <c r="Z224" s="4">
        <v>3</v>
      </c>
      <c r="AA224" s="3">
        <v>2</v>
      </c>
      <c r="AB224" s="3">
        <v>3</v>
      </c>
      <c r="AC224" s="3">
        <v>7</v>
      </c>
      <c r="AD224" s="3">
        <v>5</v>
      </c>
      <c r="AE224" s="3">
        <v>7</v>
      </c>
      <c r="AF224" s="2"/>
      <c r="AG224" s="1">
        <f t="shared" si="36"/>
        <v>146</v>
      </c>
      <c r="AH224" s="407"/>
    </row>
    <row r="225" spans="1:34" ht="19.5" thickBot="1" x14ac:dyDescent="0.3">
      <c r="A225" s="353" t="s">
        <v>0</v>
      </c>
      <c r="B225" s="297"/>
      <c r="C225" s="240"/>
      <c r="D225" s="240"/>
      <c r="E225" s="240"/>
      <c r="F225" s="240"/>
      <c r="G225" s="240"/>
      <c r="H225" s="240"/>
      <c r="I225" s="240"/>
      <c r="J225" s="240"/>
      <c r="K225" s="241"/>
      <c r="L225" s="241"/>
      <c r="M225" s="241"/>
      <c r="N225" s="242"/>
      <c r="O225" s="243"/>
      <c r="P225" s="243"/>
      <c r="Q225" s="243"/>
      <c r="R225" s="243"/>
      <c r="S225" s="243"/>
      <c r="T225" s="243"/>
      <c r="U225" s="243"/>
      <c r="V225" s="243"/>
      <c r="W225" s="243"/>
      <c r="X225" s="243"/>
      <c r="Y225" s="243"/>
      <c r="Z225" s="243"/>
      <c r="AA225" s="243"/>
      <c r="AB225" s="243"/>
      <c r="AC225" s="243"/>
      <c r="AD225" s="243"/>
      <c r="AE225" s="243"/>
      <c r="AF225" s="244"/>
      <c r="AG225" s="10">
        <f t="shared" si="36"/>
        <v>0</v>
      </c>
      <c r="AH225" s="408"/>
    </row>
    <row r="245" ht="18.75" customHeight="1" x14ac:dyDescent="0.25"/>
    <row r="246" ht="18.75" customHeight="1" x14ac:dyDescent="0.25"/>
    <row r="247" ht="18.75" customHeight="1" x14ac:dyDescent="0.25"/>
    <row r="248" ht="18.75" customHeight="1" x14ac:dyDescent="0.25"/>
    <row r="249" ht="18.75" customHeight="1" x14ac:dyDescent="0.25"/>
    <row r="250" ht="18.75" customHeight="1" x14ac:dyDescent="0.25"/>
    <row r="251" ht="18.75" customHeight="1" x14ac:dyDescent="0.25"/>
    <row r="252" ht="18.75" customHeight="1" x14ac:dyDescent="0.25"/>
    <row r="253" ht="18.75" customHeight="1" x14ac:dyDescent="0.25"/>
    <row r="254" ht="18.75" customHeight="1" x14ac:dyDescent="0.25"/>
    <row r="255" ht="18.75" customHeight="1" x14ac:dyDescent="0.25"/>
    <row r="256" ht="19.5" customHeight="1" x14ac:dyDescent="0.25"/>
    <row r="258" ht="18.75" customHeight="1" x14ac:dyDescent="0.25"/>
    <row r="261" ht="18.75" customHeight="1" x14ac:dyDescent="0.25"/>
  </sheetData>
  <dataConsolidate link="1"/>
  <mergeCells count="3">
    <mergeCell ref="A1:AG1"/>
    <mergeCell ref="AI84:AI86"/>
    <mergeCell ref="AH222:AH225"/>
  </mergeCells>
  <conditionalFormatting sqref="B29:AF52">
    <cfRule type="cellIs" dxfId="90" priority="7" operator="lessThan">
      <formula>0</formula>
    </cfRule>
  </conditionalFormatting>
  <conditionalFormatting sqref="D54:D77">
    <cfRule type="cellIs" dxfId="89" priority="3" operator="lessThan">
      <formula>0</formula>
    </cfRule>
  </conditionalFormatting>
  <conditionalFormatting sqref="G54:G77">
    <cfRule type="cellIs" dxfId="88" priority="2" operator="lessThan">
      <formula>0</formula>
    </cfRule>
  </conditionalFormatting>
  <conditionalFormatting sqref="X54:X77">
    <cfRule type="cellIs" dxfId="87" priority="1" operator="lessThan">
      <formula>0</formula>
    </cfRule>
  </conditionalFormatting>
  <conditionalFormatting sqref="AH81">
    <cfRule type="cellIs" dxfId="86" priority="5" operator="equal">
      <formula>"*"</formula>
    </cfRule>
  </conditionalFormatting>
  <conditionalFormatting sqref="AH84 AH87">
    <cfRule type="cellIs" dxfId="85" priority="6" operator="equal">
      <formula>"*"</formula>
    </cfRule>
  </conditionalFormatting>
  <conditionalFormatting sqref="AH93">
    <cfRule type="cellIs" dxfId="84" priority="11" operator="equal">
      <formula>"*"</formula>
    </cfRule>
  </conditionalFormatting>
  <conditionalFormatting sqref="AH130">
    <cfRule type="cellIs" dxfId="83" priority="9" operator="equal">
      <formula>"*"</formula>
    </cfRule>
  </conditionalFormatting>
  <conditionalFormatting sqref="AH144:AH145">
    <cfRule type="cellIs" dxfId="82" priority="10" operator="equal">
      <formula>"*"</formula>
    </cfRule>
  </conditionalFormatting>
  <conditionalFormatting sqref="AH181">
    <cfRule type="cellIs" dxfId="81" priority="8" operator="equal">
      <formula>"*"</formula>
    </cfRule>
  </conditionalFormatting>
  <conditionalFormatting sqref="AH208">
    <cfRule type="cellIs" dxfId="80" priority="4" operator="equal">
      <formula>"X"</formula>
    </cfRule>
  </conditionalFormatting>
  <dataValidations disablePrompts="1" count="1">
    <dataValidation type="whole" allowBlank="1" showInputMessage="1" showErrorMessage="1" errorTitle="ERROR" error="Por favor ingrese solo Números" sqref="A98:A99 A101:A115" xr:uid="{B751FD46-EFB0-4A84-8B87-C7512C2087E9}">
      <formula1>0</formula1>
      <formula2>1000000000</formula2>
    </dataValidation>
  </dataValidations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19BF-51DB-48B1-AB2D-9F1248FB0487}">
  <sheetPr codeName="Hoja7"/>
  <dimension ref="A1:AI261"/>
  <sheetViews>
    <sheetView zoomScale="80" zoomScaleNormal="80" workbookViewId="0">
      <pane xSplit="1" ySplit="3" topLeftCell="B4" activePane="bottomRight" state="frozen"/>
      <selection activeCell="AG3" sqref="AG3"/>
      <selection pane="topRight" activeCell="AG3" sqref="AG3"/>
      <selection pane="bottomLeft" activeCell="AG3" sqref="AG3"/>
      <selection pane="bottomRight" activeCell="B4" sqref="B4"/>
    </sheetView>
  </sheetViews>
  <sheetFormatPr baseColWidth="10" defaultRowHeight="15" x14ac:dyDescent="0.25"/>
  <cols>
    <col min="1" max="1" width="34.7109375" customWidth="1"/>
    <col min="2" max="13" width="8.28515625" customWidth="1"/>
    <col min="14" max="14" width="10.140625" customWidth="1"/>
    <col min="15" max="27" width="8.28515625" customWidth="1"/>
    <col min="28" max="28" width="9.7109375" customWidth="1"/>
    <col min="29" max="32" width="8.28515625" customWidth="1"/>
    <col min="33" max="33" width="11.140625" customWidth="1"/>
    <col min="34" max="34" width="12.42578125" customWidth="1"/>
  </cols>
  <sheetData>
    <row r="1" spans="1:33" ht="21.75" thickBot="1" x14ac:dyDescent="0.3">
      <c r="A1" s="400"/>
      <c r="B1" s="401"/>
      <c r="C1" s="401"/>
      <c r="D1" s="401"/>
      <c r="E1" s="401"/>
      <c r="F1" s="401"/>
      <c r="G1" s="401"/>
      <c r="H1" s="401"/>
      <c r="I1" s="401"/>
      <c r="J1" s="401"/>
      <c r="K1" s="401"/>
      <c r="L1" s="401"/>
      <c r="M1" s="401"/>
      <c r="N1" s="401"/>
      <c r="O1" s="401"/>
      <c r="P1" s="401"/>
      <c r="Q1" s="401"/>
      <c r="R1" s="401"/>
      <c r="S1" s="401"/>
      <c r="T1" s="401"/>
      <c r="U1" s="401"/>
      <c r="V1" s="401"/>
      <c r="W1" s="401"/>
      <c r="X1" s="401"/>
      <c r="Y1" s="401"/>
      <c r="Z1" s="401"/>
      <c r="AA1" s="401"/>
      <c r="AB1" s="401"/>
      <c r="AC1" s="401"/>
      <c r="AD1" s="401"/>
      <c r="AE1" s="401"/>
      <c r="AF1" s="401"/>
      <c r="AG1" s="402"/>
    </row>
    <row r="2" spans="1:33" ht="21.75" thickBot="1" x14ac:dyDescent="0.3">
      <c r="A2" s="298" t="s">
        <v>156</v>
      </c>
      <c r="B2" s="354">
        <v>1</v>
      </c>
      <c r="C2" s="217">
        <f t="shared" ref="C2:AA2" si="0">+B2+1</f>
        <v>2</v>
      </c>
      <c r="D2" s="215">
        <f t="shared" si="0"/>
        <v>3</v>
      </c>
      <c r="E2" s="215">
        <f t="shared" si="0"/>
        <v>4</v>
      </c>
      <c r="F2" s="215">
        <f t="shared" si="0"/>
        <v>5</v>
      </c>
      <c r="G2" s="215">
        <f t="shared" si="0"/>
        <v>6</v>
      </c>
      <c r="H2" s="215">
        <f t="shared" si="0"/>
        <v>7</v>
      </c>
      <c r="I2" s="217">
        <f t="shared" si="0"/>
        <v>8</v>
      </c>
      <c r="J2" s="217">
        <f t="shared" si="0"/>
        <v>9</v>
      </c>
      <c r="K2" s="215">
        <f t="shared" si="0"/>
        <v>10</v>
      </c>
      <c r="L2" s="215">
        <f t="shared" si="0"/>
        <v>11</v>
      </c>
      <c r="M2" s="215">
        <f t="shared" si="0"/>
        <v>12</v>
      </c>
      <c r="N2" s="215">
        <f t="shared" si="0"/>
        <v>13</v>
      </c>
      <c r="O2" s="215">
        <f t="shared" si="0"/>
        <v>14</v>
      </c>
      <c r="P2" s="217">
        <f t="shared" si="0"/>
        <v>15</v>
      </c>
      <c r="Q2" s="217">
        <f t="shared" si="0"/>
        <v>16</v>
      </c>
      <c r="R2" s="215">
        <f t="shared" si="0"/>
        <v>17</v>
      </c>
      <c r="S2" s="215">
        <f t="shared" si="0"/>
        <v>18</v>
      </c>
      <c r="T2" s="215">
        <f t="shared" si="0"/>
        <v>19</v>
      </c>
      <c r="U2" s="215">
        <f t="shared" si="0"/>
        <v>20</v>
      </c>
      <c r="V2" s="217">
        <f t="shared" si="0"/>
        <v>21</v>
      </c>
      <c r="W2" s="217">
        <f t="shared" si="0"/>
        <v>22</v>
      </c>
      <c r="X2" s="217">
        <f t="shared" si="0"/>
        <v>23</v>
      </c>
      <c r="Y2" s="215">
        <f t="shared" si="0"/>
        <v>24</v>
      </c>
      <c r="Z2" s="215">
        <f t="shared" si="0"/>
        <v>25</v>
      </c>
      <c r="AA2" s="215">
        <f t="shared" si="0"/>
        <v>26</v>
      </c>
      <c r="AB2" s="215">
        <v>27</v>
      </c>
      <c r="AC2" s="215">
        <f>+AB2+1</f>
        <v>28</v>
      </c>
      <c r="AD2" s="217">
        <v>29</v>
      </c>
      <c r="AE2" s="217">
        <v>30</v>
      </c>
      <c r="AF2" s="215">
        <v>31</v>
      </c>
      <c r="AG2" s="214" t="s">
        <v>148</v>
      </c>
    </row>
    <row r="3" spans="1:33" ht="19.5" thickBot="1" x14ac:dyDescent="0.3">
      <c r="A3" s="299" t="s">
        <v>147</v>
      </c>
      <c r="B3" s="247">
        <f t="shared" ref="B3:AF3" si="1">SUM(B4:B27)</f>
        <v>117</v>
      </c>
      <c r="C3" s="120">
        <f t="shared" si="1"/>
        <v>111</v>
      </c>
      <c r="D3" s="120">
        <f t="shared" si="1"/>
        <v>135</v>
      </c>
      <c r="E3" s="120">
        <f t="shared" si="1"/>
        <v>140</v>
      </c>
      <c r="F3" s="120">
        <f t="shared" si="1"/>
        <v>118</v>
      </c>
      <c r="G3" s="120">
        <f t="shared" si="1"/>
        <v>139</v>
      </c>
      <c r="H3" s="120">
        <f t="shared" si="1"/>
        <v>106</v>
      </c>
      <c r="I3" s="120">
        <f t="shared" si="1"/>
        <v>140</v>
      </c>
      <c r="J3" s="120">
        <f t="shared" si="1"/>
        <v>124</v>
      </c>
      <c r="K3" s="120">
        <f t="shared" si="1"/>
        <v>139</v>
      </c>
      <c r="L3" s="120">
        <f t="shared" si="1"/>
        <v>123</v>
      </c>
      <c r="M3" s="120">
        <f t="shared" si="1"/>
        <v>128</v>
      </c>
      <c r="N3" s="120">
        <f t="shared" si="1"/>
        <v>150</v>
      </c>
      <c r="O3" s="120">
        <f t="shared" si="1"/>
        <v>131</v>
      </c>
      <c r="P3" s="120">
        <f t="shared" si="1"/>
        <v>140</v>
      </c>
      <c r="Q3" s="120">
        <f t="shared" si="1"/>
        <v>157</v>
      </c>
      <c r="R3" s="120">
        <f t="shared" si="1"/>
        <v>189</v>
      </c>
      <c r="S3" s="120">
        <f t="shared" si="1"/>
        <v>141</v>
      </c>
      <c r="T3" s="120">
        <f t="shared" si="1"/>
        <v>138</v>
      </c>
      <c r="U3" s="120">
        <f t="shared" si="1"/>
        <v>158</v>
      </c>
      <c r="V3" s="120">
        <f t="shared" si="1"/>
        <v>151</v>
      </c>
      <c r="W3" s="120">
        <f t="shared" si="1"/>
        <v>165</v>
      </c>
      <c r="X3" s="120">
        <f t="shared" si="1"/>
        <v>191</v>
      </c>
      <c r="Y3" s="120">
        <f t="shared" si="1"/>
        <v>223</v>
      </c>
      <c r="Z3" s="120">
        <f t="shared" si="1"/>
        <v>166</v>
      </c>
      <c r="AA3" s="120">
        <f t="shared" si="1"/>
        <v>186</v>
      </c>
      <c r="AB3" s="120">
        <f t="shared" si="1"/>
        <v>151</v>
      </c>
      <c r="AC3" s="120">
        <f t="shared" si="1"/>
        <v>154</v>
      </c>
      <c r="AD3" s="120">
        <f t="shared" si="1"/>
        <v>178</v>
      </c>
      <c r="AE3" s="120">
        <f t="shared" si="1"/>
        <v>152</v>
      </c>
      <c r="AF3" s="120">
        <f t="shared" si="1"/>
        <v>159</v>
      </c>
      <c r="AG3" s="118">
        <f t="shared" ref="AG3:AG66" si="2">SUM(B3:AF3)</f>
        <v>4600</v>
      </c>
    </row>
    <row r="4" spans="1:33" ht="18.75" x14ac:dyDescent="0.25">
      <c r="A4" s="300" t="s">
        <v>144</v>
      </c>
      <c r="B4" s="248">
        <v>5</v>
      </c>
      <c r="C4" s="199">
        <v>7</v>
      </c>
      <c r="D4" s="199">
        <v>3</v>
      </c>
      <c r="E4" s="199">
        <v>1</v>
      </c>
      <c r="F4" s="199">
        <v>3</v>
      </c>
      <c r="G4" s="199">
        <v>1</v>
      </c>
      <c r="H4" s="199">
        <v>1</v>
      </c>
      <c r="I4" s="199">
        <v>5</v>
      </c>
      <c r="J4" s="199">
        <v>1</v>
      </c>
      <c r="K4" s="199">
        <v>10</v>
      </c>
      <c r="L4" s="199">
        <v>3</v>
      </c>
      <c r="M4" s="199">
        <v>1</v>
      </c>
      <c r="N4" s="199"/>
      <c r="O4" s="199">
        <v>3</v>
      </c>
      <c r="P4" s="199">
        <v>5</v>
      </c>
      <c r="Q4" s="199">
        <v>9</v>
      </c>
      <c r="R4" s="199">
        <v>8</v>
      </c>
      <c r="S4" s="199">
        <v>2</v>
      </c>
      <c r="T4" s="199">
        <v>3</v>
      </c>
      <c r="U4" s="199">
        <v>4</v>
      </c>
      <c r="V4" s="199">
        <v>6</v>
      </c>
      <c r="W4" s="199">
        <v>1</v>
      </c>
      <c r="X4" s="199">
        <v>8</v>
      </c>
      <c r="Y4" s="199">
        <v>8</v>
      </c>
      <c r="Z4" s="199">
        <v>6</v>
      </c>
      <c r="AA4" s="199">
        <v>11</v>
      </c>
      <c r="AB4" s="199">
        <v>7</v>
      </c>
      <c r="AC4" s="199">
        <v>3</v>
      </c>
      <c r="AD4" s="199">
        <v>8</v>
      </c>
      <c r="AE4" s="199">
        <v>2</v>
      </c>
      <c r="AF4" s="206">
        <v>5</v>
      </c>
      <c r="AG4" s="134">
        <f t="shared" si="2"/>
        <v>140</v>
      </c>
    </row>
    <row r="5" spans="1:33" ht="18.75" x14ac:dyDescent="0.25">
      <c r="A5" s="301" t="s">
        <v>143</v>
      </c>
      <c r="B5" s="249">
        <v>3</v>
      </c>
      <c r="C5" s="162">
        <v>2</v>
      </c>
      <c r="D5" s="162">
        <v>5</v>
      </c>
      <c r="E5" s="162">
        <v>2</v>
      </c>
      <c r="F5" s="162">
        <v>1</v>
      </c>
      <c r="G5" s="162">
        <v>4</v>
      </c>
      <c r="H5" s="162">
        <v>4</v>
      </c>
      <c r="I5" s="162">
        <v>5</v>
      </c>
      <c r="J5" s="162">
        <v>4</v>
      </c>
      <c r="K5" s="162">
        <v>6</v>
      </c>
      <c r="L5" s="162">
        <v>3</v>
      </c>
      <c r="M5" s="162">
        <v>5</v>
      </c>
      <c r="N5" s="162">
        <v>8</v>
      </c>
      <c r="O5" s="162">
        <v>7</v>
      </c>
      <c r="P5" s="162">
        <v>5</v>
      </c>
      <c r="Q5" s="162">
        <v>6</v>
      </c>
      <c r="R5" s="162">
        <v>6</v>
      </c>
      <c r="S5" s="162">
        <v>7</v>
      </c>
      <c r="T5" s="162">
        <v>11</v>
      </c>
      <c r="U5" s="162">
        <v>3</v>
      </c>
      <c r="V5" s="162">
        <v>4</v>
      </c>
      <c r="W5" s="162">
        <v>10</v>
      </c>
      <c r="X5" s="162">
        <v>9</v>
      </c>
      <c r="Y5" s="162">
        <v>10</v>
      </c>
      <c r="Z5" s="162">
        <v>6</v>
      </c>
      <c r="AA5" s="162">
        <v>4</v>
      </c>
      <c r="AB5" s="162">
        <v>6</v>
      </c>
      <c r="AC5" s="162">
        <v>7</v>
      </c>
      <c r="AD5" s="162">
        <v>5</v>
      </c>
      <c r="AE5" s="162">
        <v>5</v>
      </c>
      <c r="AF5" s="161">
        <v>7</v>
      </c>
      <c r="AG5" s="64">
        <f t="shared" si="2"/>
        <v>170</v>
      </c>
    </row>
    <row r="6" spans="1:33" ht="18.75" x14ac:dyDescent="0.25">
      <c r="A6" s="301" t="s">
        <v>142</v>
      </c>
      <c r="B6" s="249">
        <v>9</v>
      </c>
      <c r="C6" s="162">
        <v>3</v>
      </c>
      <c r="D6" s="162">
        <v>5</v>
      </c>
      <c r="E6" s="162">
        <v>1</v>
      </c>
      <c r="F6" s="162">
        <v>2</v>
      </c>
      <c r="G6" s="162">
        <v>3</v>
      </c>
      <c r="H6" s="162">
        <v>6</v>
      </c>
      <c r="I6" s="162">
        <v>11</v>
      </c>
      <c r="J6" s="162">
        <v>3</v>
      </c>
      <c r="K6" s="162">
        <v>2</v>
      </c>
      <c r="L6" s="162">
        <v>2</v>
      </c>
      <c r="M6" s="162">
        <v>4</v>
      </c>
      <c r="N6" s="162">
        <v>5</v>
      </c>
      <c r="O6" s="162">
        <v>7</v>
      </c>
      <c r="P6" s="162">
        <v>6</v>
      </c>
      <c r="Q6" s="162">
        <v>1</v>
      </c>
      <c r="R6" s="162">
        <v>6</v>
      </c>
      <c r="S6" s="162">
        <v>9</v>
      </c>
      <c r="T6" s="162">
        <v>9</v>
      </c>
      <c r="U6" s="162">
        <v>9</v>
      </c>
      <c r="V6" s="162">
        <v>6</v>
      </c>
      <c r="W6" s="162">
        <v>7</v>
      </c>
      <c r="X6" s="162">
        <v>6</v>
      </c>
      <c r="Y6" s="162">
        <v>11</v>
      </c>
      <c r="Z6" s="162">
        <v>6</v>
      </c>
      <c r="AA6" s="162">
        <v>4</v>
      </c>
      <c r="AB6" s="162">
        <v>4</v>
      </c>
      <c r="AC6" s="162">
        <v>4</v>
      </c>
      <c r="AD6" s="162">
        <v>11</v>
      </c>
      <c r="AE6" s="162">
        <v>6</v>
      </c>
      <c r="AF6" s="161">
        <v>5</v>
      </c>
      <c r="AG6" s="64">
        <f t="shared" si="2"/>
        <v>173</v>
      </c>
    </row>
    <row r="7" spans="1:33" ht="18.75" x14ac:dyDescent="0.25">
      <c r="A7" s="301" t="s">
        <v>141</v>
      </c>
      <c r="B7" s="249">
        <v>9</v>
      </c>
      <c r="C7" s="162">
        <v>9</v>
      </c>
      <c r="D7" s="162">
        <v>12</v>
      </c>
      <c r="E7" s="162">
        <v>7</v>
      </c>
      <c r="F7" s="162">
        <v>3</v>
      </c>
      <c r="G7" s="162">
        <v>4</v>
      </c>
      <c r="H7" s="162">
        <v>8</v>
      </c>
      <c r="I7" s="162">
        <v>11</v>
      </c>
      <c r="J7" s="162">
        <v>8</v>
      </c>
      <c r="K7" s="162">
        <v>2</v>
      </c>
      <c r="L7" s="162">
        <v>2</v>
      </c>
      <c r="M7" s="162">
        <v>3</v>
      </c>
      <c r="N7" s="162">
        <v>4</v>
      </c>
      <c r="O7" s="162">
        <v>2</v>
      </c>
      <c r="P7" s="162">
        <v>10</v>
      </c>
      <c r="Q7" s="162">
        <v>14</v>
      </c>
      <c r="R7" s="162">
        <v>8</v>
      </c>
      <c r="S7" s="162">
        <v>10</v>
      </c>
      <c r="T7" s="162">
        <v>7</v>
      </c>
      <c r="U7" s="162">
        <v>8</v>
      </c>
      <c r="V7" s="162">
        <v>6</v>
      </c>
      <c r="W7" s="162">
        <v>12</v>
      </c>
      <c r="X7" s="162">
        <v>15</v>
      </c>
      <c r="Y7" s="162">
        <v>11</v>
      </c>
      <c r="Z7" s="162">
        <v>7</v>
      </c>
      <c r="AA7" s="162">
        <v>11</v>
      </c>
      <c r="AB7" s="162">
        <v>7</v>
      </c>
      <c r="AC7" s="162">
        <v>5</v>
      </c>
      <c r="AD7" s="162">
        <v>11</v>
      </c>
      <c r="AE7" s="162">
        <v>9</v>
      </c>
      <c r="AF7" s="161">
        <v>14</v>
      </c>
      <c r="AG7" s="64">
        <f t="shared" si="2"/>
        <v>249</v>
      </c>
    </row>
    <row r="8" spans="1:33" ht="18.75" x14ac:dyDescent="0.25">
      <c r="A8" s="301" t="s">
        <v>140</v>
      </c>
      <c r="B8" s="249">
        <v>10</v>
      </c>
      <c r="C8" s="162">
        <v>4</v>
      </c>
      <c r="D8" s="162">
        <v>8</v>
      </c>
      <c r="E8" s="162">
        <v>5</v>
      </c>
      <c r="F8" s="162">
        <v>3</v>
      </c>
      <c r="G8" s="162">
        <v>3</v>
      </c>
      <c r="H8" s="162">
        <v>4</v>
      </c>
      <c r="I8" s="162">
        <v>6</v>
      </c>
      <c r="J8" s="162">
        <v>15</v>
      </c>
      <c r="K8" s="162">
        <v>7</v>
      </c>
      <c r="L8" s="162">
        <v>2</v>
      </c>
      <c r="M8" s="162">
        <v>2</v>
      </c>
      <c r="N8" s="162">
        <v>6</v>
      </c>
      <c r="O8" s="162">
        <v>7</v>
      </c>
      <c r="P8" s="162">
        <v>14</v>
      </c>
      <c r="Q8" s="162">
        <v>10</v>
      </c>
      <c r="R8" s="162">
        <v>5</v>
      </c>
      <c r="S8" s="162">
        <v>10</v>
      </c>
      <c r="T8" s="162">
        <v>6</v>
      </c>
      <c r="U8" s="162">
        <v>10</v>
      </c>
      <c r="V8" s="162">
        <v>17</v>
      </c>
      <c r="W8" s="162">
        <v>15</v>
      </c>
      <c r="X8" s="162">
        <v>12</v>
      </c>
      <c r="Y8" s="162">
        <v>13</v>
      </c>
      <c r="Z8" s="162">
        <v>1</v>
      </c>
      <c r="AA8" s="162">
        <v>7</v>
      </c>
      <c r="AB8" s="162">
        <v>8</v>
      </c>
      <c r="AC8" s="162">
        <v>2</v>
      </c>
      <c r="AD8" s="162">
        <v>14</v>
      </c>
      <c r="AE8" s="162">
        <v>19</v>
      </c>
      <c r="AF8" s="161">
        <v>4</v>
      </c>
      <c r="AG8" s="64">
        <f t="shared" si="2"/>
        <v>249</v>
      </c>
    </row>
    <row r="9" spans="1:33" ht="18.75" x14ac:dyDescent="0.25">
      <c r="A9" s="301" t="s">
        <v>139</v>
      </c>
      <c r="B9" s="249">
        <v>10</v>
      </c>
      <c r="C9" s="162">
        <v>8</v>
      </c>
      <c r="D9" s="162">
        <v>4</v>
      </c>
      <c r="E9" s="162">
        <v>7</v>
      </c>
      <c r="F9" s="162"/>
      <c r="G9" s="162">
        <v>3</v>
      </c>
      <c r="H9" s="162">
        <v>1</v>
      </c>
      <c r="I9" s="162">
        <v>8</v>
      </c>
      <c r="J9" s="162">
        <v>9</v>
      </c>
      <c r="K9" s="162"/>
      <c r="L9" s="162">
        <v>2</v>
      </c>
      <c r="M9" s="162">
        <v>5</v>
      </c>
      <c r="N9" s="162">
        <v>5</v>
      </c>
      <c r="O9" s="162">
        <v>10</v>
      </c>
      <c r="P9" s="162">
        <v>8</v>
      </c>
      <c r="Q9" s="162">
        <v>6</v>
      </c>
      <c r="R9" s="162">
        <v>15</v>
      </c>
      <c r="S9" s="162">
        <v>4</v>
      </c>
      <c r="T9" s="162">
        <v>1</v>
      </c>
      <c r="U9" s="162">
        <v>8</v>
      </c>
      <c r="V9" s="162">
        <v>13</v>
      </c>
      <c r="W9" s="162">
        <v>7</v>
      </c>
      <c r="X9" s="162">
        <v>20</v>
      </c>
      <c r="Y9" s="162">
        <v>12</v>
      </c>
      <c r="Z9" s="162">
        <v>2</v>
      </c>
      <c r="AA9" s="162">
        <v>10</v>
      </c>
      <c r="AB9" s="162">
        <v>9</v>
      </c>
      <c r="AC9" s="162">
        <v>4</v>
      </c>
      <c r="AD9" s="162">
        <v>19</v>
      </c>
      <c r="AE9" s="162">
        <v>14</v>
      </c>
      <c r="AF9" s="161">
        <v>9</v>
      </c>
      <c r="AG9" s="64">
        <f t="shared" si="2"/>
        <v>233</v>
      </c>
    </row>
    <row r="10" spans="1:33" ht="18.75" x14ac:dyDescent="0.25">
      <c r="A10" s="301" t="s">
        <v>138</v>
      </c>
      <c r="B10" s="249">
        <v>7</v>
      </c>
      <c r="C10" s="162">
        <v>3</v>
      </c>
      <c r="D10" s="162">
        <v>7</v>
      </c>
      <c r="E10" s="162">
        <v>3</v>
      </c>
      <c r="F10" s="162">
        <v>4</v>
      </c>
      <c r="G10" s="162">
        <v>1</v>
      </c>
      <c r="H10" s="162">
        <v>1</v>
      </c>
      <c r="I10" s="162">
        <v>10</v>
      </c>
      <c r="J10" s="162">
        <v>5</v>
      </c>
      <c r="K10" s="162">
        <v>8</v>
      </c>
      <c r="L10" s="162">
        <v>8</v>
      </c>
      <c r="M10" s="162">
        <v>6</v>
      </c>
      <c r="N10" s="162">
        <v>6</v>
      </c>
      <c r="O10" s="162">
        <v>3</v>
      </c>
      <c r="P10" s="162">
        <v>9</v>
      </c>
      <c r="Q10" s="162">
        <v>9</v>
      </c>
      <c r="R10" s="162">
        <v>4</v>
      </c>
      <c r="S10" s="162">
        <v>2</v>
      </c>
      <c r="T10" s="162">
        <v>6</v>
      </c>
      <c r="U10" s="162">
        <v>7</v>
      </c>
      <c r="V10" s="162">
        <v>13</v>
      </c>
      <c r="W10" s="162">
        <v>11</v>
      </c>
      <c r="X10" s="162">
        <v>16</v>
      </c>
      <c r="Y10" s="162">
        <v>7</v>
      </c>
      <c r="Z10" s="162">
        <v>11</v>
      </c>
      <c r="AA10" s="162">
        <v>5</v>
      </c>
      <c r="AB10" s="162">
        <v>1</v>
      </c>
      <c r="AC10" s="162">
        <v>1</v>
      </c>
      <c r="AD10" s="162">
        <v>12</v>
      </c>
      <c r="AE10" s="162">
        <v>9</v>
      </c>
      <c r="AF10" s="161">
        <v>2</v>
      </c>
      <c r="AG10" s="64">
        <f t="shared" si="2"/>
        <v>197</v>
      </c>
    </row>
    <row r="11" spans="1:33" ht="18.75" x14ac:dyDescent="0.25">
      <c r="A11" s="301" t="s">
        <v>137</v>
      </c>
      <c r="B11" s="249">
        <v>8</v>
      </c>
      <c r="C11" s="162">
        <v>12</v>
      </c>
      <c r="D11" s="162">
        <v>3</v>
      </c>
      <c r="E11" s="162">
        <v>3</v>
      </c>
      <c r="F11" s="162">
        <v>9</v>
      </c>
      <c r="G11" s="162">
        <v>2</v>
      </c>
      <c r="H11" s="162">
        <v>6</v>
      </c>
      <c r="I11" s="162">
        <v>6</v>
      </c>
      <c r="J11" s="162">
        <v>7</v>
      </c>
      <c r="K11" s="162">
        <v>7</v>
      </c>
      <c r="L11" s="162">
        <v>9</v>
      </c>
      <c r="M11" s="162">
        <v>6</v>
      </c>
      <c r="N11" s="162">
        <v>3</v>
      </c>
      <c r="O11" s="162">
        <v>8</v>
      </c>
      <c r="P11" s="162">
        <v>9</v>
      </c>
      <c r="Q11" s="162">
        <v>13</v>
      </c>
      <c r="R11" s="162">
        <v>8</v>
      </c>
      <c r="S11" s="162">
        <v>6</v>
      </c>
      <c r="T11" s="162">
        <v>6</v>
      </c>
      <c r="U11" s="162">
        <v>11</v>
      </c>
      <c r="V11" s="162">
        <v>12</v>
      </c>
      <c r="W11" s="162">
        <v>19</v>
      </c>
      <c r="X11" s="162">
        <v>12</v>
      </c>
      <c r="Y11" s="162">
        <v>6</v>
      </c>
      <c r="Z11" s="162">
        <v>8</v>
      </c>
      <c r="AA11" s="162">
        <v>4</v>
      </c>
      <c r="AB11" s="162">
        <v>5</v>
      </c>
      <c r="AC11" s="162">
        <v>4</v>
      </c>
      <c r="AD11" s="162">
        <v>16</v>
      </c>
      <c r="AE11" s="162">
        <v>14</v>
      </c>
      <c r="AF11" s="161">
        <v>5</v>
      </c>
      <c r="AG11" s="64">
        <f t="shared" si="2"/>
        <v>247</v>
      </c>
    </row>
    <row r="12" spans="1:33" ht="18.75" x14ac:dyDescent="0.25">
      <c r="A12" s="301" t="s">
        <v>136</v>
      </c>
      <c r="B12" s="249">
        <v>6</v>
      </c>
      <c r="C12" s="162">
        <v>15</v>
      </c>
      <c r="D12" s="162">
        <v>9</v>
      </c>
      <c r="E12" s="162">
        <v>12</v>
      </c>
      <c r="F12" s="162">
        <v>2</v>
      </c>
      <c r="G12" s="162">
        <v>6</v>
      </c>
      <c r="H12" s="162">
        <v>7</v>
      </c>
      <c r="I12" s="162">
        <v>11</v>
      </c>
      <c r="J12" s="162">
        <v>8</v>
      </c>
      <c r="K12" s="162">
        <v>9</v>
      </c>
      <c r="L12" s="162">
        <v>2</v>
      </c>
      <c r="M12" s="162">
        <v>9</v>
      </c>
      <c r="N12" s="162">
        <v>5</v>
      </c>
      <c r="O12" s="162">
        <v>6</v>
      </c>
      <c r="P12" s="162">
        <v>18</v>
      </c>
      <c r="Q12" s="162">
        <v>11</v>
      </c>
      <c r="R12" s="162">
        <v>20</v>
      </c>
      <c r="S12" s="162">
        <v>8</v>
      </c>
      <c r="T12" s="162">
        <v>6</v>
      </c>
      <c r="U12" s="162">
        <v>5</v>
      </c>
      <c r="V12" s="162">
        <v>12</v>
      </c>
      <c r="W12" s="162">
        <v>14</v>
      </c>
      <c r="X12" s="162">
        <v>12</v>
      </c>
      <c r="Y12" s="162">
        <v>12</v>
      </c>
      <c r="Z12" s="162">
        <v>9</v>
      </c>
      <c r="AA12" s="162">
        <v>6</v>
      </c>
      <c r="AB12" s="162">
        <v>6</v>
      </c>
      <c r="AC12" s="162">
        <v>15</v>
      </c>
      <c r="AD12" s="162">
        <v>16</v>
      </c>
      <c r="AE12" s="162">
        <v>10</v>
      </c>
      <c r="AF12" s="161">
        <v>11</v>
      </c>
      <c r="AG12" s="64">
        <f t="shared" si="2"/>
        <v>298</v>
      </c>
    </row>
    <row r="13" spans="1:33" ht="18.75" x14ac:dyDescent="0.25">
      <c r="A13" s="301" t="s">
        <v>135</v>
      </c>
      <c r="B13" s="249">
        <v>5</v>
      </c>
      <c r="C13" s="162">
        <v>9</v>
      </c>
      <c r="D13" s="162">
        <v>31</v>
      </c>
      <c r="E13" s="162">
        <v>34</v>
      </c>
      <c r="F13" s="162">
        <v>36</v>
      </c>
      <c r="G13" s="162">
        <v>42</v>
      </c>
      <c r="H13" s="162">
        <v>23</v>
      </c>
      <c r="I13" s="162">
        <v>13</v>
      </c>
      <c r="J13" s="162">
        <v>11</v>
      </c>
      <c r="K13" s="162">
        <v>29</v>
      </c>
      <c r="L13" s="162">
        <v>31</v>
      </c>
      <c r="M13" s="162">
        <v>27</v>
      </c>
      <c r="N13" s="162">
        <v>36</v>
      </c>
      <c r="O13" s="162">
        <v>22</v>
      </c>
      <c r="P13" s="162">
        <v>8</v>
      </c>
      <c r="Q13" s="162">
        <v>14</v>
      </c>
      <c r="R13" s="162">
        <v>44</v>
      </c>
      <c r="S13" s="162">
        <v>31</v>
      </c>
      <c r="T13" s="162">
        <v>29</v>
      </c>
      <c r="U13" s="162">
        <v>37</v>
      </c>
      <c r="V13" s="162">
        <v>8</v>
      </c>
      <c r="W13" s="162">
        <v>13</v>
      </c>
      <c r="X13" s="162">
        <v>12</v>
      </c>
      <c r="Y13" s="162">
        <v>65</v>
      </c>
      <c r="Z13" s="162">
        <v>47</v>
      </c>
      <c r="AA13" s="162">
        <v>50</v>
      </c>
      <c r="AB13" s="162">
        <v>34</v>
      </c>
      <c r="AC13" s="162">
        <v>33</v>
      </c>
      <c r="AD13" s="162">
        <v>7</v>
      </c>
      <c r="AE13" s="162">
        <v>10</v>
      </c>
      <c r="AF13" s="161">
        <v>38</v>
      </c>
      <c r="AG13" s="64">
        <f t="shared" si="2"/>
        <v>829</v>
      </c>
    </row>
    <row r="14" spans="1:33" ht="18.75" x14ac:dyDescent="0.25">
      <c r="A14" s="301" t="s">
        <v>134</v>
      </c>
      <c r="B14" s="249">
        <v>9</v>
      </c>
      <c r="C14" s="162">
        <v>10</v>
      </c>
      <c r="D14" s="162">
        <v>10</v>
      </c>
      <c r="E14" s="162">
        <v>13</v>
      </c>
      <c r="F14" s="162">
        <v>9</v>
      </c>
      <c r="G14" s="162">
        <v>10</v>
      </c>
      <c r="H14" s="162">
        <v>8</v>
      </c>
      <c r="I14" s="162">
        <v>11</v>
      </c>
      <c r="J14" s="162">
        <v>6</v>
      </c>
      <c r="K14" s="162">
        <v>9</v>
      </c>
      <c r="L14" s="162">
        <v>23</v>
      </c>
      <c r="M14" s="162">
        <v>15</v>
      </c>
      <c r="N14" s="162">
        <v>16</v>
      </c>
      <c r="O14" s="162">
        <v>15</v>
      </c>
      <c r="P14" s="162">
        <v>10</v>
      </c>
      <c r="Q14" s="162">
        <v>14</v>
      </c>
      <c r="R14" s="162">
        <v>18</v>
      </c>
      <c r="S14" s="162">
        <v>15</v>
      </c>
      <c r="T14" s="162">
        <v>14</v>
      </c>
      <c r="U14" s="162">
        <v>14</v>
      </c>
      <c r="V14" s="162">
        <v>9</v>
      </c>
      <c r="W14" s="162">
        <v>11</v>
      </c>
      <c r="X14" s="162">
        <v>20</v>
      </c>
      <c r="Y14" s="162">
        <v>17</v>
      </c>
      <c r="Z14" s="162">
        <v>20</v>
      </c>
      <c r="AA14" s="162">
        <v>13</v>
      </c>
      <c r="AB14" s="162">
        <v>16</v>
      </c>
      <c r="AC14" s="162">
        <v>18</v>
      </c>
      <c r="AD14" s="162">
        <v>16</v>
      </c>
      <c r="AE14" s="162">
        <v>8</v>
      </c>
      <c r="AF14" s="161">
        <v>11</v>
      </c>
      <c r="AG14" s="64">
        <f t="shared" si="2"/>
        <v>408</v>
      </c>
    </row>
    <row r="15" spans="1:33" ht="18.75" x14ac:dyDescent="0.25">
      <c r="A15" s="301" t="s">
        <v>133</v>
      </c>
      <c r="B15" s="249">
        <v>6</v>
      </c>
      <c r="C15" s="162">
        <v>5</v>
      </c>
      <c r="D15" s="162">
        <v>10</v>
      </c>
      <c r="E15" s="162">
        <v>10</v>
      </c>
      <c r="F15" s="162">
        <v>13</v>
      </c>
      <c r="G15" s="162">
        <v>15</v>
      </c>
      <c r="H15" s="162">
        <v>6</v>
      </c>
      <c r="I15" s="162">
        <v>6</v>
      </c>
      <c r="J15" s="162">
        <v>9</v>
      </c>
      <c r="K15" s="162">
        <v>12</v>
      </c>
      <c r="L15" s="162">
        <v>12</v>
      </c>
      <c r="M15" s="162">
        <v>10</v>
      </c>
      <c r="N15" s="162">
        <v>10</v>
      </c>
      <c r="O15" s="162">
        <v>10</v>
      </c>
      <c r="P15" s="162">
        <v>3</v>
      </c>
      <c r="Q15" s="162">
        <v>12</v>
      </c>
      <c r="R15" s="162">
        <v>15</v>
      </c>
      <c r="S15" s="162">
        <v>6</v>
      </c>
      <c r="T15" s="162">
        <v>9</v>
      </c>
      <c r="U15" s="162">
        <v>12</v>
      </c>
      <c r="V15" s="162">
        <v>6</v>
      </c>
      <c r="W15" s="162">
        <v>6</v>
      </c>
      <c r="X15" s="162">
        <v>15</v>
      </c>
      <c r="Y15" s="162">
        <v>9</v>
      </c>
      <c r="Z15" s="162">
        <v>6</v>
      </c>
      <c r="AA15" s="162">
        <v>14</v>
      </c>
      <c r="AB15" s="162">
        <v>5</v>
      </c>
      <c r="AC15" s="162">
        <v>13</v>
      </c>
      <c r="AD15" s="162">
        <v>13</v>
      </c>
      <c r="AE15" s="162">
        <v>12</v>
      </c>
      <c r="AF15" s="161">
        <v>7</v>
      </c>
      <c r="AG15" s="64">
        <f t="shared" si="2"/>
        <v>297</v>
      </c>
    </row>
    <row r="16" spans="1:33" ht="18.75" x14ac:dyDescent="0.25">
      <c r="A16" s="301" t="s">
        <v>132</v>
      </c>
      <c r="B16" s="249">
        <v>3</v>
      </c>
      <c r="C16" s="162">
        <v>3</v>
      </c>
      <c r="D16" s="162">
        <v>9</v>
      </c>
      <c r="E16" s="162">
        <v>10</v>
      </c>
      <c r="F16" s="162">
        <v>12</v>
      </c>
      <c r="G16" s="162">
        <v>8</v>
      </c>
      <c r="H16" s="162">
        <v>8</v>
      </c>
      <c r="I16" s="162">
        <v>7</v>
      </c>
      <c r="J16" s="162">
        <v>8</v>
      </c>
      <c r="K16" s="162">
        <v>10</v>
      </c>
      <c r="L16" s="162">
        <v>7</v>
      </c>
      <c r="M16" s="162">
        <v>8</v>
      </c>
      <c r="N16" s="162">
        <v>9</v>
      </c>
      <c r="O16" s="162">
        <v>8</v>
      </c>
      <c r="P16" s="162">
        <v>9</v>
      </c>
      <c r="Q16" s="162">
        <v>7</v>
      </c>
      <c r="R16" s="162">
        <v>11</v>
      </c>
      <c r="S16" s="162">
        <v>8</v>
      </c>
      <c r="T16" s="162">
        <v>6</v>
      </c>
      <c r="U16" s="162">
        <v>6</v>
      </c>
      <c r="V16" s="162">
        <v>13</v>
      </c>
      <c r="W16" s="162">
        <v>10</v>
      </c>
      <c r="X16" s="162">
        <v>8</v>
      </c>
      <c r="Y16" s="162">
        <v>12</v>
      </c>
      <c r="Z16" s="162">
        <v>5</v>
      </c>
      <c r="AA16" s="162">
        <v>15</v>
      </c>
      <c r="AB16" s="162">
        <v>14</v>
      </c>
      <c r="AC16" s="162">
        <v>9</v>
      </c>
      <c r="AD16" s="162">
        <v>7</v>
      </c>
      <c r="AE16" s="162">
        <v>11</v>
      </c>
      <c r="AF16" s="161">
        <v>14</v>
      </c>
      <c r="AG16" s="64">
        <f t="shared" si="2"/>
        <v>275</v>
      </c>
    </row>
    <row r="17" spans="1:33" ht="18.75" x14ac:dyDescent="0.25">
      <c r="A17" s="301" t="s">
        <v>131</v>
      </c>
      <c r="B17" s="249">
        <v>7</v>
      </c>
      <c r="C17" s="162">
        <v>4</v>
      </c>
      <c r="D17" s="162">
        <v>3</v>
      </c>
      <c r="E17" s="162">
        <v>11</v>
      </c>
      <c r="F17" s="162">
        <v>9</v>
      </c>
      <c r="G17" s="162">
        <v>5</v>
      </c>
      <c r="H17" s="162">
        <v>4</v>
      </c>
      <c r="I17" s="162">
        <v>9</v>
      </c>
      <c r="J17" s="162">
        <v>5</v>
      </c>
      <c r="K17" s="162">
        <v>10</v>
      </c>
      <c r="L17" s="162">
        <v>3</v>
      </c>
      <c r="M17" s="162">
        <v>9</v>
      </c>
      <c r="N17" s="162">
        <v>8</v>
      </c>
      <c r="O17" s="162">
        <v>6</v>
      </c>
      <c r="P17" s="162">
        <v>5</v>
      </c>
      <c r="Q17" s="162">
        <v>9</v>
      </c>
      <c r="R17" s="162">
        <v>6</v>
      </c>
      <c r="S17" s="162">
        <v>6</v>
      </c>
      <c r="T17" s="162">
        <v>5</v>
      </c>
      <c r="U17" s="162">
        <v>7</v>
      </c>
      <c r="V17" s="162">
        <v>8</v>
      </c>
      <c r="W17" s="162">
        <v>7</v>
      </c>
      <c r="X17" s="162">
        <v>4</v>
      </c>
      <c r="Y17" s="162">
        <v>13</v>
      </c>
      <c r="Z17" s="162">
        <v>7</v>
      </c>
      <c r="AA17" s="162">
        <v>7</v>
      </c>
      <c r="AB17" s="162">
        <v>10</v>
      </c>
      <c r="AC17" s="162">
        <v>8</v>
      </c>
      <c r="AD17" s="162">
        <v>10</v>
      </c>
      <c r="AE17" s="162">
        <v>6</v>
      </c>
      <c r="AF17" s="161">
        <v>5</v>
      </c>
      <c r="AG17" s="64">
        <f t="shared" si="2"/>
        <v>216</v>
      </c>
    </row>
    <row r="18" spans="1:33" ht="18.75" x14ac:dyDescent="0.25">
      <c r="A18" s="301" t="s">
        <v>130</v>
      </c>
      <c r="B18" s="249">
        <v>4</v>
      </c>
      <c r="C18" s="162">
        <v>4</v>
      </c>
      <c r="D18" s="162">
        <v>4</v>
      </c>
      <c r="E18" s="162">
        <v>7</v>
      </c>
      <c r="F18" s="162">
        <v>5</v>
      </c>
      <c r="G18" s="162">
        <v>12</v>
      </c>
      <c r="H18" s="162">
        <v>8</v>
      </c>
      <c r="I18" s="162"/>
      <c r="J18" s="162">
        <v>3</v>
      </c>
      <c r="K18" s="162">
        <v>9</v>
      </c>
      <c r="L18" s="162">
        <v>6</v>
      </c>
      <c r="M18" s="162">
        <v>8</v>
      </c>
      <c r="N18" s="162">
        <v>9</v>
      </c>
      <c r="O18" s="162">
        <v>5</v>
      </c>
      <c r="P18" s="162">
        <v>4</v>
      </c>
      <c r="Q18" s="162">
        <v>5</v>
      </c>
      <c r="R18" s="162">
        <v>7</v>
      </c>
      <c r="S18" s="162">
        <v>5</v>
      </c>
      <c r="T18" s="162">
        <v>4</v>
      </c>
      <c r="U18" s="162">
        <v>6</v>
      </c>
      <c r="V18" s="162">
        <v>4</v>
      </c>
      <c r="W18" s="162">
        <v>4</v>
      </c>
      <c r="X18" s="162">
        <v>6</v>
      </c>
      <c r="Y18" s="162">
        <v>5</v>
      </c>
      <c r="Z18" s="162">
        <v>7</v>
      </c>
      <c r="AA18" s="162">
        <v>4</v>
      </c>
      <c r="AB18" s="162">
        <v>7</v>
      </c>
      <c r="AC18" s="162">
        <v>3</v>
      </c>
      <c r="AD18" s="162">
        <v>5</v>
      </c>
      <c r="AE18" s="162">
        <v>5</v>
      </c>
      <c r="AF18" s="161">
        <v>4</v>
      </c>
      <c r="AG18" s="64">
        <f t="shared" si="2"/>
        <v>169</v>
      </c>
    </row>
    <row r="19" spans="1:33" ht="18.75" x14ac:dyDescent="0.25">
      <c r="A19" s="301" t="s">
        <v>129</v>
      </c>
      <c r="B19" s="249">
        <v>3</v>
      </c>
      <c r="C19" s="162">
        <v>1</v>
      </c>
      <c r="D19" s="162">
        <v>4</v>
      </c>
      <c r="E19" s="162">
        <v>3</v>
      </c>
      <c r="F19" s="162">
        <v>2</v>
      </c>
      <c r="G19" s="162">
        <v>8</v>
      </c>
      <c r="H19" s="162">
        <v>2</v>
      </c>
      <c r="I19" s="162">
        <v>1</v>
      </c>
      <c r="J19" s="162">
        <v>10</v>
      </c>
      <c r="K19" s="162">
        <v>4</v>
      </c>
      <c r="L19" s="162">
        <v>2</v>
      </c>
      <c r="M19" s="162">
        <v>1</v>
      </c>
      <c r="N19" s="162">
        <v>7</v>
      </c>
      <c r="O19" s="162">
        <v>3</v>
      </c>
      <c r="P19" s="162">
        <v>4</v>
      </c>
      <c r="Q19" s="162">
        <v>6</v>
      </c>
      <c r="R19" s="162">
        <v>4</v>
      </c>
      <c r="S19" s="162">
        <v>1</v>
      </c>
      <c r="T19" s="162">
        <v>3</v>
      </c>
      <c r="U19" s="162"/>
      <c r="V19" s="162">
        <v>3</v>
      </c>
      <c r="W19" s="162">
        <v>4</v>
      </c>
      <c r="X19" s="162">
        <v>4</v>
      </c>
      <c r="Y19" s="162">
        <v>7</v>
      </c>
      <c r="Z19" s="162">
        <v>7</v>
      </c>
      <c r="AA19" s="162">
        <v>7</v>
      </c>
      <c r="AB19" s="162">
        <v>2</v>
      </c>
      <c r="AC19" s="162">
        <v>6</v>
      </c>
      <c r="AD19" s="162">
        <v>2</v>
      </c>
      <c r="AE19" s="162">
        <v>5</v>
      </c>
      <c r="AF19" s="161">
        <v>3</v>
      </c>
      <c r="AG19" s="64">
        <f t="shared" si="2"/>
        <v>119</v>
      </c>
    </row>
    <row r="20" spans="1:33" ht="18.75" x14ac:dyDescent="0.25">
      <c r="A20" s="301" t="s">
        <v>128</v>
      </c>
      <c r="B20" s="249">
        <v>4</v>
      </c>
      <c r="C20" s="162">
        <v>6</v>
      </c>
      <c r="D20" s="162">
        <v>3</v>
      </c>
      <c r="E20" s="162">
        <v>1</v>
      </c>
      <c r="F20" s="162">
        <v>2</v>
      </c>
      <c r="G20" s="162">
        <v>2</v>
      </c>
      <c r="H20" s="162">
        <v>2</v>
      </c>
      <c r="I20" s="162">
        <v>5</v>
      </c>
      <c r="J20" s="162">
        <v>5</v>
      </c>
      <c r="K20" s="162">
        <v>2</v>
      </c>
      <c r="L20" s="162"/>
      <c r="M20" s="162">
        <v>3</v>
      </c>
      <c r="N20" s="162">
        <v>7</v>
      </c>
      <c r="O20" s="162">
        <v>1</v>
      </c>
      <c r="P20" s="162">
        <v>1</v>
      </c>
      <c r="Q20" s="162">
        <v>6</v>
      </c>
      <c r="R20" s="162">
        <v>2</v>
      </c>
      <c r="S20" s="162">
        <v>3</v>
      </c>
      <c r="T20" s="162">
        <v>7</v>
      </c>
      <c r="U20" s="162">
        <v>3</v>
      </c>
      <c r="V20" s="162">
        <v>2</v>
      </c>
      <c r="W20" s="162">
        <v>1</v>
      </c>
      <c r="X20" s="162">
        <v>2</v>
      </c>
      <c r="Y20" s="162">
        <v>1</v>
      </c>
      <c r="Z20" s="162">
        <v>3</v>
      </c>
      <c r="AA20" s="162">
        <v>4</v>
      </c>
      <c r="AB20" s="162">
        <v>2</v>
      </c>
      <c r="AC20" s="162">
        <v>6</v>
      </c>
      <c r="AD20" s="162">
        <v>2</v>
      </c>
      <c r="AE20" s="162">
        <v>3</v>
      </c>
      <c r="AF20" s="161">
        <v>3</v>
      </c>
      <c r="AG20" s="64">
        <f t="shared" si="2"/>
        <v>94</v>
      </c>
    </row>
    <row r="21" spans="1:33" ht="18.75" x14ac:dyDescent="0.25">
      <c r="A21" s="301" t="s">
        <v>127</v>
      </c>
      <c r="B21" s="249">
        <v>4</v>
      </c>
      <c r="C21" s="162">
        <v>1</v>
      </c>
      <c r="D21" s="162">
        <v>3</v>
      </c>
      <c r="E21" s="162"/>
      <c r="F21" s="162"/>
      <c r="G21" s="162">
        <v>3</v>
      </c>
      <c r="H21" s="162"/>
      <c r="I21" s="162">
        <v>3</v>
      </c>
      <c r="J21" s="162"/>
      <c r="K21" s="162">
        <v>1</v>
      </c>
      <c r="L21" s="162"/>
      <c r="M21" s="162">
        <v>2</v>
      </c>
      <c r="N21" s="162">
        <v>1</v>
      </c>
      <c r="O21" s="162">
        <v>5</v>
      </c>
      <c r="P21" s="162">
        <v>3</v>
      </c>
      <c r="Q21" s="162">
        <v>1</v>
      </c>
      <c r="R21" s="162"/>
      <c r="S21" s="162">
        <v>4</v>
      </c>
      <c r="T21" s="162">
        <v>1</v>
      </c>
      <c r="U21" s="162">
        <v>1</v>
      </c>
      <c r="V21" s="162">
        <v>2</v>
      </c>
      <c r="W21" s="162">
        <v>5</v>
      </c>
      <c r="X21" s="162"/>
      <c r="Y21" s="162">
        <v>2</v>
      </c>
      <c r="Z21" s="162">
        <v>3</v>
      </c>
      <c r="AA21" s="162">
        <v>3</v>
      </c>
      <c r="AB21" s="162">
        <v>2</v>
      </c>
      <c r="AC21" s="162">
        <v>2</v>
      </c>
      <c r="AD21" s="162">
        <v>2</v>
      </c>
      <c r="AE21" s="162">
        <v>1</v>
      </c>
      <c r="AF21" s="161">
        <v>5</v>
      </c>
      <c r="AG21" s="64">
        <f t="shared" si="2"/>
        <v>60</v>
      </c>
    </row>
    <row r="22" spans="1:33" ht="18.75" x14ac:dyDescent="0.25">
      <c r="A22" s="301" t="s">
        <v>126</v>
      </c>
      <c r="B22" s="249">
        <v>1</v>
      </c>
      <c r="C22" s="162">
        <v>1</v>
      </c>
      <c r="D22" s="162"/>
      <c r="E22" s="162">
        <v>2</v>
      </c>
      <c r="F22" s="162">
        <v>2</v>
      </c>
      <c r="G22" s="162">
        <v>3</v>
      </c>
      <c r="H22" s="162"/>
      <c r="I22" s="162">
        <v>4</v>
      </c>
      <c r="J22" s="162">
        <v>1</v>
      </c>
      <c r="K22" s="162"/>
      <c r="L22" s="162">
        <v>2</v>
      </c>
      <c r="M22" s="162">
        <v>1</v>
      </c>
      <c r="N22" s="162">
        <v>3</v>
      </c>
      <c r="O22" s="162"/>
      <c r="P22" s="162">
        <v>2</v>
      </c>
      <c r="Q22" s="162"/>
      <c r="R22" s="162">
        <v>2</v>
      </c>
      <c r="S22" s="162"/>
      <c r="T22" s="162">
        <v>4</v>
      </c>
      <c r="U22" s="162"/>
      <c r="V22" s="162"/>
      <c r="W22" s="162"/>
      <c r="X22" s="162">
        <v>1</v>
      </c>
      <c r="Y22" s="162">
        <v>1</v>
      </c>
      <c r="Z22" s="162">
        <v>1</v>
      </c>
      <c r="AA22" s="162">
        <v>5</v>
      </c>
      <c r="AB22" s="162"/>
      <c r="AC22" s="162">
        <v>5</v>
      </c>
      <c r="AD22" s="162"/>
      <c r="AE22" s="162"/>
      <c r="AF22" s="161">
        <v>3</v>
      </c>
      <c r="AG22" s="64">
        <f t="shared" si="2"/>
        <v>44</v>
      </c>
    </row>
    <row r="23" spans="1:33" ht="18.75" x14ac:dyDescent="0.25">
      <c r="A23" s="301" t="s">
        <v>125</v>
      </c>
      <c r="B23" s="249">
        <v>1</v>
      </c>
      <c r="C23" s="162"/>
      <c r="D23" s="162"/>
      <c r="E23" s="162">
        <v>2</v>
      </c>
      <c r="F23" s="162"/>
      <c r="G23" s="162">
        <v>2</v>
      </c>
      <c r="H23" s="162">
        <v>2</v>
      </c>
      <c r="I23" s="162">
        <v>3</v>
      </c>
      <c r="J23" s="162">
        <v>1</v>
      </c>
      <c r="K23" s="162">
        <v>1</v>
      </c>
      <c r="L23" s="162">
        <v>1</v>
      </c>
      <c r="M23" s="162"/>
      <c r="N23" s="162">
        <v>1</v>
      </c>
      <c r="O23" s="162">
        <v>1</v>
      </c>
      <c r="P23" s="162">
        <v>1</v>
      </c>
      <c r="Q23" s="162">
        <v>1</v>
      </c>
      <c r="R23" s="162"/>
      <c r="S23" s="162">
        <v>2</v>
      </c>
      <c r="T23" s="162"/>
      <c r="U23" s="162">
        <v>1</v>
      </c>
      <c r="V23" s="162"/>
      <c r="W23" s="162">
        <v>4</v>
      </c>
      <c r="X23" s="162">
        <v>2</v>
      </c>
      <c r="Y23" s="162"/>
      <c r="Z23" s="162"/>
      <c r="AA23" s="162"/>
      <c r="AB23" s="162">
        <v>2</v>
      </c>
      <c r="AC23" s="162">
        <v>2</v>
      </c>
      <c r="AD23" s="162">
        <v>1</v>
      </c>
      <c r="AE23" s="162">
        <v>1</v>
      </c>
      <c r="AF23" s="161">
        <v>1</v>
      </c>
      <c r="AG23" s="64">
        <f t="shared" si="2"/>
        <v>33</v>
      </c>
    </row>
    <row r="24" spans="1:33" ht="18.75" x14ac:dyDescent="0.25">
      <c r="A24" s="301" t="s">
        <v>124</v>
      </c>
      <c r="B24" s="249"/>
      <c r="C24" s="162"/>
      <c r="D24" s="162"/>
      <c r="E24" s="162">
        <v>2</v>
      </c>
      <c r="F24" s="162"/>
      <c r="G24" s="162">
        <v>2</v>
      </c>
      <c r="H24" s="162"/>
      <c r="I24" s="162">
        <v>2</v>
      </c>
      <c r="J24" s="162">
        <v>1</v>
      </c>
      <c r="K24" s="162"/>
      <c r="L24" s="162">
        <v>1</v>
      </c>
      <c r="M24" s="162">
        <v>2</v>
      </c>
      <c r="N24" s="162">
        <v>1</v>
      </c>
      <c r="O24" s="162">
        <v>2</v>
      </c>
      <c r="P24" s="162">
        <v>2</v>
      </c>
      <c r="Q24" s="162">
        <v>1</v>
      </c>
      <c r="R24" s="162"/>
      <c r="S24" s="162">
        <v>1</v>
      </c>
      <c r="T24" s="162"/>
      <c r="U24" s="162">
        <v>3</v>
      </c>
      <c r="V24" s="162"/>
      <c r="W24" s="162">
        <v>3</v>
      </c>
      <c r="X24" s="162">
        <v>3</v>
      </c>
      <c r="Y24" s="162">
        <v>1</v>
      </c>
      <c r="Z24" s="162"/>
      <c r="AA24" s="162">
        <v>1</v>
      </c>
      <c r="AB24" s="162">
        <v>1</v>
      </c>
      <c r="AC24" s="162">
        <v>2</v>
      </c>
      <c r="AD24" s="162"/>
      <c r="AE24" s="162"/>
      <c r="AF24" s="161"/>
      <c r="AG24" s="64">
        <f t="shared" si="2"/>
        <v>31</v>
      </c>
    </row>
    <row r="25" spans="1:33" ht="18.75" x14ac:dyDescent="0.25">
      <c r="A25" s="301" t="s">
        <v>123</v>
      </c>
      <c r="B25" s="249"/>
      <c r="C25" s="162">
        <v>1</v>
      </c>
      <c r="D25" s="162"/>
      <c r="E25" s="162">
        <v>3</v>
      </c>
      <c r="F25" s="162"/>
      <c r="G25" s="162"/>
      <c r="H25" s="162"/>
      <c r="I25" s="162"/>
      <c r="J25" s="162">
        <v>4</v>
      </c>
      <c r="K25" s="162"/>
      <c r="L25" s="162">
        <v>1</v>
      </c>
      <c r="M25" s="162"/>
      <c r="N25" s="162"/>
      <c r="O25" s="162"/>
      <c r="P25" s="162"/>
      <c r="Q25" s="162"/>
      <c r="R25" s="162"/>
      <c r="S25" s="162"/>
      <c r="T25" s="162"/>
      <c r="U25" s="162"/>
      <c r="V25" s="162">
        <v>2</v>
      </c>
      <c r="W25" s="162">
        <v>1</v>
      </c>
      <c r="X25" s="162">
        <v>2</v>
      </c>
      <c r="Y25" s="162"/>
      <c r="Z25" s="162">
        <v>2</v>
      </c>
      <c r="AA25" s="162">
        <v>1</v>
      </c>
      <c r="AB25" s="162">
        <v>1</v>
      </c>
      <c r="AC25" s="162"/>
      <c r="AD25" s="162"/>
      <c r="AE25" s="162">
        <v>1</v>
      </c>
      <c r="AF25" s="161">
        <v>2</v>
      </c>
      <c r="AG25" s="64">
        <f t="shared" si="2"/>
        <v>21</v>
      </c>
    </row>
    <row r="26" spans="1:33" ht="18.75" x14ac:dyDescent="0.25">
      <c r="A26" s="301" t="s">
        <v>122</v>
      </c>
      <c r="B26" s="249"/>
      <c r="C26" s="162">
        <v>1</v>
      </c>
      <c r="D26" s="162">
        <v>1</v>
      </c>
      <c r="E26" s="162"/>
      <c r="F26" s="162">
        <v>1</v>
      </c>
      <c r="G26" s="162"/>
      <c r="H26" s="162">
        <v>3</v>
      </c>
      <c r="I26" s="162">
        <v>2</v>
      </c>
      <c r="J26" s="162"/>
      <c r="K26" s="162"/>
      <c r="L26" s="162">
        <v>1</v>
      </c>
      <c r="M26" s="162"/>
      <c r="N26" s="162"/>
      <c r="O26" s="162"/>
      <c r="P26" s="162">
        <v>2</v>
      </c>
      <c r="Q26" s="162">
        <v>1</v>
      </c>
      <c r="R26" s="162"/>
      <c r="S26" s="162"/>
      <c r="T26" s="162"/>
      <c r="U26" s="162">
        <v>1</v>
      </c>
      <c r="V26" s="162"/>
      <c r="W26" s="162"/>
      <c r="X26" s="162">
        <v>1</v>
      </c>
      <c r="Y26" s="162"/>
      <c r="Z26" s="162">
        <v>2</v>
      </c>
      <c r="AA26" s="162"/>
      <c r="AB26" s="162">
        <v>1</v>
      </c>
      <c r="AC26" s="162">
        <v>1</v>
      </c>
      <c r="AD26" s="162"/>
      <c r="AE26" s="162">
        <v>1</v>
      </c>
      <c r="AF26" s="161">
        <v>1</v>
      </c>
      <c r="AG26" s="64">
        <f t="shared" si="2"/>
        <v>20</v>
      </c>
    </row>
    <row r="27" spans="1:33" ht="19.5" thickBot="1" x14ac:dyDescent="0.3">
      <c r="A27" s="302" t="s">
        <v>121</v>
      </c>
      <c r="B27" s="250">
        <v>3</v>
      </c>
      <c r="C27" s="212">
        <v>2</v>
      </c>
      <c r="D27" s="212">
        <v>1</v>
      </c>
      <c r="E27" s="212">
        <v>1</v>
      </c>
      <c r="F27" s="212"/>
      <c r="G27" s="212"/>
      <c r="H27" s="212">
        <v>2</v>
      </c>
      <c r="I27" s="212">
        <v>1</v>
      </c>
      <c r="J27" s="212"/>
      <c r="K27" s="212">
        <v>1</v>
      </c>
      <c r="L27" s="212"/>
      <c r="M27" s="212">
        <v>1</v>
      </c>
      <c r="N27" s="212"/>
      <c r="O27" s="212"/>
      <c r="P27" s="212">
        <v>2</v>
      </c>
      <c r="Q27" s="212">
        <v>1</v>
      </c>
      <c r="R27" s="212"/>
      <c r="S27" s="212">
        <v>1</v>
      </c>
      <c r="T27" s="212">
        <v>1</v>
      </c>
      <c r="U27" s="212">
        <v>2</v>
      </c>
      <c r="V27" s="212">
        <v>5</v>
      </c>
      <c r="W27" s="212"/>
      <c r="X27" s="212">
        <v>1</v>
      </c>
      <c r="Y27" s="212"/>
      <c r="Z27" s="212"/>
      <c r="AA27" s="212"/>
      <c r="AB27" s="212">
        <v>1</v>
      </c>
      <c r="AC27" s="212">
        <v>1</v>
      </c>
      <c r="AD27" s="212">
        <v>1</v>
      </c>
      <c r="AE27" s="212"/>
      <c r="AF27" s="211"/>
      <c r="AG27" s="64">
        <f t="shared" si="2"/>
        <v>28</v>
      </c>
    </row>
    <row r="28" spans="1:33" ht="18.75" x14ac:dyDescent="0.25">
      <c r="A28" s="303" t="s">
        <v>146</v>
      </c>
      <c r="B28" s="251">
        <f t="shared" ref="B28:AF28" si="3">SUM(B29:B52)</f>
        <v>114</v>
      </c>
      <c r="C28" s="209">
        <f t="shared" si="3"/>
        <v>110</v>
      </c>
      <c r="D28" s="209">
        <f t="shared" si="3"/>
        <v>127</v>
      </c>
      <c r="E28" s="209">
        <f t="shared" si="3"/>
        <v>137</v>
      </c>
      <c r="F28" s="209">
        <f t="shared" si="3"/>
        <v>110</v>
      </c>
      <c r="G28" s="209">
        <f t="shared" si="3"/>
        <v>132</v>
      </c>
      <c r="H28" s="209">
        <f t="shared" si="3"/>
        <v>103</v>
      </c>
      <c r="I28" s="209">
        <f t="shared" si="3"/>
        <v>136</v>
      </c>
      <c r="J28" s="209">
        <f t="shared" si="3"/>
        <v>120</v>
      </c>
      <c r="K28" s="209">
        <f t="shared" si="3"/>
        <v>129</v>
      </c>
      <c r="L28" s="209">
        <f t="shared" si="3"/>
        <v>114</v>
      </c>
      <c r="M28" s="209">
        <f t="shared" si="3"/>
        <v>122</v>
      </c>
      <c r="N28" s="209">
        <f t="shared" si="3"/>
        <v>141</v>
      </c>
      <c r="O28" s="209">
        <f t="shared" si="3"/>
        <v>125</v>
      </c>
      <c r="P28" s="209">
        <f t="shared" si="3"/>
        <v>135</v>
      </c>
      <c r="Q28" s="209">
        <f t="shared" si="3"/>
        <v>150</v>
      </c>
      <c r="R28" s="209">
        <f t="shared" si="3"/>
        <v>174</v>
      </c>
      <c r="S28" s="209">
        <f t="shared" si="3"/>
        <v>133</v>
      </c>
      <c r="T28" s="209">
        <f t="shared" si="3"/>
        <v>129</v>
      </c>
      <c r="U28" s="209">
        <f t="shared" si="3"/>
        <v>148</v>
      </c>
      <c r="V28" s="209">
        <f t="shared" si="3"/>
        <v>148</v>
      </c>
      <c r="W28" s="209">
        <f t="shared" si="3"/>
        <v>156</v>
      </c>
      <c r="X28" s="209">
        <f t="shared" si="3"/>
        <v>187</v>
      </c>
      <c r="Y28" s="209">
        <f t="shared" si="3"/>
        <v>190</v>
      </c>
      <c r="Z28" s="209">
        <f t="shared" si="3"/>
        <v>156</v>
      </c>
      <c r="AA28" s="209">
        <f t="shared" si="3"/>
        <v>176</v>
      </c>
      <c r="AB28" s="209">
        <f t="shared" si="3"/>
        <v>144</v>
      </c>
      <c r="AC28" s="209">
        <f t="shared" si="3"/>
        <v>148</v>
      </c>
      <c r="AD28" s="209">
        <f t="shared" si="3"/>
        <v>164</v>
      </c>
      <c r="AE28" s="209">
        <f t="shared" si="3"/>
        <v>148</v>
      </c>
      <c r="AF28" s="209">
        <f t="shared" si="3"/>
        <v>154</v>
      </c>
      <c r="AG28" s="164">
        <f t="shared" si="2"/>
        <v>4360</v>
      </c>
    </row>
    <row r="29" spans="1:33" ht="18.75" x14ac:dyDescent="0.25">
      <c r="A29" s="301" t="s">
        <v>144</v>
      </c>
      <c r="B29" s="249">
        <v>2</v>
      </c>
      <c r="C29" s="162">
        <v>2</v>
      </c>
      <c r="D29" s="162">
        <v>1</v>
      </c>
      <c r="E29" s="162">
        <v>1</v>
      </c>
      <c r="F29" s="162"/>
      <c r="G29" s="162">
        <v>1</v>
      </c>
      <c r="H29" s="162">
        <v>2</v>
      </c>
      <c r="I29" s="162">
        <v>1</v>
      </c>
      <c r="J29" s="162">
        <v>1</v>
      </c>
      <c r="K29" s="162">
        <v>3</v>
      </c>
      <c r="L29" s="162"/>
      <c r="M29" s="162">
        <v>1</v>
      </c>
      <c r="N29" s="162"/>
      <c r="O29" s="162">
        <v>3</v>
      </c>
      <c r="P29" s="162">
        <v>1</v>
      </c>
      <c r="Q29" s="162">
        <v>4</v>
      </c>
      <c r="R29" s="162">
        <v>2</v>
      </c>
      <c r="S29" s="162">
        <v>1</v>
      </c>
      <c r="T29" s="162"/>
      <c r="U29" s="162">
        <v>5</v>
      </c>
      <c r="V29" s="162">
        <v>7</v>
      </c>
      <c r="W29" s="162"/>
      <c r="X29" s="162">
        <v>5</v>
      </c>
      <c r="Y29" s="162">
        <v>5</v>
      </c>
      <c r="Z29" s="162">
        <v>2</v>
      </c>
      <c r="AA29" s="162">
        <v>2</v>
      </c>
      <c r="AB29" s="162">
        <v>1</v>
      </c>
      <c r="AC29" s="162">
        <v>1</v>
      </c>
      <c r="AD29" s="162">
        <v>4</v>
      </c>
      <c r="AE29" s="162">
        <v>1</v>
      </c>
      <c r="AF29" s="161">
        <v>3</v>
      </c>
      <c r="AG29" s="64">
        <f t="shared" si="2"/>
        <v>62</v>
      </c>
    </row>
    <row r="30" spans="1:33" ht="18.75" x14ac:dyDescent="0.25">
      <c r="A30" s="301" t="s">
        <v>143</v>
      </c>
      <c r="B30" s="249">
        <v>6</v>
      </c>
      <c r="C30" s="162">
        <v>6</v>
      </c>
      <c r="D30" s="162">
        <v>6</v>
      </c>
      <c r="E30" s="162">
        <v>2</v>
      </c>
      <c r="F30" s="162">
        <v>3</v>
      </c>
      <c r="G30" s="162">
        <v>4</v>
      </c>
      <c r="H30" s="162">
        <v>1</v>
      </c>
      <c r="I30" s="162">
        <v>6</v>
      </c>
      <c r="J30" s="162">
        <v>3</v>
      </c>
      <c r="K30" s="162">
        <v>9</v>
      </c>
      <c r="L30" s="162">
        <v>4</v>
      </c>
      <c r="M30" s="162">
        <v>3</v>
      </c>
      <c r="N30" s="162">
        <v>1</v>
      </c>
      <c r="O30" s="162">
        <v>2</v>
      </c>
      <c r="P30" s="162">
        <v>4</v>
      </c>
      <c r="Q30" s="162">
        <v>8</v>
      </c>
      <c r="R30" s="162">
        <v>10</v>
      </c>
      <c r="S30" s="162">
        <v>6</v>
      </c>
      <c r="T30" s="162">
        <v>7</v>
      </c>
      <c r="U30" s="162">
        <v>3</v>
      </c>
      <c r="V30" s="162">
        <v>5</v>
      </c>
      <c r="W30" s="162">
        <v>4</v>
      </c>
      <c r="X30" s="162">
        <v>7</v>
      </c>
      <c r="Y30" s="162">
        <v>6</v>
      </c>
      <c r="Z30" s="162">
        <v>6</v>
      </c>
      <c r="AA30" s="162">
        <v>10</v>
      </c>
      <c r="AB30" s="162">
        <v>9</v>
      </c>
      <c r="AC30" s="162">
        <v>6</v>
      </c>
      <c r="AD30" s="162">
        <v>4</v>
      </c>
      <c r="AE30" s="162">
        <v>4</v>
      </c>
      <c r="AF30" s="161">
        <v>4</v>
      </c>
      <c r="AG30" s="64">
        <f t="shared" si="2"/>
        <v>159</v>
      </c>
    </row>
    <row r="31" spans="1:33" ht="18.75" x14ac:dyDescent="0.25">
      <c r="A31" s="301" t="s">
        <v>142</v>
      </c>
      <c r="B31" s="249">
        <v>5</v>
      </c>
      <c r="C31" s="162">
        <v>3</v>
      </c>
      <c r="D31" s="162">
        <v>4</v>
      </c>
      <c r="E31" s="162">
        <v>1</v>
      </c>
      <c r="F31" s="162">
        <v>3</v>
      </c>
      <c r="G31" s="162"/>
      <c r="H31" s="162">
        <v>4</v>
      </c>
      <c r="I31" s="162">
        <v>8</v>
      </c>
      <c r="J31" s="162">
        <v>2</v>
      </c>
      <c r="K31" s="162">
        <v>4</v>
      </c>
      <c r="L31" s="162">
        <v>3</v>
      </c>
      <c r="M31" s="162">
        <v>4</v>
      </c>
      <c r="N31" s="162">
        <v>9</v>
      </c>
      <c r="O31" s="162">
        <v>7</v>
      </c>
      <c r="P31" s="162">
        <v>7</v>
      </c>
      <c r="Q31" s="162">
        <v>3</v>
      </c>
      <c r="R31" s="162">
        <v>5</v>
      </c>
      <c r="S31" s="162">
        <v>6</v>
      </c>
      <c r="T31" s="162">
        <v>10</v>
      </c>
      <c r="U31" s="162">
        <v>6</v>
      </c>
      <c r="V31" s="162">
        <v>6</v>
      </c>
      <c r="W31" s="162">
        <v>8</v>
      </c>
      <c r="X31" s="162">
        <v>7</v>
      </c>
      <c r="Y31" s="162">
        <v>10</v>
      </c>
      <c r="Z31" s="162">
        <v>5</v>
      </c>
      <c r="AA31" s="162">
        <v>6</v>
      </c>
      <c r="AB31" s="162"/>
      <c r="AC31" s="162">
        <v>3</v>
      </c>
      <c r="AD31" s="162">
        <v>8</v>
      </c>
      <c r="AE31" s="162">
        <v>5</v>
      </c>
      <c r="AF31" s="161">
        <v>9</v>
      </c>
      <c r="AG31" s="64">
        <f t="shared" si="2"/>
        <v>161</v>
      </c>
    </row>
    <row r="32" spans="1:33" ht="18.75" x14ac:dyDescent="0.25">
      <c r="A32" s="301" t="s">
        <v>141</v>
      </c>
      <c r="B32" s="249">
        <v>7</v>
      </c>
      <c r="C32" s="162">
        <v>7</v>
      </c>
      <c r="D32" s="162">
        <v>8</v>
      </c>
      <c r="E32" s="162">
        <v>4</v>
      </c>
      <c r="F32" s="162"/>
      <c r="G32" s="162">
        <v>7</v>
      </c>
      <c r="H32" s="162">
        <v>7</v>
      </c>
      <c r="I32" s="162">
        <v>7</v>
      </c>
      <c r="J32" s="162">
        <v>5</v>
      </c>
      <c r="K32" s="162">
        <v>3</v>
      </c>
      <c r="L32" s="162">
        <v>1</v>
      </c>
      <c r="M32" s="162">
        <v>3</v>
      </c>
      <c r="N32" s="162">
        <v>3</v>
      </c>
      <c r="O32" s="162">
        <v>5</v>
      </c>
      <c r="P32" s="162">
        <v>7</v>
      </c>
      <c r="Q32" s="162">
        <v>10</v>
      </c>
      <c r="R32" s="162">
        <v>5</v>
      </c>
      <c r="S32" s="162">
        <v>6</v>
      </c>
      <c r="T32" s="162">
        <v>9</v>
      </c>
      <c r="U32" s="162">
        <v>7</v>
      </c>
      <c r="V32" s="162">
        <v>6</v>
      </c>
      <c r="W32" s="162">
        <v>8</v>
      </c>
      <c r="X32" s="162">
        <v>11</v>
      </c>
      <c r="Y32" s="162">
        <v>11</v>
      </c>
      <c r="Z32" s="162">
        <v>6</v>
      </c>
      <c r="AA32" s="162">
        <v>4</v>
      </c>
      <c r="AB32" s="162">
        <v>7</v>
      </c>
      <c r="AC32" s="162">
        <v>2</v>
      </c>
      <c r="AD32" s="162">
        <v>6</v>
      </c>
      <c r="AE32" s="162">
        <v>11</v>
      </c>
      <c r="AF32" s="161">
        <v>5</v>
      </c>
      <c r="AG32" s="64">
        <f t="shared" si="2"/>
        <v>188</v>
      </c>
    </row>
    <row r="33" spans="1:33" ht="18.75" x14ac:dyDescent="0.25">
      <c r="A33" s="301" t="s">
        <v>140</v>
      </c>
      <c r="B33" s="249">
        <v>6</v>
      </c>
      <c r="C33" s="162">
        <v>6</v>
      </c>
      <c r="D33" s="162">
        <v>10</v>
      </c>
      <c r="E33" s="162">
        <v>7</v>
      </c>
      <c r="F33" s="162">
        <v>6</v>
      </c>
      <c r="G33" s="162">
        <v>3</v>
      </c>
      <c r="H33" s="162">
        <v>6</v>
      </c>
      <c r="I33" s="162">
        <v>6</v>
      </c>
      <c r="J33" s="162">
        <v>8</v>
      </c>
      <c r="K33" s="162">
        <v>4</v>
      </c>
      <c r="L33" s="162">
        <v>3</v>
      </c>
      <c r="M33" s="162">
        <v>3</v>
      </c>
      <c r="N33" s="162">
        <v>7</v>
      </c>
      <c r="O33" s="162">
        <v>3</v>
      </c>
      <c r="P33" s="162">
        <v>7</v>
      </c>
      <c r="Q33" s="162">
        <v>12</v>
      </c>
      <c r="R33" s="162">
        <v>7</v>
      </c>
      <c r="S33" s="162">
        <v>4</v>
      </c>
      <c r="T33" s="162">
        <v>4</v>
      </c>
      <c r="U33" s="162">
        <v>8</v>
      </c>
      <c r="V33" s="162">
        <v>7</v>
      </c>
      <c r="W33" s="162">
        <v>9</v>
      </c>
      <c r="X33" s="162">
        <v>11</v>
      </c>
      <c r="Y33" s="162">
        <v>5</v>
      </c>
      <c r="Z33" s="162">
        <v>5</v>
      </c>
      <c r="AA33" s="162">
        <v>10</v>
      </c>
      <c r="AB33" s="162">
        <v>5</v>
      </c>
      <c r="AC33" s="162">
        <v>6</v>
      </c>
      <c r="AD33" s="162">
        <v>15</v>
      </c>
      <c r="AE33" s="162">
        <v>11</v>
      </c>
      <c r="AF33" s="161">
        <v>6</v>
      </c>
      <c r="AG33" s="64">
        <f t="shared" si="2"/>
        <v>210</v>
      </c>
    </row>
    <row r="34" spans="1:33" ht="18.75" x14ac:dyDescent="0.25">
      <c r="A34" s="301" t="s">
        <v>139</v>
      </c>
      <c r="B34" s="249">
        <v>7</v>
      </c>
      <c r="C34" s="162">
        <v>6</v>
      </c>
      <c r="D34" s="162">
        <v>3</v>
      </c>
      <c r="E34" s="162">
        <v>6</v>
      </c>
      <c r="F34" s="162"/>
      <c r="G34" s="162">
        <v>3</v>
      </c>
      <c r="H34" s="162">
        <v>3</v>
      </c>
      <c r="I34" s="162">
        <v>7</v>
      </c>
      <c r="J34" s="162">
        <v>16</v>
      </c>
      <c r="K34" s="162">
        <v>4</v>
      </c>
      <c r="L34" s="162">
        <v>1</v>
      </c>
      <c r="M34" s="162">
        <v>2</v>
      </c>
      <c r="N34" s="162">
        <v>5</v>
      </c>
      <c r="O34" s="162">
        <v>4</v>
      </c>
      <c r="P34" s="162">
        <v>9</v>
      </c>
      <c r="Q34" s="162">
        <v>5</v>
      </c>
      <c r="R34" s="162">
        <v>5</v>
      </c>
      <c r="S34" s="162">
        <v>6</v>
      </c>
      <c r="T34" s="162">
        <v>5</v>
      </c>
      <c r="U34" s="162">
        <v>9</v>
      </c>
      <c r="V34" s="162">
        <v>13</v>
      </c>
      <c r="W34" s="162">
        <v>10</v>
      </c>
      <c r="X34" s="162">
        <v>9</v>
      </c>
      <c r="Y34" s="162">
        <v>13</v>
      </c>
      <c r="Z34" s="162">
        <v>2</v>
      </c>
      <c r="AA34" s="162">
        <v>6</v>
      </c>
      <c r="AB34" s="162">
        <v>4</v>
      </c>
      <c r="AC34" s="162">
        <v>2</v>
      </c>
      <c r="AD34" s="162">
        <v>13</v>
      </c>
      <c r="AE34" s="162">
        <v>16</v>
      </c>
      <c r="AF34" s="161">
        <v>6</v>
      </c>
      <c r="AG34" s="64">
        <f t="shared" si="2"/>
        <v>200</v>
      </c>
    </row>
    <row r="35" spans="1:33" ht="18.75" x14ac:dyDescent="0.25">
      <c r="A35" s="301" t="s">
        <v>138</v>
      </c>
      <c r="B35" s="249">
        <v>12</v>
      </c>
      <c r="C35" s="162">
        <v>3</v>
      </c>
      <c r="D35" s="162">
        <v>4</v>
      </c>
      <c r="E35" s="162">
        <v>4</v>
      </c>
      <c r="F35" s="162">
        <v>2</v>
      </c>
      <c r="G35" s="162">
        <v>1</v>
      </c>
      <c r="H35" s="162">
        <v>1</v>
      </c>
      <c r="I35" s="162">
        <v>10</v>
      </c>
      <c r="J35" s="162">
        <v>6</v>
      </c>
      <c r="K35" s="162">
        <v>3</v>
      </c>
      <c r="L35" s="162">
        <v>4</v>
      </c>
      <c r="M35" s="162">
        <v>7</v>
      </c>
      <c r="N35" s="162">
        <v>5</v>
      </c>
      <c r="O35" s="162">
        <v>8</v>
      </c>
      <c r="P35" s="162">
        <v>10</v>
      </c>
      <c r="Q35" s="162">
        <v>6</v>
      </c>
      <c r="R35" s="162">
        <v>8</v>
      </c>
      <c r="S35" s="162">
        <v>2</v>
      </c>
      <c r="T35" s="162">
        <v>5</v>
      </c>
      <c r="U35" s="162">
        <v>7</v>
      </c>
      <c r="V35" s="162">
        <v>18</v>
      </c>
      <c r="W35" s="162">
        <v>8</v>
      </c>
      <c r="X35" s="162">
        <v>14</v>
      </c>
      <c r="Y35" s="162">
        <v>11</v>
      </c>
      <c r="Z35" s="162">
        <v>6</v>
      </c>
      <c r="AA35" s="162">
        <v>7</v>
      </c>
      <c r="AB35" s="162">
        <v>10</v>
      </c>
      <c r="AC35" s="162">
        <v>4</v>
      </c>
      <c r="AD35" s="162">
        <v>11</v>
      </c>
      <c r="AE35" s="162">
        <v>14</v>
      </c>
      <c r="AF35" s="161">
        <v>7</v>
      </c>
      <c r="AG35" s="64">
        <f t="shared" si="2"/>
        <v>218</v>
      </c>
    </row>
    <row r="36" spans="1:33" ht="18.75" x14ac:dyDescent="0.25">
      <c r="A36" s="301" t="s">
        <v>137</v>
      </c>
      <c r="B36" s="249">
        <v>7</v>
      </c>
      <c r="C36" s="162">
        <v>9</v>
      </c>
      <c r="D36" s="162">
        <v>7</v>
      </c>
      <c r="E36" s="162">
        <v>2</v>
      </c>
      <c r="F36" s="162">
        <v>10</v>
      </c>
      <c r="G36" s="162">
        <v>1</v>
      </c>
      <c r="H36" s="162">
        <v>3</v>
      </c>
      <c r="I36" s="162">
        <v>9</v>
      </c>
      <c r="J36" s="162">
        <v>5</v>
      </c>
      <c r="K36" s="162">
        <v>6</v>
      </c>
      <c r="L36" s="162">
        <v>6</v>
      </c>
      <c r="M36" s="162">
        <v>3</v>
      </c>
      <c r="N36" s="162">
        <v>4</v>
      </c>
      <c r="O36" s="162">
        <v>6</v>
      </c>
      <c r="P36" s="162">
        <v>10</v>
      </c>
      <c r="Q36" s="162">
        <v>10</v>
      </c>
      <c r="R36" s="162">
        <v>11</v>
      </c>
      <c r="S36" s="162">
        <v>9</v>
      </c>
      <c r="T36" s="162">
        <v>3</v>
      </c>
      <c r="U36" s="162">
        <v>6</v>
      </c>
      <c r="V36" s="162">
        <v>8</v>
      </c>
      <c r="W36" s="162">
        <v>14</v>
      </c>
      <c r="X36" s="162">
        <v>16</v>
      </c>
      <c r="Y36" s="162">
        <v>6</v>
      </c>
      <c r="Z36" s="162">
        <v>5</v>
      </c>
      <c r="AA36" s="162">
        <v>8</v>
      </c>
      <c r="AB36" s="162">
        <v>6</v>
      </c>
      <c r="AC36" s="162"/>
      <c r="AD36" s="162">
        <v>10</v>
      </c>
      <c r="AE36" s="162">
        <v>8</v>
      </c>
      <c r="AF36" s="161">
        <v>7</v>
      </c>
      <c r="AG36" s="64">
        <f t="shared" si="2"/>
        <v>215</v>
      </c>
    </row>
    <row r="37" spans="1:33" ht="18.75" x14ac:dyDescent="0.25">
      <c r="A37" s="301" t="s">
        <v>136</v>
      </c>
      <c r="B37" s="249">
        <v>7</v>
      </c>
      <c r="C37" s="162">
        <v>14</v>
      </c>
      <c r="D37" s="162">
        <v>3</v>
      </c>
      <c r="E37" s="162">
        <v>8</v>
      </c>
      <c r="F37" s="162"/>
      <c r="G37" s="162">
        <v>5</v>
      </c>
      <c r="H37" s="162">
        <v>4</v>
      </c>
      <c r="I37" s="162">
        <v>10</v>
      </c>
      <c r="J37" s="162">
        <v>8</v>
      </c>
      <c r="K37" s="162">
        <v>4</v>
      </c>
      <c r="L37" s="162">
        <v>7</v>
      </c>
      <c r="M37" s="162">
        <v>8</v>
      </c>
      <c r="N37" s="162">
        <v>4</v>
      </c>
      <c r="O37" s="162">
        <v>4</v>
      </c>
      <c r="P37" s="162">
        <v>14</v>
      </c>
      <c r="Q37" s="162">
        <v>11</v>
      </c>
      <c r="R37" s="162">
        <v>11</v>
      </c>
      <c r="S37" s="162">
        <v>6</v>
      </c>
      <c r="T37" s="162">
        <v>5</v>
      </c>
      <c r="U37" s="162">
        <v>9</v>
      </c>
      <c r="V37" s="162">
        <v>15</v>
      </c>
      <c r="W37" s="162">
        <v>16</v>
      </c>
      <c r="X37" s="162">
        <v>14</v>
      </c>
      <c r="Y37" s="162">
        <v>10</v>
      </c>
      <c r="Z37" s="162">
        <v>7</v>
      </c>
      <c r="AA37" s="162">
        <v>7</v>
      </c>
      <c r="AB37" s="162">
        <v>5</v>
      </c>
      <c r="AC37" s="162">
        <v>5</v>
      </c>
      <c r="AD37" s="162">
        <v>15</v>
      </c>
      <c r="AE37" s="162">
        <v>13</v>
      </c>
      <c r="AF37" s="161">
        <v>3</v>
      </c>
      <c r="AG37" s="64">
        <f t="shared" si="2"/>
        <v>252</v>
      </c>
    </row>
    <row r="38" spans="1:33" ht="18.75" x14ac:dyDescent="0.25">
      <c r="A38" s="301" t="s">
        <v>135</v>
      </c>
      <c r="B38" s="249">
        <v>6</v>
      </c>
      <c r="C38" s="162">
        <v>9</v>
      </c>
      <c r="D38" s="162">
        <v>7</v>
      </c>
      <c r="E38" s="162">
        <v>11</v>
      </c>
      <c r="F38" s="162">
        <v>7</v>
      </c>
      <c r="G38" s="162">
        <v>9</v>
      </c>
      <c r="H38" s="162">
        <v>7</v>
      </c>
      <c r="I38" s="162">
        <v>15</v>
      </c>
      <c r="J38" s="162">
        <v>9</v>
      </c>
      <c r="K38" s="162">
        <v>7</v>
      </c>
      <c r="L38" s="162">
        <v>10</v>
      </c>
      <c r="M38" s="162">
        <v>4</v>
      </c>
      <c r="N38" s="162">
        <v>5</v>
      </c>
      <c r="O38" s="162">
        <v>3</v>
      </c>
      <c r="P38" s="162">
        <v>5</v>
      </c>
      <c r="Q38" s="162">
        <v>12</v>
      </c>
      <c r="R38" s="162">
        <v>9</v>
      </c>
      <c r="S38" s="162">
        <v>8</v>
      </c>
      <c r="T38" s="162">
        <v>6</v>
      </c>
      <c r="U38" s="162">
        <v>8</v>
      </c>
      <c r="V38" s="162">
        <v>12</v>
      </c>
      <c r="W38" s="162">
        <v>16</v>
      </c>
      <c r="X38" s="162">
        <v>16</v>
      </c>
      <c r="Y38" s="162">
        <v>3</v>
      </c>
      <c r="Z38" s="162">
        <v>4</v>
      </c>
      <c r="AA38" s="162">
        <v>13</v>
      </c>
      <c r="AB38" s="162">
        <v>12</v>
      </c>
      <c r="AC38" s="162">
        <v>13</v>
      </c>
      <c r="AD38" s="162">
        <v>13</v>
      </c>
      <c r="AE38" s="162">
        <v>8</v>
      </c>
      <c r="AF38" s="161">
        <v>8</v>
      </c>
      <c r="AG38" s="64">
        <f t="shared" si="2"/>
        <v>275</v>
      </c>
    </row>
    <row r="39" spans="1:33" ht="18.75" x14ac:dyDescent="0.25">
      <c r="A39" s="301" t="s">
        <v>134</v>
      </c>
      <c r="B39" s="249">
        <v>11</v>
      </c>
      <c r="C39" s="162">
        <v>12</v>
      </c>
      <c r="D39" s="162">
        <v>12</v>
      </c>
      <c r="E39" s="162">
        <v>18</v>
      </c>
      <c r="F39" s="162">
        <v>16</v>
      </c>
      <c r="G39" s="162">
        <v>17</v>
      </c>
      <c r="H39" s="162">
        <v>11</v>
      </c>
      <c r="I39" s="162">
        <v>11</v>
      </c>
      <c r="J39" s="162">
        <v>7</v>
      </c>
      <c r="K39" s="162">
        <v>13</v>
      </c>
      <c r="L39" s="162">
        <v>8</v>
      </c>
      <c r="M39" s="162">
        <v>19</v>
      </c>
      <c r="N39" s="162">
        <v>16</v>
      </c>
      <c r="O39" s="162">
        <v>14</v>
      </c>
      <c r="P39" s="162">
        <v>13</v>
      </c>
      <c r="Q39" s="162">
        <v>16</v>
      </c>
      <c r="R39" s="162">
        <v>19</v>
      </c>
      <c r="S39" s="162">
        <v>19</v>
      </c>
      <c r="T39" s="162">
        <v>11</v>
      </c>
      <c r="U39" s="162">
        <v>15</v>
      </c>
      <c r="V39" s="162">
        <v>6</v>
      </c>
      <c r="W39" s="162">
        <v>9</v>
      </c>
      <c r="X39" s="162">
        <v>15</v>
      </c>
      <c r="Y39" s="162">
        <v>24</v>
      </c>
      <c r="Z39" s="162">
        <v>23</v>
      </c>
      <c r="AA39" s="162">
        <v>18</v>
      </c>
      <c r="AB39" s="162">
        <v>14</v>
      </c>
      <c r="AC39" s="162">
        <v>24</v>
      </c>
      <c r="AD39" s="162">
        <v>14</v>
      </c>
      <c r="AE39" s="162">
        <v>12</v>
      </c>
      <c r="AF39" s="161">
        <v>21</v>
      </c>
      <c r="AG39" s="64">
        <f t="shared" si="2"/>
        <v>458</v>
      </c>
    </row>
    <row r="40" spans="1:33" ht="18.75" x14ac:dyDescent="0.25">
      <c r="A40" s="301" t="s">
        <v>133</v>
      </c>
      <c r="B40" s="249">
        <v>8</v>
      </c>
      <c r="C40" s="162">
        <v>7</v>
      </c>
      <c r="D40" s="162">
        <v>16</v>
      </c>
      <c r="E40" s="162">
        <v>17</v>
      </c>
      <c r="F40" s="162">
        <v>17</v>
      </c>
      <c r="G40" s="162">
        <v>19</v>
      </c>
      <c r="H40" s="162">
        <v>14</v>
      </c>
      <c r="I40" s="162">
        <v>8</v>
      </c>
      <c r="J40" s="162">
        <v>8</v>
      </c>
      <c r="K40" s="162">
        <v>16</v>
      </c>
      <c r="L40" s="162">
        <v>23</v>
      </c>
      <c r="M40" s="162">
        <v>21</v>
      </c>
      <c r="N40" s="162">
        <v>21</v>
      </c>
      <c r="O40" s="162">
        <v>17</v>
      </c>
      <c r="P40" s="162">
        <v>8</v>
      </c>
      <c r="Q40" s="162">
        <v>13</v>
      </c>
      <c r="R40" s="162">
        <v>22</v>
      </c>
      <c r="S40" s="162">
        <v>18</v>
      </c>
      <c r="T40" s="162">
        <v>21</v>
      </c>
      <c r="U40" s="162">
        <v>19</v>
      </c>
      <c r="V40" s="162">
        <v>9</v>
      </c>
      <c r="W40" s="162">
        <v>13</v>
      </c>
      <c r="X40" s="162">
        <v>16</v>
      </c>
      <c r="Y40" s="162">
        <v>19</v>
      </c>
      <c r="Z40" s="162">
        <v>23</v>
      </c>
      <c r="AA40" s="162">
        <v>22</v>
      </c>
      <c r="AB40" s="162">
        <v>16</v>
      </c>
      <c r="AC40" s="162">
        <v>17</v>
      </c>
      <c r="AD40" s="162">
        <v>17</v>
      </c>
      <c r="AE40" s="162">
        <v>8</v>
      </c>
      <c r="AF40" s="161">
        <v>21</v>
      </c>
      <c r="AG40" s="64">
        <f t="shared" si="2"/>
        <v>494</v>
      </c>
    </row>
    <row r="41" spans="1:33" ht="18.75" x14ac:dyDescent="0.25">
      <c r="A41" s="301" t="s">
        <v>132</v>
      </c>
      <c r="B41" s="249">
        <v>5</v>
      </c>
      <c r="C41" s="162">
        <v>4</v>
      </c>
      <c r="D41" s="162">
        <v>22</v>
      </c>
      <c r="E41" s="162">
        <v>18</v>
      </c>
      <c r="F41" s="162">
        <v>13</v>
      </c>
      <c r="G41" s="162">
        <v>18</v>
      </c>
      <c r="H41" s="162">
        <v>12</v>
      </c>
      <c r="I41" s="162">
        <v>7</v>
      </c>
      <c r="J41" s="162">
        <v>10</v>
      </c>
      <c r="K41" s="162">
        <v>17</v>
      </c>
      <c r="L41" s="162">
        <v>16</v>
      </c>
      <c r="M41" s="162">
        <v>12</v>
      </c>
      <c r="N41" s="162">
        <v>14</v>
      </c>
      <c r="O41" s="162">
        <v>15</v>
      </c>
      <c r="P41" s="162">
        <v>10</v>
      </c>
      <c r="Q41" s="162">
        <v>11</v>
      </c>
      <c r="R41" s="162">
        <v>18</v>
      </c>
      <c r="S41" s="162">
        <v>15</v>
      </c>
      <c r="T41" s="162">
        <v>13</v>
      </c>
      <c r="U41" s="162">
        <v>22</v>
      </c>
      <c r="V41" s="162">
        <v>11</v>
      </c>
      <c r="W41" s="162">
        <v>4</v>
      </c>
      <c r="X41" s="162">
        <v>19</v>
      </c>
      <c r="Y41" s="162">
        <v>19</v>
      </c>
      <c r="Z41" s="162">
        <v>18</v>
      </c>
      <c r="AA41" s="162">
        <v>18</v>
      </c>
      <c r="AB41" s="162">
        <v>20</v>
      </c>
      <c r="AC41" s="162">
        <v>21</v>
      </c>
      <c r="AD41" s="162">
        <v>8</v>
      </c>
      <c r="AE41" s="162">
        <v>10</v>
      </c>
      <c r="AF41" s="161">
        <v>12</v>
      </c>
      <c r="AG41" s="64">
        <f t="shared" si="2"/>
        <v>432</v>
      </c>
    </row>
    <row r="42" spans="1:33" ht="18.75" x14ac:dyDescent="0.25">
      <c r="A42" s="301" t="s">
        <v>131</v>
      </c>
      <c r="B42" s="249">
        <v>3</v>
      </c>
      <c r="C42" s="162">
        <v>4</v>
      </c>
      <c r="D42" s="162">
        <v>5</v>
      </c>
      <c r="E42" s="162">
        <v>13</v>
      </c>
      <c r="F42" s="162">
        <v>8</v>
      </c>
      <c r="G42" s="162">
        <v>11</v>
      </c>
      <c r="H42" s="162">
        <v>7</v>
      </c>
      <c r="I42" s="162">
        <v>7</v>
      </c>
      <c r="J42" s="162">
        <v>4</v>
      </c>
      <c r="K42" s="162">
        <v>15</v>
      </c>
      <c r="L42" s="162">
        <v>12</v>
      </c>
      <c r="M42" s="162">
        <v>8</v>
      </c>
      <c r="N42" s="162">
        <v>13</v>
      </c>
      <c r="O42" s="162">
        <v>8</v>
      </c>
      <c r="P42" s="162">
        <v>10</v>
      </c>
      <c r="Q42" s="162">
        <v>3</v>
      </c>
      <c r="R42" s="162">
        <v>12</v>
      </c>
      <c r="S42" s="162">
        <v>4</v>
      </c>
      <c r="T42" s="162">
        <v>9</v>
      </c>
      <c r="U42" s="162">
        <v>5</v>
      </c>
      <c r="V42" s="162">
        <v>9</v>
      </c>
      <c r="W42" s="162">
        <v>13</v>
      </c>
      <c r="X42" s="162">
        <v>3</v>
      </c>
      <c r="Y42" s="162">
        <v>13</v>
      </c>
      <c r="Z42" s="162">
        <v>13</v>
      </c>
      <c r="AA42" s="162">
        <v>12</v>
      </c>
      <c r="AB42" s="162">
        <v>11</v>
      </c>
      <c r="AC42" s="162">
        <v>11</v>
      </c>
      <c r="AD42" s="162">
        <v>8</v>
      </c>
      <c r="AE42" s="162">
        <v>6</v>
      </c>
      <c r="AF42" s="161">
        <v>16</v>
      </c>
      <c r="AG42" s="64">
        <f t="shared" si="2"/>
        <v>276</v>
      </c>
    </row>
    <row r="43" spans="1:33" ht="18.75" x14ac:dyDescent="0.25">
      <c r="A43" s="301" t="s">
        <v>130</v>
      </c>
      <c r="B43" s="249">
        <v>6</v>
      </c>
      <c r="C43" s="162">
        <v>6</v>
      </c>
      <c r="D43" s="162">
        <v>6</v>
      </c>
      <c r="E43" s="162">
        <v>7</v>
      </c>
      <c r="F43" s="162">
        <v>14</v>
      </c>
      <c r="G43" s="162">
        <v>9</v>
      </c>
      <c r="H43" s="162">
        <v>7</v>
      </c>
      <c r="I43" s="162">
        <v>4</v>
      </c>
      <c r="J43" s="162">
        <v>5</v>
      </c>
      <c r="K43" s="162">
        <v>11</v>
      </c>
      <c r="L43" s="162">
        <v>7</v>
      </c>
      <c r="M43" s="162">
        <v>13</v>
      </c>
      <c r="N43" s="162">
        <v>12</v>
      </c>
      <c r="O43" s="162">
        <v>11</v>
      </c>
      <c r="P43" s="162">
        <v>3</v>
      </c>
      <c r="Q43" s="162">
        <v>9</v>
      </c>
      <c r="R43" s="162">
        <v>16</v>
      </c>
      <c r="S43" s="162">
        <v>11</v>
      </c>
      <c r="T43" s="162">
        <v>5</v>
      </c>
      <c r="U43" s="162">
        <v>8</v>
      </c>
      <c r="V43" s="162">
        <v>4</v>
      </c>
      <c r="W43" s="162">
        <v>6</v>
      </c>
      <c r="X43" s="162">
        <v>7</v>
      </c>
      <c r="Y43" s="162">
        <v>22</v>
      </c>
      <c r="Z43" s="162">
        <v>11</v>
      </c>
      <c r="AA43" s="162">
        <v>12</v>
      </c>
      <c r="AB43" s="162">
        <v>9</v>
      </c>
      <c r="AC43" s="162">
        <v>7</v>
      </c>
      <c r="AD43" s="162">
        <v>8</v>
      </c>
      <c r="AE43" s="162">
        <v>9</v>
      </c>
      <c r="AF43" s="161">
        <v>8</v>
      </c>
      <c r="AG43" s="64">
        <f t="shared" si="2"/>
        <v>273</v>
      </c>
    </row>
    <row r="44" spans="1:33" ht="18.75" x14ac:dyDescent="0.25">
      <c r="A44" s="301" t="s">
        <v>129</v>
      </c>
      <c r="B44" s="249">
        <v>4</v>
      </c>
      <c r="C44" s="162">
        <v>1</v>
      </c>
      <c r="D44" s="162">
        <v>5</v>
      </c>
      <c r="E44" s="162">
        <v>6</v>
      </c>
      <c r="F44" s="162">
        <v>5</v>
      </c>
      <c r="G44" s="162">
        <v>10</v>
      </c>
      <c r="H44" s="162">
        <v>5</v>
      </c>
      <c r="I44" s="162">
        <v>1</v>
      </c>
      <c r="J44" s="162">
        <v>6</v>
      </c>
      <c r="K44" s="162">
        <v>4</v>
      </c>
      <c r="L44" s="162">
        <v>2</v>
      </c>
      <c r="M44" s="162">
        <v>1</v>
      </c>
      <c r="N44" s="162">
        <v>5</v>
      </c>
      <c r="O44" s="162">
        <v>3</v>
      </c>
      <c r="P44" s="162">
        <v>5</v>
      </c>
      <c r="Q44" s="162">
        <v>4</v>
      </c>
      <c r="R44" s="162">
        <v>9</v>
      </c>
      <c r="S44" s="162">
        <v>1</v>
      </c>
      <c r="T44" s="162">
        <v>4</v>
      </c>
      <c r="U44" s="162">
        <v>2</v>
      </c>
      <c r="V44" s="162">
        <v>7</v>
      </c>
      <c r="W44" s="162">
        <v>3</v>
      </c>
      <c r="X44" s="162">
        <v>4</v>
      </c>
      <c r="Y44" s="162">
        <v>5</v>
      </c>
      <c r="Z44" s="162">
        <v>8</v>
      </c>
      <c r="AA44" s="162">
        <v>6</v>
      </c>
      <c r="AB44" s="162">
        <v>3</v>
      </c>
      <c r="AC44" s="162">
        <v>4</v>
      </c>
      <c r="AD44" s="162">
        <v>3</v>
      </c>
      <c r="AE44" s="162">
        <v>5</v>
      </c>
      <c r="AF44" s="161">
        <v>3</v>
      </c>
      <c r="AG44" s="64">
        <f t="shared" si="2"/>
        <v>134</v>
      </c>
    </row>
    <row r="45" spans="1:33" ht="18.75" x14ac:dyDescent="0.25">
      <c r="A45" s="301" t="s">
        <v>128</v>
      </c>
      <c r="B45" s="249">
        <v>4</v>
      </c>
      <c r="C45" s="162">
        <v>4</v>
      </c>
      <c r="D45" s="162">
        <v>1</v>
      </c>
      <c r="E45" s="162">
        <v>3</v>
      </c>
      <c r="F45" s="162">
        <v>2</v>
      </c>
      <c r="G45" s="162">
        <v>3</v>
      </c>
      <c r="H45" s="162">
        <v>2</v>
      </c>
      <c r="I45" s="162">
        <v>3</v>
      </c>
      <c r="J45" s="162">
        <v>5</v>
      </c>
      <c r="K45" s="162">
        <v>4</v>
      </c>
      <c r="L45" s="162">
        <v>1</v>
      </c>
      <c r="M45" s="162">
        <v>4</v>
      </c>
      <c r="N45" s="162">
        <v>2</v>
      </c>
      <c r="O45" s="162">
        <v>3</v>
      </c>
      <c r="P45" s="162">
        <v>1</v>
      </c>
      <c r="Q45" s="162">
        <v>7</v>
      </c>
      <c r="R45" s="162">
        <v>1</v>
      </c>
      <c r="S45" s="162">
        <v>4</v>
      </c>
      <c r="T45" s="162">
        <v>3</v>
      </c>
      <c r="U45" s="162">
        <v>2</v>
      </c>
      <c r="V45" s="162"/>
      <c r="W45" s="162">
        <v>2</v>
      </c>
      <c r="X45" s="162">
        <v>2</v>
      </c>
      <c r="Y45" s="162">
        <v>3</v>
      </c>
      <c r="Z45" s="162">
        <v>3</v>
      </c>
      <c r="AA45" s="162">
        <v>6</v>
      </c>
      <c r="AB45" s="162">
        <v>3</v>
      </c>
      <c r="AC45" s="162">
        <v>7</v>
      </c>
      <c r="AD45" s="162">
        <v>2</v>
      </c>
      <c r="AE45" s="162">
        <v>3</v>
      </c>
      <c r="AF45" s="161"/>
      <c r="AG45" s="64">
        <f t="shared" si="2"/>
        <v>90</v>
      </c>
    </row>
    <row r="46" spans="1:33" ht="18.75" x14ac:dyDescent="0.25">
      <c r="A46" s="301" t="s">
        <v>127</v>
      </c>
      <c r="B46" s="249">
        <v>4</v>
      </c>
      <c r="C46" s="162">
        <v>2</v>
      </c>
      <c r="D46" s="162">
        <v>4</v>
      </c>
      <c r="E46" s="162"/>
      <c r="F46" s="162">
        <v>1</v>
      </c>
      <c r="G46" s="162">
        <v>3</v>
      </c>
      <c r="H46" s="162">
        <v>1</v>
      </c>
      <c r="I46" s="162">
        <v>4</v>
      </c>
      <c r="J46" s="162">
        <v>5</v>
      </c>
      <c r="K46" s="162">
        <v>1</v>
      </c>
      <c r="L46" s="162"/>
      <c r="M46" s="162">
        <v>2</v>
      </c>
      <c r="N46" s="162">
        <v>7</v>
      </c>
      <c r="O46" s="162">
        <v>6</v>
      </c>
      <c r="P46" s="162">
        <v>2</v>
      </c>
      <c r="Q46" s="162">
        <v>3</v>
      </c>
      <c r="R46" s="162">
        <v>2</v>
      </c>
      <c r="S46" s="162">
        <v>3</v>
      </c>
      <c r="T46" s="162">
        <v>4</v>
      </c>
      <c r="U46" s="162">
        <v>2</v>
      </c>
      <c r="V46" s="162">
        <v>3</v>
      </c>
      <c r="W46" s="162">
        <v>2</v>
      </c>
      <c r="X46" s="162">
        <v>2</v>
      </c>
      <c r="Y46" s="162">
        <v>3</v>
      </c>
      <c r="Z46" s="162">
        <v>3</v>
      </c>
      <c r="AA46" s="162">
        <v>3</v>
      </c>
      <c r="AB46" s="162">
        <v>3</v>
      </c>
      <c r="AC46" s="162">
        <v>4</v>
      </c>
      <c r="AD46" s="162">
        <v>3</v>
      </c>
      <c r="AE46" s="162">
        <v>2</v>
      </c>
      <c r="AF46" s="161">
        <v>7</v>
      </c>
      <c r="AG46" s="64">
        <f t="shared" si="2"/>
        <v>91</v>
      </c>
    </row>
    <row r="47" spans="1:33" ht="18.75" x14ac:dyDescent="0.25">
      <c r="A47" s="301" t="s">
        <v>126</v>
      </c>
      <c r="B47" s="249">
        <v>2</v>
      </c>
      <c r="C47" s="162">
        <v>2</v>
      </c>
      <c r="D47" s="162">
        <v>1</v>
      </c>
      <c r="E47" s="162">
        <v>1</v>
      </c>
      <c r="F47" s="162">
        <v>1</v>
      </c>
      <c r="G47" s="162">
        <v>4</v>
      </c>
      <c r="H47" s="162"/>
      <c r="I47" s="162">
        <v>5</v>
      </c>
      <c r="J47" s="162">
        <v>1</v>
      </c>
      <c r="K47" s="162"/>
      <c r="L47" s="162">
        <v>1</v>
      </c>
      <c r="M47" s="162"/>
      <c r="N47" s="162">
        <v>6</v>
      </c>
      <c r="O47" s="162"/>
      <c r="P47" s="162">
        <v>3</v>
      </c>
      <c r="Q47" s="162"/>
      <c r="R47" s="162">
        <v>2</v>
      </c>
      <c r="S47" s="162">
        <v>1</v>
      </c>
      <c r="T47" s="162">
        <v>4</v>
      </c>
      <c r="U47" s="162"/>
      <c r="V47" s="162"/>
      <c r="W47" s="162">
        <v>4</v>
      </c>
      <c r="X47" s="162">
        <v>1</v>
      </c>
      <c r="Y47" s="162"/>
      <c r="Z47" s="162">
        <v>2</v>
      </c>
      <c r="AA47" s="162">
        <v>3</v>
      </c>
      <c r="AB47" s="162"/>
      <c r="AC47" s="162">
        <v>5</v>
      </c>
      <c r="AD47" s="162">
        <v>1</v>
      </c>
      <c r="AE47" s="162"/>
      <c r="AF47" s="161">
        <v>4</v>
      </c>
      <c r="AG47" s="64">
        <f t="shared" si="2"/>
        <v>54</v>
      </c>
    </row>
    <row r="48" spans="1:33" ht="18.75" x14ac:dyDescent="0.25">
      <c r="A48" s="301" t="s">
        <v>125</v>
      </c>
      <c r="B48" s="249"/>
      <c r="C48" s="162"/>
      <c r="D48" s="162"/>
      <c r="E48" s="162">
        <v>1</v>
      </c>
      <c r="F48" s="162">
        <v>1</v>
      </c>
      <c r="G48" s="162">
        <v>2</v>
      </c>
      <c r="H48" s="162">
        <v>2</v>
      </c>
      <c r="I48" s="162">
        <v>1</v>
      </c>
      <c r="J48" s="162"/>
      <c r="K48" s="162">
        <v>1</v>
      </c>
      <c r="L48" s="162">
        <v>2</v>
      </c>
      <c r="M48" s="162">
        <v>1</v>
      </c>
      <c r="N48" s="162"/>
      <c r="O48" s="162"/>
      <c r="P48" s="162">
        <v>1</v>
      </c>
      <c r="Q48" s="162"/>
      <c r="R48" s="162"/>
      <c r="S48" s="162">
        <v>1</v>
      </c>
      <c r="T48" s="162"/>
      <c r="U48" s="162">
        <v>1</v>
      </c>
      <c r="V48" s="162"/>
      <c r="W48" s="162">
        <v>1</v>
      </c>
      <c r="X48" s="162">
        <v>2</v>
      </c>
      <c r="Y48" s="162">
        <v>1</v>
      </c>
      <c r="Z48" s="162"/>
      <c r="AA48" s="162">
        <v>1</v>
      </c>
      <c r="AB48" s="162">
        <v>1</v>
      </c>
      <c r="AC48" s="162">
        <v>2</v>
      </c>
      <c r="AD48" s="162">
        <v>1</v>
      </c>
      <c r="AE48" s="162"/>
      <c r="AF48" s="161"/>
      <c r="AG48" s="64">
        <f t="shared" si="2"/>
        <v>23</v>
      </c>
    </row>
    <row r="49" spans="1:33" ht="18.75" x14ac:dyDescent="0.25">
      <c r="A49" s="301" t="s">
        <v>124</v>
      </c>
      <c r="B49" s="249">
        <v>1</v>
      </c>
      <c r="C49" s="162"/>
      <c r="D49" s="162"/>
      <c r="E49" s="162">
        <v>3</v>
      </c>
      <c r="F49" s="162"/>
      <c r="G49" s="162">
        <v>1</v>
      </c>
      <c r="H49" s="162"/>
      <c r="I49" s="162">
        <v>3</v>
      </c>
      <c r="J49" s="162">
        <v>3</v>
      </c>
      <c r="K49" s="162"/>
      <c r="L49" s="162">
        <v>1</v>
      </c>
      <c r="M49" s="162">
        <v>2</v>
      </c>
      <c r="N49" s="162">
        <v>2</v>
      </c>
      <c r="O49" s="162">
        <v>3</v>
      </c>
      <c r="P49" s="162">
        <v>1</v>
      </c>
      <c r="Q49" s="162">
        <v>2</v>
      </c>
      <c r="R49" s="162"/>
      <c r="S49" s="162">
        <v>2</v>
      </c>
      <c r="T49" s="162"/>
      <c r="U49" s="162">
        <v>2</v>
      </c>
      <c r="V49" s="162"/>
      <c r="W49" s="162">
        <v>6</v>
      </c>
      <c r="X49" s="162">
        <v>3</v>
      </c>
      <c r="Y49" s="162"/>
      <c r="Z49" s="162"/>
      <c r="AA49" s="162">
        <v>1</v>
      </c>
      <c r="AB49" s="162">
        <v>1</v>
      </c>
      <c r="AC49" s="162">
        <v>2</v>
      </c>
      <c r="AD49" s="162"/>
      <c r="AE49" s="162"/>
      <c r="AF49" s="161">
        <v>1</v>
      </c>
      <c r="AG49" s="64">
        <f t="shared" si="2"/>
        <v>40</v>
      </c>
    </row>
    <row r="50" spans="1:33" ht="18.75" x14ac:dyDescent="0.25">
      <c r="A50" s="301" t="s">
        <v>123</v>
      </c>
      <c r="B50" s="249"/>
      <c r="C50" s="162"/>
      <c r="D50" s="162"/>
      <c r="E50" s="162">
        <v>2</v>
      </c>
      <c r="F50" s="162"/>
      <c r="G50" s="162">
        <v>1</v>
      </c>
      <c r="H50" s="162"/>
      <c r="I50" s="162">
        <v>1</v>
      </c>
      <c r="J50" s="162">
        <v>3</v>
      </c>
      <c r="K50" s="162"/>
      <c r="L50" s="162">
        <v>1</v>
      </c>
      <c r="M50" s="162"/>
      <c r="N50" s="162"/>
      <c r="O50" s="162"/>
      <c r="P50" s="162">
        <v>1</v>
      </c>
      <c r="Q50" s="162"/>
      <c r="R50" s="162"/>
      <c r="S50" s="162"/>
      <c r="T50" s="162"/>
      <c r="U50" s="162">
        <v>1</v>
      </c>
      <c r="V50" s="162">
        <v>1</v>
      </c>
      <c r="W50" s="162"/>
      <c r="X50" s="162">
        <v>2</v>
      </c>
      <c r="Y50" s="162">
        <v>1</v>
      </c>
      <c r="Z50" s="162"/>
      <c r="AA50" s="162"/>
      <c r="AB50" s="162">
        <v>1</v>
      </c>
      <c r="AC50" s="162"/>
      <c r="AD50" s="162"/>
      <c r="AE50" s="162"/>
      <c r="AF50" s="161"/>
      <c r="AG50" s="64">
        <f t="shared" si="2"/>
        <v>15</v>
      </c>
    </row>
    <row r="51" spans="1:33" ht="18.75" x14ac:dyDescent="0.25">
      <c r="A51" s="301" t="s">
        <v>122</v>
      </c>
      <c r="B51" s="249"/>
      <c r="C51" s="162">
        <v>2</v>
      </c>
      <c r="D51" s="162">
        <v>1</v>
      </c>
      <c r="E51" s="162">
        <v>1</v>
      </c>
      <c r="F51" s="162">
        <v>1</v>
      </c>
      <c r="G51" s="162"/>
      <c r="H51" s="162">
        <v>3</v>
      </c>
      <c r="I51" s="162">
        <v>1</v>
      </c>
      <c r="J51" s="162"/>
      <c r="K51" s="162"/>
      <c r="L51" s="162">
        <v>1</v>
      </c>
      <c r="M51" s="162"/>
      <c r="N51" s="162"/>
      <c r="O51" s="162"/>
      <c r="P51" s="162"/>
      <c r="Q51" s="162">
        <v>1</v>
      </c>
      <c r="R51" s="162"/>
      <c r="S51" s="162"/>
      <c r="T51" s="162"/>
      <c r="U51" s="162"/>
      <c r="V51" s="162">
        <v>1</v>
      </c>
      <c r="W51" s="162"/>
      <c r="X51" s="162"/>
      <c r="Y51" s="162"/>
      <c r="Z51" s="162">
        <v>3</v>
      </c>
      <c r="AA51" s="162">
        <v>1</v>
      </c>
      <c r="AB51" s="162">
        <v>2</v>
      </c>
      <c r="AC51" s="162"/>
      <c r="AD51" s="162"/>
      <c r="AE51" s="162">
        <v>2</v>
      </c>
      <c r="AF51" s="161">
        <v>2</v>
      </c>
      <c r="AG51" s="64">
        <f t="shared" si="2"/>
        <v>22</v>
      </c>
    </row>
    <row r="52" spans="1:33" ht="19.5" thickBot="1" x14ac:dyDescent="0.3">
      <c r="A52" s="304" t="s">
        <v>121</v>
      </c>
      <c r="B52" s="252">
        <v>1</v>
      </c>
      <c r="C52" s="181">
        <v>1</v>
      </c>
      <c r="D52" s="181">
        <v>1</v>
      </c>
      <c r="E52" s="181">
        <v>1</v>
      </c>
      <c r="F52" s="181"/>
      <c r="G52" s="181"/>
      <c r="H52" s="181">
        <v>1</v>
      </c>
      <c r="I52" s="181">
        <v>1</v>
      </c>
      <c r="J52" s="181"/>
      <c r="K52" s="181"/>
      <c r="L52" s="181"/>
      <c r="M52" s="181">
        <v>1</v>
      </c>
      <c r="N52" s="181"/>
      <c r="O52" s="181"/>
      <c r="P52" s="181">
        <v>3</v>
      </c>
      <c r="Q52" s="181"/>
      <c r="R52" s="181"/>
      <c r="S52" s="181"/>
      <c r="T52" s="181">
        <v>1</v>
      </c>
      <c r="U52" s="181">
        <v>1</v>
      </c>
      <c r="V52" s="181"/>
      <c r="W52" s="181"/>
      <c r="X52" s="181">
        <v>1</v>
      </c>
      <c r="Y52" s="181"/>
      <c r="Z52" s="181">
        <v>1</v>
      </c>
      <c r="AA52" s="181"/>
      <c r="AB52" s="181">
        <v>1</v>
      </c>
      <c r="AC52" s="181">
        <v>2</v>
      </c>
      <c r="AD52" s="181"/>
      <c r="AE52" s="181"/>
      <c r="AF52" s="180">
        <v>1</v>
      </c>
      <c r="AG52" s="160">
        <f t="shared" si="2"/>
        <v>18</v>
      </c>
    </row>
    <row r="53" spans="1:33" ht="19.5" thickBot="1" x14ac:dyDescent="0.3">
      <c r="A53" s="299" t="s">
        <v>145</v>
      </c>
      <c r="B53" s="247">
        <f t="shared" ref="B53:AF53" si="4">SUM(B54:B77)</f>
        <v>3</v>
      </c>
      <c r="C53" s="120">
        <f t="shared" si="4"/>
        <v>1</v>
      </c>
      <c r="D53" s="120">
        <f t="shared" si="4"/>
        <v>8</v>
      </c>
      <c r="E53" s="120">
        <f t="shared" si="4"/>
        <v>3</v>
      </c>
      <c r="F53" s="120">
        <f t="shared" si="4"/>
        <v>8</v>
      </c>
      <c r="G53" s="120">
        <f t="shared" si="4"/>
        <v>7</v>
      </c>
      <c r="H53" s="120">
        <f t="shared" si="4"/>
        <v>3</v>
      </c>
      <c r="I53" s="120">
        <f t="shared" si="4"/>
        <v>4</v>
      </c>
      <c r="J53" s="120">
        <f t="shared" si="4"/>
        <v>4</v>
      </c>
      <c r="K53" s="120">
        <f t="shared" si="4"/>
        <v>10</v>
      </c>
      <c r="L53" s="120">
        <f t="shared" si="4"/>
        <v>9</v>
      </c>
      <c r="M53" s="120">
        <f t="shared" si="4"/>
        <v>6</v>
      </c>
      <c r="N53" s="120">
        <f t="shared" si="4"/>
        <v>9</v>
      </c>
      <c r="O53" s="120">
        <f t="shared" si="4"/>
        <v>6</v>
      </c>
      <c r="P53" s="120">
        <f t="shared" si="4"/>
        <v>5</v>
      </c>
      <c r="Q53" s="120">
        <f t="shared" si="4"/>
        <v>7</v>
      </c>
      <c r="R53" s="120">
        <f t="shared" si="4"/>
        <v>15</v>
      </c>
      <c r="S53" s="120">
        <f t="shared" si="4"/>
        <v>8</v>
      </c>
      <c r="T53" s="120">
        <f t="shared" si="4"/>
        <v>9</v>
      </c>
      <c r="U53" s="120">
        <f t="shared" si="4"/>
        <v>10</v>
      </c>
      <c r="V53" s="120">
        <f t="shared" si="4"/>
        <v>3</v>
      </c>
      <c r="W53" s="120">
        <f t="shared" si="4"/>
        <v>9</v>
      </c>
      <c r="X53" s="120">
        <f t="shared" si="4"/>
        <v>4</v>
      </c>
      <c r="Y53" s="120">
        <f t="shared" si="4"/>
        <v>33</v>
      </c>
      <c r="Z53" s="120">
        <f t="shared" si="4"/>
        <v>10</v>
      </c>
      <c r="AA53" s="120">
        <f t="shared" si="4"/>
        <v>10</v>
      </c>
      <c r="AB53" s="120">
        <f t="shared" si="4"/>
        <v>7</v>
      </c>
      <c r="AC53" s="120">
        <f t="shared" si="4"/>
        <v>6</v>
      </c>
      <c r="AD53" s="120">
        <f t="shared" si="4"/>
        <v>14</v>
      </c>
      <c r="AE53" s="120">
        <f t="shared" si="4"/>
        <v>4</v>
      </c>
      <c r="AF53" s="120">
        <f t="shared" si="4"/>
        <v>5</v>
      </c>
      <c r="AG53" s="157">
        <f t="shared" si="2"/>
        <v>240</v>
      </c>
    </row>
    <row r="54" spans="1:33" ht="18.75" x14ac:dyDescent="0.25">
      <c r="A54" s="300" t="s">
        <v>144</v>
      </c>
      <c r="B54" s="248"/>
      <c r="C54" s="199">
        <v>1</v>
      </c>
      <c r="D54" s="162"/>
      <c r="E54" s="199"/>
      <c r="F54" s="199"/>
      <c r="G54" s="162"/>
      <c r="H54" s="199"/>
      <c r="I54" s="199"/>
      <c r="J54" s="199"/>
      <c r="K54" s="199"/>
      <c r="L54" s="199"/>
      <c r="M54" s="199"/>
      <c r="N54" s="199"/>
      <c r="O54" s="199"/>
      <c r="P54" s="199">
        <v>1</v>
      </c>
      <c r="Q54" s="199"/>
      <c r="R54" s="199"/>
      <c r="S54" s="199"/>
      <c r="T54" s="199"/>
      <c r="U54" s="199"/>
      <c r="V54" s="199"/>
      <c r="W54" s="199"/>
      <c r="X54" s="199"/>
      <c r="Y54" s="199"/>
      <c r="Z54" s="199"/>
      <c r="AA54" s="199"/>
      <c r="AB54" s="199">
        <v>1</v>
      </c>
      <c r="AC54" s="199"/>
      <c r="AD54" s="199">
        <v>1</v>
      </c>
      <c r="AE54" s="199"/>
      <c r="AF54" s="206"/>
      <c r="AG54" s="134">
        <f t="shared" si="2"/>
        <v>4</v>
      </c>
    </row>
    <row r="55" spans="1:33" ht="18.75" x14ac:dyDescent="0.25">
      <c r="A55" s="301" t="s">
        <v>143</v>
      </c>
      <c r="B55" s="249"/>
      <c r="C55" s="162"/>
      <c r="D55" s="162"/>
      <c r="E55" s="162"/>
      <c r="F55" s="162"/>
      <c r="G55" s="162"/>
      <c r="H55" s="162">
        <v>1</v>
      </c>
      <c r="I55" s="162">
        <v>2</v>
      </c>
      <c r="J55" s="162"/>
      <c r="K55" s="162"/>
      <c r="L55" s="162"/>
      <c r="M55" s="162"/>
      <c r="N55" s="162"/>
      <c r="O55" s="162">
        <v>1</v>
      </c>
      <c r="P55" s="162">
        <v>1</v>
      </c>
      <c r="Q55" s="162">
        <v>1</v>
      </c>
      <c r="R55" s="162"/>
      <c r="S55" s="162"/>
      <c r="T55" s="162"/>
      <c r="U55" s="162"/>
      <c r="V55" s="162"/>
      <c r="W55" s="162">
        <v>1</v>
      </c>
      <c r="X55" s="162"/>
      <c r="Y55" s="162"/>
      <c r="Z55" s="162"/>
      <c r="AA55" s="162"/>
      <c r="AB55" s="162"/>
      <c r="AC55" s="162">
        <v>1</v>
      </c>
      <c r="AD55" s="162"/>
      <c r="AE55" s="162"/>
      <c r="AF55" s="161"/>
      <c r="AG55" s="64">
        <f t="shared" si="2"/>
        <v>8</v>
      </c>
    </row>
    <row r="56" spans="1:33" ht="18.75" x14ac:dyDescent="0.25">
      <c r="A56" s="301" t="s">
        <v>142</v>
      </c>
      <c r="B56" s="249"/>
      <c r="C56" s="162"/>
      <c r="D56" s="162"/>
      <c r="E56" s="162"/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>
        <v>1</v>
      </c>
      <c r="T56" s="162">
        <v>1</v>
      </c>
      <c r="U56" s="162"/>
      <c r="V56" s="162"/>
      <c r="W56" s="162"/>
      <c r="X56" s="162"/>
      <c r="Y56" s="162"/>
      <c r="Z56" s="162"/>
      <c r="AA56" s="162"/>
      <c r="AB56" s="162"/>
      <c r="AC56" s="162"/>
      <c r="AD56" s="162"/>
      <c r="AE56" s="162"/>
      <c r="AF56" s="161"/>
      <c r="AG56" s="64">
        <f t="shared" si="2"/>
        <v>2</v>
      </c>
    </row>
    <row r="57" spans="1:33" ht="18.75" x14ac:dyDescent="0.25">
      <c r="A57" s="301" t="s">
        <v>141</v>
      </c>
      <c r="B57" s="249"/>
      <c r="C57" s="162"/>
      <c r="D57" s="162"/>
      <c r="E57" s="162"/>
      <c r="F57" s="162"/>
      <c r="G57" s="162"/>
      <c r="H57" s="162">
        <v>1</v>
      </c>
      <c r="I57" s="162"/>
      <c r="J57" s="162"/>
      <c r="K57" s="162">
        <v>1</v>
      </c>
      <c r="L57" s="162"/>
      <c r="M57" s="162"/>
      <c r="N57" s="162"/>
      <c r="O57" s="162"/>
      <c r="P57" s="162"/>
      <c r="Q57" s="162">
        <v>1</v>
      </c>
      <c r="R57" s="162"/>
      <c r="S57" s="162"/>
      <c r="T57" s="162"/>
      <c r="U57" s="162"/>
      <c r="V57" s="162"/>
      <c r="W57" s="162">
        <v>1</v>
      </c>
      <c r="X57" s="162"/>
      <c r="Y57" s="162"/>
      <c r="Z57" s="162"/>
      <c r="AA57" s="162">
        <v>1</v>
      </c>
      <c r="AB57" s="162"/>
      <c r="AC57" s="162"/>
      <c r="AD57" s="162">
        <v>1</v>
      </c>
      <c r="AE57" s="162"/>
      <c r="AF57" s="161">
        <v>1</v>
      </c>
      <c r="AG57" s="64">
        <f t="shared" si="2"/>
        <v>7</v>
      </c>
    </row>
    <row r="58" spans="1:33" ht="18.75" x14ac:dyDescent="0.25">
      <c r="A58" s="301" t="s">
        <v>140</v>
      </c>
      <c r="B58" s="249"/>
      <c r="C58" s="162"/>
      <c r="D58" s="162"/>
      <c r="E58" s="162"/>
      <c r="F58" s="162"/>
      <c r="G58" s="162"/>
      <c r="H58" s="162"/>
      <c r="I58" s="162">
        <v>1</v>
      </c>
      <c r="J58" s="162"/>
      <c r="K58" s="162"/>
      <c r="L58" s="162"/>
      <c r="M58" s="162">
        <v>1</v>
      </c>
      <c r="N58" s="162"/>
      <c r="O58" s="162"/>
      <c r="P58" s="162">
        <v>1</v>
      </c>
      <c r="Q58" s="162">
        <v>1</v>
      </c>
      <c r="R58" s="162"/>
      <c r="S58" s="162"/>
      <c r="T58" s="162"/>
      <c r="U58" s="162"/>
      <c r="V58" s="162"/>
      <c r="W58" s="162">
        <v>1</v>
      </c>
      <c r="X58" s="162">
        <v>1</v>
      </c>
      <c r="Y58" s="162">
        <v>1</v>
      </c>
      <c r="Z58" s="162"/>
      <c r="AA58" s="162"/>
      <c r="AB58" s="162"/>
      <c r="AC58" s="162"/>
      <c r="AD58" s="162">
        <v>1</v>
      </c>
      <c r="AE58" s="162"/>
      <c r="AF58" s="161"/>
      <c r="AG58" s="64">
        <f t="shared" si="2"/>
        <v>8</v>
      </c>
    </row>
    <row r="59" spans="1:33" ht="18.75" x14ac:dyDescent="0.25">
      <c r="A59" s="301" t="s">
        <v>139</v>
      </c>
      <c r="B59" s="249"/>
      <c r="C59" s="162"/>
      <c r="D59" s="162">
        <v>1</v>
      </c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>
        <v>1</v>
      </c>
      <c r="V59" s="162"/>
      <c r="W59" s="162"/>
      <c r="X59" s="162"/>
      <c r="Y59" s="162">
        <v>3</v>
      </c>
      <c r="Z59" s="162"/>
      <c r="AA59" s="162"/>
      <c r="AB59" s="162"/>
      <c r="AC59" s="162"/>
      <c r="AD59" s="162">
        <v>3</v>
      </c>
      <c r="AE59" s="162"/>
      <c r="AF59" s="161">
        <v>1</v>
      </c>
      <c r="AG59" s="64">
        <f t="shared" si="2"/>
        <v>9</v>
      </c>
    </row>
    <row r="60" spans="1:33" ht="18.75" x14ac:dyDescent="0.25">
      <c r="A60" s="301" t="s">
        <v>138</v>
      </c>
      <c r="B60" s="249"/>
      <c r="C60" s="162"/>
      <c r="D60" s="162"/>
      <c r="E60" s="162"/>
      <c r="F60" s="162">
        <v>1</v>
      </c>
      <c r="G60" s="162"/>
      <c r="H60" s="162"/>
      <c r="I60" s="162">
        <v>1</v>
      </c>
      <c r="J60" s="162">
        <v>1</v>
      </c>
      <c r="K60" s="162"/>
      <c r="L60" s="162"/>
      <c r="M60" s="162"/>
      <c r="N60" s="162"/>
      <c r="O60" s="162"/>
      <c r="P60" s="162"/>
      <c r="Q60" s="162"/>
      <c r="R60" s="162"/>
      <c r="S60" s="162"/>
      <c r="T60" s="162"/>
      <c r="U60" s="162"/>
      <c r="V60" s="162">
        <v>1</v>
      </c>
      <c r="W60" s="162"/>
      <c r="X60" s="162"/>
      <c r="Y60" s="162">
        <v>2</v>
      </c>
      <c r="Z60" s="162"/>
      <c r="AA60" s="162"/>
      <c r="AB60" s="162"/>
      <c r="AC60" s="162"/>
      <c r="AD60" s="162"/>
      <c r="AE60" s="162"/>
      <c r="AF60" s="161"/>
      <c r="AG60" s="64">
        <f t="shared" si="2"/>
        <v>6</v>
      </c>
    </row>
    <row r="61" spans="1:33" ht="18.75" x14ac:dyDescent="0.25">
      <c r="A61" s="301" t="s">
        <v>137</v>
      </c>
      <c r="B61" s="249"/>
      <c r="C61" s="162"/>
      <c r="D61" s="162"/>
      <c r="E61" s="162"/>
      <c r="F61" s="162"/>
      <c r="G61" s="162"/>
      <c r="H61" s="162"/>
      <c r="I61" s="162"/>
      <c r="J61" s="162">
        <v>2</v>
      </c>
      <c r="K61" s="162"/>
      <c r="L61" s="162"/>
      <c r="M61" s="162">
        <v>1</v>
      </c>
      <c r="N61" s="162">
        <v>2</v>
      </c>
      <c r="O61" s="162"/>
      <c r="P61" s="162"/>
      <c r="Q61" s="162">
        <v>1</v>
      </c>
      <c r="R61" s="162"/>
      <c r="S61" s="162">
        <v>1</v>
      </c>
      <c r="T61" s="162"/>
      <c r="U61" s="162"/>
      <c r="V61" s="162"/>
      <c r="W61" s="162">
        <v>2</v>
      </c>
      <c r="X61" s="162"/>
      <c r="Y61" s="162"/>
      <c r="Z61" s="162"/>
      <c r="AA61" s="162"/>
      <c r="AB61" s="162"/>
      <c r="AC61" s="162"/>
      <c r="AD61" s="162">
        <v>2</v>
      </c>
      <c r="AE61" s="162">
        <v>1</v>
      </c>
      <c r="AF61" s="161"/>
      <c r="AG61" s="64">
        <f t="shared" si="2"/>
        <v>12</v>
      </c>
    </row>
    <row r="62" spans="1:33" ht="18.75" x14ac:dyDescent="0.25">
      <c r="A62" s="301" t="s">
        <v>136</v>
      </c>
      <c r="B62" s="249">
        <v>3</v>
      </c>
      <c r="C62" s="162"/>
      <c r="D62" s="162">
        <v>1</v>
      </c>
      <c r="E62" s="162"/>
      <c r="F62" s="162"/>
      <c r="G62" s="162"/>
      <c r="H62" s="162"/>
      <c r="I62" s="162"/>
      <c r="J62" s="162"/>
      <c r="K62" s="162"/>
      <c r="L62" s="162"/>
      <c r="M62" s="162"/>
      <c r="N62" s="162"/>
      <c r="O62" s="162">
        <v>1</v>
      </c>
      <c r="P62" s="162">
        <v>1</v>
      </c>
      <c r="Q62" s="162"/>
      <c r="R62" s="162">
        <v>1</v>
      </c>
      <c r="S62" s="162">
        <v>1</v>
      </c>
      <c r="T62" s="162">
        <v>1</v>
      </c>
      <c r="U62" s="162">
        <v>1</v>
      </c>
      <c r="V62" s="162">
        <v>1</v>
      </c>
      <c r="W62" s="162">
        <v>2</v>
      </c>
      <c r="X62" s="162">
        <v>1</v>
      </c>
      <c r="Y62" s="162">
        <v>1</v>
      </c>
      <c r="Z62" s="162"/>
      <c r="AA62" s="162"/>
      <c r="AB62" s="162">
        <v>1</v>
      </c>
      <c r="AC62" s="162">
        <v>2</v>
      </c>
      <c r="AD62" s="162">
        <v>2</v>
      </c>
      <c r="AE62" s="162"/>
      <c r="AF62" s="161"/>
      <c r="AG62" s="64">
        <f t="shared" si="2"/>
        <v>20</v>
      </c>
    </row>
    <row r="63" spans="1:33" ht="18.75" x14ac:dyDescent="0.25">
      <c r="A63" s="301" t="s">
        <v>135</v>
      </c>
      <c r="B63" s="249"/>
      <c r="C63" s="162"/>
      <c r="D63" s="162"/>
      <c r="E63" s="162"/>
      <c r="F63" s="162">
        <v>1</v>
      </c>
      <c r="G63" s="162">
        <v>2</v>
      </c>
      <c r="H63" s="162">
        <v>1</v>
      </c>
      <c r="I63" s="162"/>
      <c r="J63" s="162"/>
      <c r="K63" s="162"/>
      <c r="L63" s="162">
        <v>2</v>
      </c>
      <c r="M63" s="162">
        <v>1</v>
      </c>
      <c r="N63" s="162"/>
      <c r="O63" s="162">
        <v>1</v>
      </c>
      <c r="P63" s="162"/>
      <c r="Q63" s="162"/>
      <c r="R63" s="162">
        <v>1</v>
      </c>
      <c r="S63" s="162">
        <v>2</v>
      </c>
      <c r="T63" s="162">
        <v>1</v>
      </c>
      <c r="U63" s="162">
        <v>1</v>
      </c>
      <c r="V63" s="162"/>
      <c r="W63" s="162"/>
      <c r="X63" s="162"/>
      <c r="Y63" s="162"/>
      <c r="Z63" s="162"/>
      <c r="AA63" s="162"/>
      <c r="AB63" s="162">
        <v>2</v>
      </c>
      <c r="AC63" s="162">
        <v>2</v>
      </c>
      <c r="AD63" s="162"/>
      <c r="AE63" s="162"/>
      <c r="AF63" s="161"/>
      <c r="AG63" s="64">
        <f t="shared" si="2"/>
        <v>17</v>
      </c>
    </row>
    <row r="64" spans="1:33" ht="18.75" x14ac:dyDescent="0.25">
      <c r="A64" s="301" t="s">
        <v>134</v>
      </c>
      <c r="B64" s="249"/>
      <c r="C64" s="162"/>
      <c r="D64" s="162"/>
      <c r="E64" s="162"/>
      <c r="F64" s="162">
        <v>4</v>
      </c>
      <c r="G64" s="162">
        <v>2</v>
      </c>
      <c r="H64" s="162"/>
      <c r="I64" s="162"/>
      <c r="J64" s="162"/>
      <c r="K64" s="162">
        <v>1</v>
      </c>
      <c r="L64" s="162"/>
      <c r="M64" s="162">
        <v>1</v>
      </c>
      <c r="N64" s="162">
        <v>1</v>
      </c>
      <c r="O64" s="162"/>
      <c r="P64" s="162"/>
      <c r="Q64" s="162"/>
      <c r="R64" s="162">
        <v>6</v>
      </c>
      <c r="S64" s="162">
        <v>2</v>
      </c>
      <c r="T64" s="162"/>
      <c r="U64" s="162">
        <v>4</v>
      </c>
      <c r="V64" s="162"/>
      <c r="W64" s="162">
        <v>1</v>
      </c>
      <c r="X64" s="162"/>
      <c r="Y64" s="162">
        <v>2</v>
      </c>
      <c r="Z64" s="162">
        <v>1</v>
      </c>
      <c r="AA64" s="162">
        <v>1</v>
      </c>
      <c r="AB64" s="162"/>
      <c r="AC64" s="162"/>
      <c r="AD64" s="162">
        <v>1</v>
      </c>
      <c r="AE64" s="162"/>
      <c r="AF64" s="161"/>
      <c r="AG64" s="64">
        <f t="shared" si="2"/>
        <v>27</v>
      </c>
    </row>
    <row r="65" spans="1:33" ht="18.75" x14ac:dyDescent="0.25">
      <c r="A65" s="301" t="s">
        <v>133</v>
      </c>
      <c r="B65" s="249"/>
      <c r="C65" s="162"/>
      <c r="D65" s="162"/>
      <c r="E65" s="162"/>
      <c r="F65" s="162">
        <v>2</v>
      </c>
      <c r="G65" s="162">
        <v>1</v>
      </c>
      <c r="H65" s="162"/>
      <c r="I65" s="162"/>
      <c r="J65" s="162"/>
      <c r="K65" s="162">
        <v>3</v>
      </c>
      <c r="L65" s="162">
        <v>3</v>
      </c>
      <c r="M65" s="162"/>
      <c r="N65" s="162">
        <v>5</v>
      </c>
      <c r="O65" s="162">
        <v>1</v>
      </c>
      <c r="P65" s="162">
        <v>1</v>
      </c>
      <c r="Q65" s="162"/>
      <c r="R65" s="162">
        <v>2</v>
      </c>
      <c r="S65" s="162"/>
      <c r="T65" s="162">
        <v>2</v>
      </c>
      <c r="U65" s="162">
        <v>2</v>
      </c>
      <c r="V65" s="162"/>
      <c r="W65" s="162"/>
      <c r="X65" s="162">
        <v>2</v>
      </c>
      <c r="Y65" s="162">
        <v>9</v>
      </c>
      <c r="Z65" s="162">
        <v>7</v>
      </c>
      <c r="AA65" s="162"/>
      <c r="AB65" s="162"/>
      <c r="AC65" s="162">
        <v>1</v>
      </c>
      <c r="AD65" s="162">
        <v>2</v>
      </c>
      <c r="AE65" s="162">
        <v>2</v>
      </c>
      <c r="AF65" s="161">
        <v>2</v>
      </c>
      <c r="AG65" s="64">
        <f t="shared" si="2"/>
        <v>47</v>
      </c>
    </row>
    <row r="66" spans="1:33" ht="18.75" x14ac:dyDescent="0.25">
      <c r="A66" s="301" t="s">
        <v>132</v>
      </c>
      <c r="B66" s="249"/>
      <c r="C66" s="162"/>
      <c r="D66" s="162">
        <v>5</v>
      </c>
      <c r="E66" s="162">
        <v>1</v>
      </c>
      <c r="F66" s="162"/>
      <c r="G66" s="162"/>
      <c r="H66" s="162"/>
      <c r="I66" s="162"/>
      <c r="J66" s="162"/>
      <c r="K66" s="162">
        <v>3</v>
      </c>
      <c r="L66" s="162">
        <v>3</v>
      </c>
      <c r="M66" s="162">
        <v>2</v>
      </c>
      <c r="N66" s="162"/>
      <c r="O66" s="162"/>
      <c r="P66" s="162"/>
      <c r="Q66" s="162"/>
      <c r="R66" s="162">
        <v>1</v>
      </c>
      <c r="S66" s="162">
        <v>1</v>
      </c>
      <c r="T66" s="162">
        <v>3</v>
      </c>
      <c r="U66" s="162"/>
      <c r="V66" s="162"/>
      <c r="W66" s="162"/>
      <c r="X66" s="162"/>
      <c r="Y66" s="162">
        <v>3</v>
      </c>
      <c r="Z66" s="162"/>
      <c r="AA66" s="162">
        <v>1</v>
      </c>
      <c r="AB66" s="162">
        <v>3</v>
      </c>
      <c r="AC66" s="162"/>
      <c r="AD66" s="162"/>
      <c r="AE66" s="162"/>
      <c r="AF66" s="161">
        <v>1</v>
      </c>
      <c r="AG66" s="64">
        <f t="shared" si="2"/>
        <v>27</v>
      </c>
    </row>
    <row r="67" spans="1:33" ht="18.75" x14ac:dyDescent="0.25">
      <c r="A67" s="301" t="s">
        <v>131</v>
      </c>
      <c r="B67" s="249"/>
      <c r="C67" s="162"/>
      <c r="D67" s="162"/>
      <c r="E67" s="162">
        <v>1</v>
      </c>
      <c r="F67" s="162"/>
      <c r="G67" s="162"/>
      <c r="H67" s="162"/>
      <c r="I67" s="162"/>
      <c r="J67" s="162"/>
      <c r="K67" s="162"/>
      <c r="L67" s="162"/>
      <c r="M67" s="162"/>
      <c r="N67" s="162"/>
      <c r="O67" s="162">
        <v>1</v>
      </c>
      <c r="P67" s="162"/>
      <c r="Q67" s="162"/>
      <c r="R67" s="162">
        <v>3</v>
      </c>
      <c r="S67" s="162"/>
      <c r="T67" s="162"/>
      <c r="U67" s="162"/>
      <c r="V67" s="162"/>
      <c r="W67" s="162"/>
      <c r="X67" s="162"/>
      <c r="Y67" s="162">
        <v>5</v>
      </c>
      <c r="Z67" s="162">
        <v>2</v>
      </c>
      <c r="AA67" s="162">
        <v>6</v>
      </c>
      <c r="AB67" s="162"/>
      <c r="AC67" s="162"/>
      <c r="AD67" s="162"/>
      <c r="AE67" s="162"/>
      <c r="AF67" s="161"/>
      <c r="AG67" s="64">
        <f t="shared" ref="AG67:AG98" si="5">SUM(B67:AF67)</f>
        <v>18</v>
      </c>
    </row>
    <row r="68" spans="1:33" ht="18.75" x14ac:dyDescent="0.25">
      <c r="A68" s="301" t="s">
        <v>130</v>
      </c>
      <c r="B68" s="249"/>
      <c r="C68" s="162"/>
      <c r="D68" s="162"/>
      <c r="E68" s="162"/>
      <c r="F68" s="162"/>
      <c r="G68" s="162"/>
      <c r="H68" s="162"/>
      <c r="I68" s="162"/>
      <c r="J68" s="162"/>
      <c r="K68" s="162">
        <v>2</v>
      </c>
      <c r="L68" s="162">
        <v>1</v>
      </c>
      <c r="M68" s="162"/>
      <c r="N68" s="162"/>
      <c r="O68" s="162">
        <v>1</v>
      </c>
      <c r="P68" s="162"/>
      <c r="Q68" s="162">
        <v>1</v>
      </c>
      <c r="R68" s="162">
        <v>1</v>
      </c>
      <c r="S68" s="162"/>
      <c r="T68" s="162"/>
      <c r="U68" s="162">
        <v>1</v>
      </c>
      <c r="V68" s="162"/>
      <c r="W68" s="162"/>
      <c r="X68" s="162"/>
      <c r="Y68" s="162">
        <v>3</v>
      </c>
      <c r="Z68" s="162"/>
      <c r="AA68" s="162"/>
      <c r="AB68" s="162"/>
      <c r="AC68" s="162"/>
      <c r="AD68" s="162"/>
      <c r="AE68" s="162"/>
      <c r="AF68" s="161"/>
      <c r="AG68" s="64">
        <f t="shared" si="5"/>
        <v>10</v>
      </c>
    </row>
    <row r="69" spans="1:33" ht="18.75" x14ac:dyDescent="0.25">
      <c r="A69" s="301" t="s">
        <v>129</v>
      </c>
      <c r="B69" s="249"/>
      <c r="C69" s="162"/>
      <c r="D69" s="162"/>
      <c r="E69" s="162"/>
      <c r="F69" s="162"/>
      <c r="G69" s="162">
        <v>2</v>
      </c>
      <c r="H69" s="162"/>
      <c r="I69" s="162"/>
      <c r="J69" s="162">
        <v>1</v>
      </c>
      <c r="K69" s="162"/>
      <c r="L69" s="162"/>
      <c r="M69" s="162"/>
      <c r="N69" s="162"/>
      <c r="O69" s="162"/>
      <c r="P69" s="162"/>
      <c r="Q69" s="162"/>
      <c r="R69" s="162"/>
      <c r="S69" s="162"/>
      <c r="T69" s="162"/>
      <c r="U69" s="162"/>
      <c r="V69" s="162"/>
      <c r="W69" s="162"/>
      <c r="X69" s="162"/>
      <c r="Y69" s="162">
        <v>2</v>
      </c>
      <c r="Z69" s="162"/>
      <c r="AA69" s="162"/>
      <c r="AB69" s="162"/>
      <c r="AC69" s="162"/>
      <c r="AD69" s="162"/>
      <c r="AE69" s="162"/>
      <c r="AF69" s="161"/>
      <c r="AG69" s="64">
        <f t="shared" si="5"/>
        <v>5</v>
      </c>
    </row>
    <row r="70" spans="1:33" ht="18.75" x14ac:dyDescent="0.25">
      <c r="A70" s="301" t="s">
        <v>128</v>
      </c>
      <c r="B70" s="248"/>
      <c r="C70" s="199"/>
      <c r="D70" s="162">
        <v>1</v>
      </c>
      <c r="E70" s="199"/>
      <c r="F70" s="199"/>
      <c r="G70" s="162"/>
      <c r="H70" s="199"/>
      <c r="I70" s="162"/>
      <c r="J70" s="199"/>
      <c r="K70" s="199"/>
      <c r="L70" s="199"/>
      <c r="M70" s="199"/>
      <c r="N70" s="199"/>
      <c r="O70" s="199"/>
      <c r="P70" s="199"/>
      <c r="Q70" s="199">
        <v>2</v>
      </c>
      <c r="R70" s="199"/>
      <c r="S70" s="199"/>
      <c r="T70" s="199"/>
      <c r="U70" s="199"/>
      <c r="V70" s="199"/>
      <c r="W70" s="199"/>
      <c r="X70" s="199"/>
      <c r="Y70" s="199">
        <v>2</v>
      </c>
      <c r="Z70" s="199"/>
      <c r="AA70" s="199"/>
      <c r="AB70" s="199"/>
      <c r="AC70" s="199"/>
      <c r="AD70" s="199"/>
      <c r="AE70" s="199"/>
      <c r="AF70" s="206"/>
      <c r="AG70" s="64">
        <f t="shared" si="5"/>
        <v>5</v>
      </c>
    </row>
    <row r="71" spans="1:33" ht="18.75" x14ac:dyDescent="0.25">
      <c r="A71" s="301" t="s">
        <v>127</v>
      </c>
      <c r="B71" s="248"/>
      <c r="C71" s="199"/>
      <c r="D71" s="162"/>
      <c r="E71" s="199"/>
      <c r="F71" s="199"/>
      <c r="G71" s="162"/>
      <c r="H71" s="199"/>
      <c r="I71" s="162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>
        <v>1</v>
      </c>
      <c r="U71" s="199"/>
      <c r="V71" s="199">
        <v>1</v>
      </c>
      <c r="W71" s="199"/>
      <c r="X71" s="199"/>
      <c r="Y71" s="199"/>
      <c r="Z71" s="199"/>
      <c r="AA71" s="199"/>
      <c r="AB71" s="199"/>
      <c r="AC71" s="199"/>
      <c r="AD71" s="199">
        <v>1</v>
      </c>
      <c r="AE71" s="199"/>
      <c r="AF71" s="206"/>
      <c r="AG71" s="64">
        <f t="shared" si="5"/>
        <v>3</v>
      </c>
    </row>
    <row r="72" spans="1:33" ht="18.75" x14ac:dyDescent="0.25">
      <c r="A72" s="301" t="s">
        <v>126</v>
      </c>
      <c r="B72" s="248"/>
      <c r="C72" s="199"/>
      <c r="D72" s="162"/>
      <c r="E72" s="199"/>
      <c r="F72" s="199"/>
      <c r="G72" s="162"/>
      <c r="H72" s="199"/>
      <c r="I72" s="162"/>
      <c r="J72" s="199"/>
      <c r="K72" s="199"/>
      <c r="L72" s="199"/>
      <c r="M72" s="199"/>
      <c r="N72" s="199">
        <v>1</v>
      </c>
      <c r="O72" s="199"/>
      <c r="P72" s="199"/>
      <c r="Q72" s="199"/>
      <c r="R72" s="199"/>
      <c r="S72" s="199"/>
      <c r="T72" s="199"/>
      <c r="U72" s="199"/>
      <c r="V72" s="199"/>
      <c r="W72" s="199"/>
      <c r="X72" s="199"/>
      <c r="Y72" s="199"/>
      <c r="Z72" s="199"/>
      <c r="AA72" s="199">
        <v>1</v>
      </c>
      <c r="AB72" s="199"/>
      <c r="AC72" s="199"/>
      <c r="AD72" s="199"/>
      <c r="AE72" s="199"/>
      <c r="AF72" s="206"/>
      <c r="AG72" s="64">
        <f t="shared" si="5"/>
        <v>2</v>
      </c>
    </row>
    <row r="73" spans="1:33" ht="18.75" x14ac:dyDescent="0.25">
      <c r="A73" s="301" t="s">
        <v>125</v>
      </c>
      <c r="B73" s="248"/>
      <c r="C73" s="199"/>
      <c r="D73" s="162"/>
      <c r="E73" s="199">
        <v>1</v>
      </c>
      <c r="F73" s="199"/>
      <c r="G73" s="162"/>
      <c r="H73" s="199"/>
      <c r="I73" s="162"/>
      <c r="J73" s="199"/>
      <c r="K73" s="199"/>
      <c r="L73" s="199"/>
      <c r="M73" s="199"/>
      <c r="N73" s="199"/>
      <c r="O73" s="199"/>
      <c r="P73" s="199"/>
      <c r="Q73" s="199"/>
      <c r="R73" s="199"/>
      <c r="S73" s="199"/>
      <c r="T73" s="199"/>
      <c r="U73" s="199"/>
      <c r="V73" s="199"/>
      <c r="W73" s="199"/>
      <c r="X73" s="199"/>
      <c r="Y73" s="199"/>
      <c r="Z73" s="199"/>
      <c r="AA73" s="199"/>
      <c r="AB73" s="199"/>
      <c r="AC73" s="199"/>
      <c r="AD73" s="199"/>
      <c r="AE73" s="199"/>
      <c r="AF73" s="206"/>
      <c r="AG73" s="64">
        <f t="shared" si="5"/>
        <v>1</v>
      </c>
    </row>
    <row r="74" spans="1:33" ht="18.75" x14ac:dyDescent="0.25">
      <c r="A74" s="301" t="s">
        <v>124</v>
      </c>
      <c r="B74" s="248"/>
      <c r="C74" s="199"/>
      <c r="D74" s="162"/>
      <c r="E74" s="199"/>
      <c r="F74" s="199"/>
      <c r="G74" s="162"/>
      <c r="H74" s="199"/>
      <c r="I74" s="162"/>
      <c r="J74" s="199"/>
      <c r="K74" s="199"/>
      <c r="L74" s="199"/>
      <c r="M74" s="199"/>
      <c r="N74" s="199"/>
      <c r="O74" s="199"/>
      <c r="P74" s="199"/>
      <c r="Q74" s="199"/>
      <c r="R74" s="199"/>
      <c r="S74" s="199"/>
      <c r="T74" s="199"/>
      <c r="U74" s="199"/>
      <c r="V74" s="199"/>
      <c r="W74" s="199"/>
      <c r="X74" s="199"/>
      <c r="Y74" s="199"/>
      <c r="Z74" s="199"/>
      <c r="AA74" s="199"/>
      <c r="AB74" s="199"/>
      <c r="AC74" s="199"/>
      <c r="AD74" s="199"/>
      <c r="AE74" s="199">
        <v>1</v>
      </c>
      <c r="AF74" s="206"/>
      <c r="AG74" s="64">
        <f t="shared" si="5"/>
        <v>1</v>
      </c>
    </row>
    <row r="75" spans="1:33" ht="18.75" x14ac:dyDescent="0.25">
      <c r="A75" s="301" t="s">
        <v>123</v>
      </c>
      <c r="B75" s="248"/>
      <c r="C75" s="199"/>
      <c r="D75" s="162"/>
      <c r="E75" s="199"/>
      <c r="F75" s="199"/>
      <c r="G75" s="162"/>
      <c r="H75" s="199"/>
      <c r="I75" s="162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9"/>
      <c r="Y75" s="199"/>
      <c r="Z75" s="199"/>
      <c r="AA75" s="199"/>
      <c r="AB75" s="199"/>
      <c r="AC75" s="199"/>
      <c r="AD75" s="199"/>
      <c r="AE75" s="199"/>
      <c r="AF75" s="206"/>
      <c r="AG75" s="64">
        <f t="shared" si="5"/>
        <v>0</v>
      </c>
    </row>
    <row r="76" spans="1:33" ht="18.75" x14ac:dyDescent="0.25">
      <c r="A76" s="301" t="s">
        <v>122</v>
      </c>
      <c r="B76" s="248"/>
      <c r="C76" s="199"/>
      <c r="D76" s="162"/>
      <c r="E76" s="199"/>
      <c r="F76" s="199"/>
      <c r="G76" s="162"/>
      <c r="H76" s="199"/>
      <c r="I76" s="162"/>
      <c r="J76" s="199"/>
      <c r="K76" s="199"/>
      <c r="L76" s="199"/>
      <c r="M76" s="199"/>
      <c r="N76" s="199"/>
      <c r="O76" s="199"/>
      <c r="P76" s="199"/>
      <c r="Q76" s="199"/>
      <c r="R76" s="199"/>
      <c r="S76" s="199"/>
      <c r="T76" s="199"/>
      <c r="U76" s="199"/>
      <c r="V76" s="199"/>
      <c r="W76" s="199"/>
      <c r="X76" s="199"/>
      <c r="Y76" s="199"/>
      <c r="Z76" s="199"/>
      <c r="AA76" s="199"/>
      <c r="AB76" s="199"/>
      <c r="AC76" s="199"/>
      <c r="AD76" s="199"/>
      <c r="AE76" s="199"/>
      <c r="AF76" s="206"/>
      <c r="AG76" s="64">
        <f t="shared" si="5"/>
        <v>0</v>
      </c>
    </row>
    <row r="77" spans="1:33" ht="19.5" thickBot="1" x14ac:dyDescent="0.3">
      <c r="A77" s="305" t="s">
        <v>121</v>
      </c>
      <c r="B77" s="253"/>
      <c r="C77" s="184"/>
      <c r="D77" s="181"/>
      <c r="E77" s="184"/>
      <c r="F77" s="184"/>
      <c r="G77" s="181"/>
      <c r="H77" s="184"/>
      <c r="I77" s="181"/>
      <c r="J77" s="184"/>
      <c r="K77" s="184"/>
      <c r="L77" s="184"/>
      <c r="M77" s="184"/>
      <c r="N77" s="184"/>
      <c r="O77" s="184"/>
      <c r="P77" s="184"/>
      <c r="Q77" s="184"/>
      <c r="R77" s="184"/>
      <c r="S77" s="184"/>
      <c r="T77" s="184"/>
      <c r="U77" s="184"/>
      <c r="V77" s="184"/>
      <c r="W77" s="184">
        <v>1</v>
      </c>
      <c r="X77" s="184"/>
      <c r="Y77" s="184"/>
      <c r="Z77" s="184"/>
      <c r="AA77" s="184"/>
      <c r="AB77" s="184"/>
      <c r="AC77" s="184"/>
      <c r="AD77" s="184"/>
      <c r="AE77" s="184"/>
      <c r="AF77" s="183"/>
      <c r="AG77" s="160">
        <f t="shared" si="5"/>
        <v>1</v>
      </c>
    </row>
    <row r="78" spans="1:33" ht="19.5" hidden="1" customHeight="1" thickBot="1" x14ac:dyDescent="0.3">
      <c r="A78" s="306" t="s">
        <v>120</v>
      </c>
      <c r="B78" s="254">
        <f t="shared" ref="B78:AF78" si="6">SUM(B79:B80)</f>
        <v>117</v>
      </c>
      <c r="C78" s="204">
        <f t="shared" si="6"/>
        <v>111</v>
      </c>
      <c r="D78" s="204">
        <f t="shared" si="6"/>
        <v>135</v>
      </c>
      <c r="E78" s="201">
        <f t="shared" si="6"/>
        <v>140</v>
      </c>
      <c r="F78" s="201">
        <f t="shared" si="6"/>
        <v>118</v>
      </c>
      <c r="G78" s="201">
        <f t="shared" si="6"/>
        <v>139</v>
      </c>
      <c r="H78" s="201">
        <f t="shared" si="6"/>
        <v>106</v>
      </c>
      <c r="I78" s="201">
        <f t="shared" si="6"/>
        <v>140</v>
      </c>
      <c r="J78" s="201">
        <f t="shared" si="6"/>
        <v>124</v>
      </c>
      <c r="K78" s="201">
        <f t="shared" si="6"/>
        <v>139</v>
      </c>
      <c r="L78" s="201">
        <f t="shared" si="6"/>
        <v>123</v>
      </c>
      <c r="M78" s="201">
        <f t="shared" si="6"/>
        <v>128</v>
      </c>
      <c r="N78" s="201">
        <f t="shared" si="6"/>
        <v>150</v>
      </c>
      <c r="O78" s="201">
        <f t="shared" si="6"/>
        <v>131</v>
      </c>
      <c r="P78" s="201">
        <f t="shared" si="6"/>
        <v>140</v>
      </c>
      <c r="Q78" s="201">
        <f t="shared" si="6"/>
        <v>157</v>
      </c>
      <c r="R78" s="201">
        <f t="shared" si="6"/>
        <v>189</v>
      </c>
      <c r="S78" s="201">
        <f t="shared" si="6"/>
        <v>141</v>
      </c>
      <c r="T78" s="201">
        <f t="shared" si="6"/>
        <v>138</v>
      </c>
      <c r="U78" s="201">
        <f t="shared" si="6"/>
        <v>158</v>
      </c>
      <c r="V78" s="201">
        <f t="shared" si="6"/>
        <v>151</v>
      </c>
      <c r="W78" s="201">
        <f t="shared" si="6"/>
        <v>165</v>
      </c>
      <c r="X78" s="201">
        <f t="shared" si="6"/>
        <v>191</v>
      </c>
      <c r="Y78" s="201">
        <f t="shared" si="6"/>
        <v>223</v>
      </c>
      <c r="Z78" s="201">
        <f t="shared" si="6"/>
        <v>166</v>
      </c>
      <c r="AA78" s="201">
        <f t="shared" si="6"/>
        <v>186</v>
      </c>
      <c r="AB78" s="201">
        <f t="shared" si="6"/>
        <v>151</v>
      </c>
      <c r="AC78" s="201">
        <f t="shared" si="6"/>
        <v>154</v>
      </c>
      <c r="AD78" s="201">
        <f t="shared" si="6"/>
        <v>178</v>
      </c>
      <c r="AE78" s="201">
        <f t="shared" si="6"/>
        <v>152</v>
      </c>
      <c r="AF78" s="203">
        <f t="shared" si="6"/>
        <v>159</v>
      </c>
      <c r="AG78" s="157">
        <f t="shared" si="5"/>
        <v>4600</v>
      </c>
    </row>
    <row r="79" spans="1:33" ht="19.5" hidden="1" customHeight="1" thickBot="1" x14ac:dyDescent="0.3">
      <c r="A79" s="307" t="s">
        <v>118</v>
      </c>
      <c r="B79" s="248">
        <f t="shared" ref="B79:AF79" si="7">SUM(B4:B27)-B80</f>
        <v>117</v>
      </c>
      <c r="C79" s="199">
        <f t="shared" si="7"/>
        <v>111</v>
      </c>
      <c r="D79" s="199">
        <f t="shared" si="7"/>
        <v>135</v>
      </c>
      <c r="E79" s="199">
        <f t="shared" si="7"/>
        <v>140</v>
      </c>
      <c r="F79" s="199">
        <f t="shared" si="7"/>
        <v>91</v>
      </c>
      <c r="G79" s="199">
        <f t="shared" si="7"/>
        <v>112</v>
      </c>
      <c r="H79" s="199">
        <f t="shared" si="7"/>
        <v>68</v>
      </c>
      <c r="I79" s="199">
        <f t="shared" si="7"/>
        <v>140</v>
      </c>
      <c r="J79" s="199">
        <f t="shared" si="7"/>
        <v>124</v>
      </c>
      <c r="K79" s="199">
        <f t="shared" si="7"/>
        <v>139</v>
      </c>
      <c r="L79" s="199">
        <f t="shared" si="7"/>
        <v>123</v>
      </c>
      <c r="M79" s="199">
        <f t="shared" si="7"/>
        <v>87</v>
      </c>
      <c r="N79" s="199">
        <f t="shared" si="7"/>
        <v>108</v>
      </c>
      <c r="O79" s="199">
        <f t="shared" si="7"/>
        <v>78</v>
      </c>
      <c r="P79" s="199">
        <f t="shared" si="7"/>
        <v>140</v>
      </c>
      <c r="Q79" s="199">
        <f t="shared" si="7"/>
        <v>157</v>
      </c>
      <c r="R79" s="199">
        <f t="shared" si="7"/>
        <v>109</v>
      </c>
      <c r="S79" s="199">
        <f t="shared" si="7"/>
        <v>83</v>
      </c>
      <c r="T79" s="199">
        <f t="shared" si="7"/>
        <v>83</v>
      </c>
      <c r="U79" s="199">
        <f t="shared" si="7"/>
        <v>93</v>
      </c>
      <c r="V79" s="199">
        <f t="shared" si="7"/>
        <v>62</v>
      </c>
      <c r="W79" s="199">
        <f t="shared" si="7"/>
        <v>165</v>
      </c>
      <c r="X79" s="199">
        <f t="shared" si="7"/>
        <v>191</v>
      </c>
      <c r="Y79" s="199">
        <f t="shared" si="7"/>
        <v>133</v>
      </c>
      <c r="Z79" s="199">
        <f t="shared" si="7"/>
        <v>166</v>
      </c>
      <c r="AA79" s="199">
        <f t="shared" si="7"/>
        <v>124</v>
      </c>
      <c r="AB79" s="199">
        <f t="shared" si="7"/>
        <v>98</v>
      </c>
      <c r="AC79" s="199">
        <f t="shared" si="7"/>
        <v>109</v>
      </c>
      <c r="AD79" s="199">
        <f t="shared" si="7"/>
        <v>178</v>
      </c>
      <c r="AE79" s="199">
        <f t="shared" si="7"/>
        <v>152</v>
      </c>
      <c r="AF79" s="199">
        <f t="shared" si="7"/>
        <v>97</v>
      </c>
      <c r="AG79" s="134">
        <f t="shared" si="5"/>
        <v>3713</v>
      </c>
    </row>
    <row r="80" spans="1:33" ht="19.5" hidden="1" customHeight="1" thickBot="1" x14ac:dyDescent="0.3">
      <c r="A80" s="308" t="s">
        <v>119</v>
      </c>
      <c r="B80" s="255"/>
      <c r="C80" s="169"/>
      <c r="D80" s="181">
        <v>0</v>
      </c>
      <c r="E80" s="181">
        <v>0</v>
      </c>
      <c r="F80" s="181">
        <f>SUM(F4:F12)</f>
        <v>27</v>
      </c>
      <c r="G80" s="181">
        <f>SUM(G4:G12)</f>
        <v>27</v>
      </c>
      <c r="H80" s="181">
        <f>SUM(H4:H12)</f>
        <v>38</v>
      </c>
      <c r="I80" s="169"/>
      <c r="J80" s="169"/>
      <c r="K80" s="181">
        <v>0</v>
      </c>
      <c r="L80" s="181">
        <v>0</v>
      </c>
      <c r="M80" s="181">
        <f>SUM(M4:M12)</f>
        <v>41</v>
      </c>
      <c r="N80" s="181">
        <f>SUM(N4:N12)</f>
        <v>42</v>
      </c>
      <c r="O80" s="181">
        <f>SUM(O4:O12)</f>
        <v>53</v>
      </c>
      <c r="P80" s="169"/>
      <c r="Q80" s="169"/>
      <c r="R80" s="181">
        <f>SUM(R4:R12)</f>
        <v>80</v>
      </c>
      <c r="S80" s="181">
        <f>SUM(S4:S12)</f>
        <v>58</v>
      </c>
      <c r="T80" s="181">
        <f>SUM(T4:T12)</f>
        <v>55</v>
      </c>
      <c r="U80" s="181">
        <f>SUM(U4:U12)</f>
        <v>65</v>
      </c>
      <c r="V80" s="181">
        <f>SUM(V4:V12)</f>
        <v>89</v>
      </c>
      <c r="W80" s="169"/>
      <c r="X80" s="169"/>
      <c r="Y80" s="181">
        <f>SUM(Y4:Y12)</f>
        <v>90</v>
      </c>
      <c r="Z80" s="169"/>
      <c r="AA80" s="181">
        <f>SUM(AA4:AA12)</f>
        <v>62</v>
      </c>
      <c r="AB80" s="181">
        <f>SUM(AB4:AB12)</f>
        <v>53</v>
      </c>
      <c r="AC80" s="181">
        <f>SUM(AC4:AC12)</f>
        <v>45</v>
      </c>
      <c r="AD80" s="169"/>
      <c r="AE80" s="169"/>
      <c r="AF80" s="181">
        <f>SUM(AF4:AF12)</f>
        <v>62</v>
      </c>
      <c r="AG80" s="160">
        <f t="shared" si="5"/>
        <v>887</v>
      </c>
    </row>
    <row r="81" spans="1:35" ht="19.5" thickBot="1" x14ac:dyDescent="0.3">
      <c r="A81" s="306" t="s">
        <v>84</v>
      </c>
      <c r="B81" s="256">
        <f t="shared" ref="B81:AF81" si="8">SUM(B82:B83)</f>
        <v>3</v>
      </c>
      <c r="C81" s="201">
        <f t="shared" si="8"/>
        <v>1</v>
      </c>
      <c r="D81" s="201">
        <f t="shared" si="8"/>
        <v>8</v>
      </c>
      <c r="E81" s="201">
        <f t="shared" si="8"/>
        <v>3</v>
      </c>
      <c r="F81" s="201">
        <f t="shared" si="8"/>
        <v>8</v>
      </c>
      <c r="G81" s="201">
        <f t="shared" si="8"/>
        <v>7</v>
      </c>
      <c r="H81" s="201">
        <f t="shared" si="8"/>
        <v>3</v>
      </c>
      <c r="I81" s="201">
        <f t="shared" si="8"/>
        <v>4</v>
      </c>
      <c r="J81" s="201">
        <f t="shared" si="8"/>
        <v>4</v>
      </c>
      <c r="K81" s="201">
        <f t="shared" si="8"/>
        <v>10</v>
      </c>
      <c r="L81" s="201">
        <f t="shared" si="8"/>
        <v>9</v>
      </c>
      <c r="M81" s="201">
        <f t="shared" si="8"/>
        <v>6</v>
      </c>
      <c r="N81" s="201">
        <f t="shared" si="8"/>
        <v>9</v>
      </c>
      <c r="O81" s="201">
        <f t="shared" si="8"/>
        <v>6</v>
      </c>
      <c r="P81" s="201">
        <f t="shared" si="8"/>
        <v>5</v>
      </c>
      <c r="Q81" s="201">
        <f t="shared" si="8"/>
        <v>7</v>
      </c>
      <c r="R81" s="201">
        <f t="shared" si="8"/>
        <v>15</v>
      </c>
      <c r="S81" s="201">
        <f t="shared" si="8"/>
        <v>8</v>
      </c>
      <c r="T81" s="201">
        <f t="shared" si="8"/>
        <v>9</v>
      </c>
      <c r="U81" s="201">
        <f t="shared" si="8"/>
        <v>10</v>
      </c>
      <c r="V81" s="201">
        <f t="shared" si="8"/>
        <v>3</v>
      </c>
      <c r="W81" s="201">
        <f t="shared" si="8"/>
        <v>9</v>
      </c>
      <c r="X81" s="201">
        <f t="shared" si="8"/>
        <v>4</v>
      </c>
      <c r="Y81" s="201">
        <f t="shared" si="8"/>
        <v>33</v>
      </c>
      <c r="Z81" s="201">
        <f t="shared" si="8"/>
        <v>10</v>
      </c>
      <c r="AA81" s="201">
        <f t="shared" si="8"/>
        <v>10</v>
      </c>
      <c r="AB81" s="201">
        <f t="shared" si="8"/>
        <v>7</v>
      </c>
      <c r="AC81" s="201">
        <f t="shared" si="8"/>
        <v>6</v>
      </c>
      <c r="AD81" s="201">
        <f t="shared" si="8"/>
        <v>14</v>
      </c>
      <c r="AE81" s="201">
        <f t="shared" si="8"/>
        <v>4</v>
      </c>
      <c r="AF81" s="201">
        <f t="shared" si="8"/>
        <v>5</v>
      </c>
      <c r="AG81" s="157">
        <f t="shared" si="5"/>
        <v>240</v>
      </c>
      <c r="AH81" s="53" t="str">
        <f>IF(AG81&lt;&gt;AG53,"*","")</f>
        <v/>
      </c>
    </row>
    <row r="82" spans="1:35" ht="18.75" x14ac:dyDescent="0.25">
      <c r="A82" s="307" t="s">
        <v>119</v>
      </c>
      <c r="B82" s="355"/>
      <c r="C82" s="218"/>
      <c r="D82" s="199">
        <f t="shared" ref="D82:AF82" si="9">SUM(D54:D62)</f>
        <v>2</v>
      </c>
      <c r="E82" s="199">
        <f t="shared" si="9"/>
        <v>0</v>
      </c>
      <c r="F82" s="199">
        <f t="shared" si="9"/>
        <v>1</v>
      </c>
      <c r="G82" s="199">
        <f t="shared" si="9"/>
        <v>0</v>
      </c>
      <c r="H82" s="199">
        <f t="shared" si="9"/>
        <v>2</v>
      </c>
      <c r="I82" s="218"/>
      <c r="J82" s="218"/>
      <c r="K82" s="199">
        <f t="shared" si="9"/>
        <v>1</v>
      </c>
      <c r="L82" s="199">
        <f t="shared" si="9"/>
        <v>0</v>
      </c>
      <c r="M82" s="199">
        <f t="shared" si="9"/>
        <v>2</v>
      </c>
      <c r="N82" s="199">
        <f t="shared" si="9"/>
        <v>2</v>
      </c>
      <c r="O82" s="199">
        <f t="shared" si="9"/>
        <v>2</v>
      </c>
      <c r="P82" s="218"/>
      <c r="Q82" s="218"/>
      <c r="R82" s="199">
        <f t="shared" si="9"/>
        <v>1</v>
      </c>
      <c r="S82" s="199">
        <f t="shared" si="9"/>
        <v>3</v>
      </c>
      <c r="T82" s="199">
        <f t="shared" si="9"/>
        <v>2</v>
      </c>
      <c r="U82" s="199">
        <f t="shared" si="9"/>
        <v>2</v>
      </c>
      <c r="V82" s="218"/>
      <c r="W82" s="218"/>
      <c r="X82" s="218"/>
      <c r="Y82" s="199">
        <f t="shared" si="9"/>
        <v>7</v>
      </c>
      <c r="Z82" s="199">
        <f t="shared" si="9"/>
        <v>0</v>
      </c>
      <c r="AA82" s="199">
        <f t="shared" si="9"/>
        <v>1</v>
      </c>
      <c r="AB82" s="199">
        <f t="shared" si="9"/>
        <v>2</v>
      </c>
      <c r="AC82" s="199">
        <f t="shared" si="9"/>
        <v>3</v>
      </c>
      <c r="AD82" s="218"/>
      <c r="AE82" s="218"/>
      <c r="AF82" s="199">
        <f t="shared" si="9"/>
        <v>2</v>
      </c>
      <c r="AG82" s="134">
        <f t="shared" si="5"/>
        <v>35</v>
      </c>
    </row>
    <row r="83" spans="1:35" ht="19.5" thickBot="1" x14ac:dyDescent="0.3">
      <c r="A83" s="308" t="s">
        <v>118</v>
      </c>
      <c r="B83" s="252">
        <f t="shared" ref="B83:AF83" si="10">SUM(B54:B77)-B82</f>
        <v>3</v>
      </c>
      <c r="C83" s="181">
        <f t="shared" si="10"/>
        <v>1</v>
      </c>
      <c r="D83" s="181">
        <f t="shared" si="10"/>
        <v>6</v>
      </c>
      <c r="E83" s="181">
        <f t="shared" si="10"/>
        <v>3</v>
      </c>
      <c r="F83" s="181">
        <f t="shared" si="10"/>
        <v>7</v>
      </c>
      <c r="G83" s="181">
        <f t="shared" si="10"/>
        <v>7</v>
      </c>
      <c r="H83" s="181">
        <f t="shared" si="10"/>
        <v>1</v>
      </c>
      <c r="I83" s="181">
        <f t="shared" si="10"/>
        <v>4</v>
      </c>
      <c r="J83" s="181">
        <f t="shared" si="10"/>
        <v>4</v>
      </c>
      <c r="K83" s="181">
        <f t="shared" si="10"/>
        <v>9</v>
      </c>
      <c r="L83" s="181">
        <f t="shared" si="10"/>
        <v>9</v>
      </c>
      <c r="M83" s="181">
        <f t="shared" si="10"/>
        <v>4</v>
      </c>
      <c r="N83" s="181">
        <f t="shared" si="10"/>
        <v>7</v>
      </c>
      <c r="O83" s="181">
        <f t="shared" si="10"/>
        <v>4</v>
      </c>
      <c r="P83" s="181">
        <f t="shared" si="10"/>
        <v>5</v>
      </c>
      <c r="Q83" s="181">
        <f t="shared" si="10"/>
        <v>7</v>
      </c>
      <c r="R83" s="181">
        <f t="shared" si="10"/>
        <v>14</v>
      </c>
      <c r="S83" s="181">
        <f t="shared" si="10"/>
        <v>5</v>
      </c>
      <c r="T83" s="181">
        <f t="shared" si="10"/>
        <v>7</v>
      </c>
      <c r="U83" s="181">
        <f t="shared" si="10"/>
        <v>8</v>
      </c>
      <c r="V83" s="181">
        <f t="shared" si="10"/>
        <v>3</v>
      </c>
      <c r="W83" s="181">
        <f t="shared" si="10"/>
        <v>9</v>
      </c>
      <c r="X83" s="181">
        <f t="shared" si="10"/>
        <v>4</v>
      </c>
      <c r="Y83" s="181">
        <f t="shared" si="10"/>
        <v>26</v>
      </c>
      <c r="Z83" s="181">
        <f t="shared" si="10"/>
        <v>10</v>
      </c>
      <c r="AA83" s="181">
        <f t="shared" si="10"/>
        <v>9</v>
      </c>
      <c r="AB83" s="181">
        <f t="shared" si="10"/>
        <v>5</v>
      </c>
      <c r="AC83" s="181">
        <f t="shared" si="10"/>
        <v>3</v>
      </c>
      <c r="AD83" s="181">
        <f t="shared" si="10"/>
        <v>14</v>
      </c>
      <c r="AE83" s="181">
        <f t="shared" si="10"/>
        <v>4</v>
      </c>
      <c r="AF83" s="181">
        <f t="shared" si="10"/>
        <v>3</v>
      </c>
      <c r="AG83" s="64">
        <f t="shared" si="5"/>
        <v>205</v>
      </c>
    </row>
    <row r="84" spans="1:35" ht="19.5" thickBot="1" x14ac:dyDescent="0.3">
      <c r="A84" s="309" t="s">
        <v>117</v>
      </c>
      <c r="B84" s="257">
        <f t="shared" ref="B84:AF84" si="11">SUM(B85:B86)</f>
        <v>3</v>
      </c>
      <c r="C84" s="158">
        <f t="shared" si="11"/>
        <v>1</v>
      </c>
      <c r="D84" s="158">
        <f t="shared" si="11"/>
        <v>8</v>
      </c>
      <c r="E84" s="158">
        <f t="shared" si="11"/>
        <v>3</v>
      </c>
      <c r="F84" s="158">
        <f t="shared" si="11"/>
        <v>8</v>
      </c>
      <c r="G84" s="158">
        <f t="shared" si="11"/>
        <v>7</v>
      </c>
      <c r="H84" s="158">
        <f t="shared" si="11"/>
        <v>3</v>
      </c>
      <c r="I84" s="158">
        <f t="shared" si="11"/>
        <v>4</v>
      </c>
      <c r="J84" s="158">
        <f t="shared" si="11"/>
        <v>4</v>
      </c>
      <c r="K84" s="158">
        <f t="shared" si="11"/>
        <v>10</v>
      </c>
      <c r="L84" s="158">
        <f t="shared" si="11"/>
        <v>9</v>
      </c>
      <c r="M84" s="158">
        <f t="shared" si="11"/>
        <v>6</v>
      </c>
      <c r="N84" s="158">
        <f t="shared" si="11"/>
        <v>9</v>
      </c>
      <c r="O84" s="158">
        <f t="shared" si="11"/>
        <v>6</v>
      </c>
      <c r="P84" s="158">
        <f t="shared" si="11"/>
        <v>5</v>
      </c>
      <c r="Q84" s="158">
        <f t="shared" si="11"/>
        <v>7</v>
      </c>
      <c r="R84" s="158">
        <f t="shared" si="11"/>
        <v>15</v>
      </c>
      <c r="S84" s="158">
        <f t="shared" si="11"/>
        <v>8</v>
      </c>
      <c r="T84" s="158">
        <f t="shared" si="11"/>
        <v>9</v>
      </c>
      <c r="U84" s="158">
        <f t="shared" si="11"/>
        <v>10</v>
      </c>
      <c r="V84" s="158">
        <f t="shared" si="11"/>
        <v>3</v>
      </c>
      <c r="W84" s="158">
        <f t="shared" si="11"/>
        <v>9</v>
      </c>
      <c r="X84" s="158">
        <f t="shared" si="11"/>
        <v>4</v>
      </c>
      <c r="Y84" s="158">
        <f t="shared" si="11"/>
        <v>33</v>
      </c>
      <c r="Z84" s="158">
        <f t="shared" si="11"/>
        <v>10</v>
      </c>
      <c r="AA84" s="158">
        <f t="shared" si="11"/>
        <v>10</v>
      </c>
      <c r="AB84" s="158">
        <f t="shared" si="11"/>
        <v>7</v>
      </c>
      <c r="AC84" s="158">
        <f t="shared" si="11"/>
        <v>6</v>
      </c>
      <c r="AD84" s="158">
        <f t="shared" si="11"/>
        <v>14</v>
      </c>
      <c r="AE84" s="158">
        <f t="shared" si="11"/>
        <v>4</v>
      </c>
      <c r="AF84" s="158">
        <f t="shared" si="11"/>
        <v>5</v>
      </c>
      <c r="AG84" s="197">
        <f t="shared" si="5"/>
        <v>240</v>
      </c>
      <c r="AH84" s="53" t="str">
        <f>IF(AG84&lt;&gt;AG82+AG83,"*","")</f>
        <v/>
      </c>
      <c r="AI84" s="403" t="s">
        <v>71</v>
      </c>
    </row>
    <row r="85" spans="1:35" ht="18.75" x14ac:dyDescent="0.25">
      <c r="A85" s="310" t="s">
        <v>116</v>
      </c>
      <c r="B85" s="258">
        <v>0</v>
      </c>
      <c r="C85" s="195">
        <v>0</v>
      </c>
      <c r="D85" s="195">
        <v>0</v>
      </c>
      <c r="E85" s="195">
        <v>1</v>
      </c>
      <c r="F85" s="195">
        <v>1</v>
      </c>
      <c r="G85" s="195">
        <v>1</v>
      </c>
      <c r="H85" s="195">
        <v>0</v>
      </c>
      <c r="I85" s="195">
        <v>0</v>
      </c>
      <c r="J85" s="195">
        <v>0</v>
      </c>
      <c r="K85" s="195">
        <v>0</v>
      </c>
      <c r="L85" s="195">
        <v>3</v>
      </c>
      <c r="M85" s="195">
        <v>0</v>
      </c>
      <c r="N85" s="195">
        <v>0</v>
      </c>
      <c r="O85" s="195">
        <v>1</v>
      </c>
      <c r="P85" s="195">
        <v>0</v>
      </c>
      <c r="Q85" s="195">
        <v>1</v>
      </c>
      <c r="R85" s="195">
        <v>2</v>
      </c>
      <c r="S85" s="195">
        <v>0</v>
      </c>
      <c r="T85" s="195">
        <v>0</v>
      </c>
      <c r="U85" s="195">
        <v>0</v>
      </c>
      <c r="V85" s="195">
        <v>0</v>
      </c>
      <c r="W85" s="195">
        <v>2</v>
      </c>
      <c r="X85" s="195">
        <v>1</v>
      </c>
      <c r="Y85" s="195">
        <v>3</v>
      </c>
      <c r="Z85" s="195">
        <v>1</v>
      </c>
      <c r="AA85" s="195">
        <v>0</v>
      </c>
      <c r="AB85" s="195">
        <v>0</v>
      </c>
      <c r="AC85" s="195">
        <v>0</v>
      </c>
      <c r="AD85" s="195">
        <v>2</v>
      </c>
      <c r="AE85" s="195">
        <v>0</v>
      </c>
      <c r="AF85" s="194">
        <v>0</v>
      </c>
      <c r="AG85" s="193">
        <f t="shared" si="5"/>
        <v>19</v>
      </c>
      <c r="AI85" s="404"/>
    </row>
    <row r="86" spans="1:35" ht="19.5" thickBot="1" x14ac:dyDescent="0.3">
      <c r="A86" s="311" t="s">
        <v>115</v>
      </c>
      <c r="B86" s="259">
        <v>3</v>
      </c>
      <c r="C86" s="191">
        <v>1</v>
      </c>
      <c r="D86" s="191">
        <v>8</v>
      </c>
      <c r="E86" s="191">
        <v>2</v>
      </c>
      <c r="F86" s="191">
        <v>7</v>
      </c>
      <c r="G86" s="191">
        <v>6</v>
      </c>
      <c r="H86" s="191">
        <v>3</v>
      </c>
      <c r="I86" s="191">
        <v>4</v>
      </c>
      <c r="J86" s="191">
        <v>4</v>
      </c>
      <c r="K86" s="191">
        <v>10</v>
      </c>
      <c r="L86" s="191">
        <v>6</v>
      </c>
      <c r="M86" s="191">
        <v>6</v>
      </c>
      <c r="N86" s="191">
        <v>9</v>
      </c>
      <c r="O86" s="191">
        <v>5</v>
      </c>
      <c r="P86" s="191">
        <v>5</v>
      </c>
      <c r="Q86" s="191">
        <v>6</v>
      </c>
      <c r="R86" s="191">
        <v>13</v>
      </c>
      <c r="S86" s="191">
        <v>8</v>
      </c>
      <c r="T86" s="191">
        <v>9</v>
      </c>
      <c r="U86" s="191">
        <v>10</v>
      </c>
      <c r="V86" s="191">
        <v>3</v>
      </c>
      <c r="W86" s="191">
        <v>7</v>
      </c>
      <c r="X86" s="191">
        <v>3</v>
      </c>
      <c r="Y86" s="191">
        <v>30</v>
      </c>
      <c r="Z86" s="191">
        <v>9</v>
      </c>
      <c r="AA86" s="191">
        <v>10</v>
      </c>
      <c r="AB86" s="191">
        <v>7</v>
      </c>
      <c r="AC86" s="191">
        <v>6</v>
      </c>
      <c r="AD86" s="191">
        <v>12</v>
      </c>
      <c r="AE86" s="191">
        <v>4</v>
      </c>
      <c r="AF86" s="190">
        <v>5</v>
      </c>
      <c r="AG86" s="189">
        <f t="shared" si="5"/>
        <v>221</v>
      </c>
      <c r="AI86" s="405"/>
    </row>
    <row r="87" spans="1:35" ht="19.5" thickBot="1" x14ac:dyDescent="0.3">
      <c r="A87" s="312" t="s">
        <v>114</v>
      </c>
      <c r="B87" s="260">
        <f t="shared" ref="B87:AF87" si="12">SUM(B88:B92)</f>
        <v>3</v>
      </c>
      <c r="C87" s="187">
        <f t="shared" si="12"/>
        <v>1</v>
      </c>
      <c r="D87" s="187">
        <f t="shared" si="12"/>
        <v>8</v>
      </c>
      <c r="E87" s="187">
        <f t="shared" si="12"/>
        <v>3</v>
      </c>
      <c r="F87" s="187">
        <f t="shared" si="12"/>
        <v>8</v>
      </c>
      <c r="G87" s="187">
        <f t="shared" si="12"/>
        <v>7</v>
      </c>
      <c r="H87" s="187">
        <f t="shared" si="12"/>
        <v>3</v>
      </c>
      <c r="I87" s="187">
        <f t="shared" si="12"/>
        <v>4</v>
      </c>
      <c r="J87" s="187">
        <f t="shared" si="12"/>
        <v>4</v>
      </c>
      <c r="K87" s="187">
        <f t="shared" si="12"/>
        <v>10</v>
      </c>
      <c r="L87" s="187">
        <f t="shared" si="12"/>
        <v>9</v>
      </c>
      <c r="M87" s="187">
        <f t="shared" si="12"/>
        <v>6</v>
      </c>
      <c r="N87" s="187">
        <f t="shared" si="12"/>
        <v>9</v>
      </c>
      <c r="O87" s="187">
        <f t="shared" si="12"/>
        <v>6</v>
      </c>
      <c r="P87" s="187">
        <f t="shared" si="12"/>
        <v>5</v>
      </c>
      <c r="Q87" s="187">
        <f t="shared" si="12"/>
        <v>7</v>
      </c>
      <c r="R87" s="187">
        <f t="shared" si="12"/>
        <v>15</v>
      </c>
      <c r="S87" s="187">
        <f t="shared" si="12"/>
        <v>8</v>
      </c>
      <c r="T87" s="187">
        <f t="shared" si="12"/>
        <v>9</v>
      </c>
      <c r="U87" s="187">
        <f t="shared" si="12"/>
        <v>10</v>
      </c>
      <c r="V87" s="187">
        <f t="shared" si="12"/>
        <v>3</v>
      </c>
      <c r="W87" s="187">
        <f t="shared" si="12"/>
        <v>9</v>
      </c>
      <c r="X87" s="187">
        <f t="shared" si="12"/>
        <v>4</v>
      </c>
      <c r="Y87" s="187">
        <f t="shared" si="12"/>
        <v>33</v>
      </c>
      <c r="Z87" s="187">
        <f t="shared" si="12"/>
        <v>10</v>
      </c>
      <c r="AA87" s="187">
        <f t="shared" si="12"/>
        <v>10</v>
      </c>
      <c r="AB87" s="187">
        <f t="shared" si="12"/>
        <v>7</v>
      </c>
      <c r="AC87" s="187">
        <f t="shared" si="12"/>
        <v>6</v>
      </c>
      <c r="AD87" s="187">
        <f t="shared" si="12"/>
        <v>14</v>
      </c>
      <c r="AE87" s="187">
        <f t="shared" si="12"/>
        <v>4</v>
      </c>
      <c r="AF87" s="187">
        <f t="shared" si="12"/>
        <v>5</v>
      </c>
      <c r="AG87" s="186">
        <f t="shared" si="5"/>
        <v>240</v>
      </c>
      <c r="AH87" s="185" t="str">
        <f>IF(AG87&lt;&gt;AG84,"*","")</f>
        <v/>
      </c>
    </row>
    <row r="88" spans="1:35" ht="18.75" x14ac:dyDescent="0.25">
      <c r="A88" s="313" t="s">
        <v>113</v>
      </c>
      <c r="B88" s="253"/>
      <c r="C88" s="184"/>
      <c r="D88" s="184">
        <v>4</v>
      </c>
      <c r="E88" s="184">
        <v>1</v>
      </c>
      <c r="F88" s="184">
        <v>6</v>
      </c>
      <c r="G88" s="184">
        <v>5</v>
      </c>
      <c r="H88" s="184">
        <v>3</v>
      </c>
      <c r="I88" s="184">
        <v>2</v>
      </c>
      <c r="J88" s="184">
        <v>1</v>
      </c>
      <c r="K88" s="184">
        <v>3</v>
      </c>
      <c r="L88" s="184">
        <v>3</v>
      </c>
      <c r="M88" s="184">
        <v>5</v>
      </c>
      <c r="N88" s="184">
        <v>3</v>
      </c>
      <c r="O88" s="184">
        <v>2</v>
      </c>
      <c r="P88" s="184">
        <v>2</v>
      </c>
      <c r="Q88" s="184">
        <v>4</v>
      </c>
      <c r="R88" s="184">
        <v>7</v>
      </c>
      <c r="S88" s="184">
        <v>5</v>
      </c>
      <c r="T88" s="184">
        <v>4</v>
      </c>
      <c r="U88" s="184">
        <v>7</v>
      </c>
      <c r="V88" s="184">
        <v>1</v>
      </c>
      <c r="W88" s="184">
        <v>5</v>
      </c>
      <c r="X88" s="184"/>
      <c r="Y88" s="184">
        <v>19</v>
      </c>
      <c r="Z88" s="184">
        <v>4</v>
      </c>
      <c r="AA88" s="184">
        <v>9</v>
      </c>
      <c r="AB88" s="184">
        <v>4</v>
      </c>
      <c r="AC88" s="184">
        <v>5</v>
      </c>
      <c r="AD88" s="184">
        <v>7</v>
      </c>
      <c r="AE88" s="184">
        <v>4</v>
      </c>
      <c r="AF88" s="183">
        <v>2</v>
      </c>
      <c r="AG88" s="134">
        <f t="shared" si="5"/>
        <v>127</v>
      </c>
    </row>
    <row r="89" spans="1:35" ht="18.75" x14ac:dyDescent="0.25">
      <c r="A89" s="314" t="s">
        <v>16</v>
      </c>
      <c r="B89" s="252"/>
      <c r="C89" s="181"/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  <c r="AA89" s="181"/>
      <c r="AB89" s="181"/>
      <c r="AC89" s="181"/>
      <c r="AD89" s="181"/>
      <c r="AE89" s="181"/>
      <c r="AF89" s="180"/>
      <c r="AG89" s="64">
        <f t="shared" si="5"/>
        <v>0</v>
      </c>
    </row>
    <row r="90" spans="1:35" ht="18.75" x14ac:dyDescent="0.25">
      <c r="A90" s="314" t="s">
        <v>15</v>
      </c>
      <c r="B90" s="252"/>
      <c r="C90" s="181"/>
      <c r="D90" s="181"/>
      <c r="E90" s="181"/>
      <c r="F90" s="181"/>
      <c r="G90" s="181"/>
      <c r="H90" s="181"/>
      <c r="I90" s="181"/>
      <c r="J90" s="181">
        <v>1</v>
      </c>
      <c r="K90" s="181">
        <v>1</v>
      </c>
      <c r="L90" s="181"/>
      <c r="M90" s="181"/>
      <c r="N90" s="181"/>
      <c r="O90" s="181"/>
      <c r="P90" s="181"/>
      <c r="Q90" s="181"/>
      <c r="R90" s="181">
        <v>3</v>
      </c>
      <c r="S90" s="181"/>
      <c r="T90" s="181">
        <v>1</v>
      </c>
      <c r="U90" s="181"/>
      <c r="V90" s="181"/>
      <c r="W90" s="181"/>
      <c r="X90" s="181"/>
      <c r="Y90" s="181"/>
      <c r="Z90" s="181"/>
      <c r="AA90" s="181"/>
      <c r="AB90" s="181"/>
      <c r="AC90" s="181"/>
      <c r="AD90" s="181"/>
      <c r="AE90" s="181"/>
      <c r="AF90" s="180"/>
      <c r="AG90" s="64">
        <f t="shared" si="5"/>
        <v>6</v>
      </c>
    </row>
    <row r="91" spans="1:35" ht="18.75" x14ac:dyDescent="0.25">
      <c r="A91" s="314" t="s">
        <v>14</v>
      </c>
      <c r="B91" s="252">
        <v>1</v>
      </c>
      <c r="C91" s="181">
        <v>1</v>
      </c>
      <c r="D91" s="181">
        <v>2</v>
      </c>
      <c r="E91" s="181">
        <v>1</v>
      </c>
      <c r="F91" s="181">
        <v>2</v>
      </c>
      <c r="G91" s="181">
        <v>1</v>
      </c>
      <c r="H91" s="181"/>
      <c r="I91" s="181">
        <v>2</v>
      </c>
      <c r="J91" s="181">
        <v>2</v>
      </c>
      <c r="K91" s="181">
        <v>2</v>
      </c>
      <c r="L91" s="181">
        <v>5</v>
      </c>
      <c r="M91" s="181">
        <v>1</v>
      </c>
      <c r="N91" s="181">
        <v>3</v>
      </c>
      <c r="O91" s="181">
        <v>4</v>
      </c>
      <c r="P91" s="181"/>
      <c r="Q91" s="181">
        <v>2</v>
      </c>
      <c r="R91" s="181">
        <v>1</v>
      </c>
      <c r="S91" s="181">
        <v>2</v>
      </c>
      <c r="T91" s="181">
        <v>3</v>
      </c>
      <c r="U91" s="181">
        <v>1</v>
      </c>
      <c r="V91" s="181">
        <v>1</v>
      </c>
      <c r="W91" s="181">
        <v>1</v>
      </c>
      <c r="X91" s="181">
        <v>1</v>
      </c>
      <c r="Y91" s="181">
        <v>11</v>
      </c>
      <c r="Z91" s="181">
        <v>6</v>
      </c>
      <c r="AA91" s="181"/>
      <c r="AB91" s="181">
        <v>2</v>
      </c>
      <c r="AC91" s="181">
        <v>1</v>
      </c>
      <c r="AD91" s="181">
        <v>6</v>
      </c>
      <c r="AE91" s="181"/>
      <c r="AF91" s="180">
        <v>2</v>
      </c>
      <c r="AG91" s="64">
        <f t="shared" si="5"/>
        <v>67</v>
      </c>
    </row>
    <row r="92" spans="1:35" ht="19.5" thickBot="1" x14ac:dyDescent="0.3">
      <c r="A92" s="314" t="s">
        <v>13</v>
      </c>
      <c r="B92" s="252">
        <v>2</v>
      </c>
      <c r="C92" s="181"/>
      <c r="D92" s="181">
        <v>2</v>
      </c>
      <c r="E92" s="181">
        <v>1</v>
      </c>
      <c r="F92" s="181"/>
      <c r="G92" s="181">
        <v>1</v>
      </c>
      <c r="H92" s="181"/>
      <c r="I92" s="181"/>
      <c r="J92" s="181"/>
      <c r="K92" s="181">
        <v>4</v>
      </c>
      <c r="L92" s="181">
        <v>1</v>
      </c>
      <c r="M92" s="181"/>
      <c r="N92" s="181">
        <v>3</v>
      </c>
      <c r="O92" s="181"/>
      <c r="P92" s="181">
        <v>3</v>
      </c>
      <c r="Q92" s="181">
        <v>1</v>
      </c>
      <c r="R92" s="181">
        <v>4</v>
      </c>
      <c r="S92" s="181">
        <v>1</v>
      </c>
      <c r="T92" s="181">
        <v>1</v>
      </c>
      <c r="U92" s="181">
        <v>2</v>
      </c>
      <c r="V92" s="181">
        <v>1</v>
      </c>
      <c r="W92" s="181">
        <v>3</v>
      </c>
      <c r="X92" s="181">
        <v>3</v>
      </c>
      <c r="Y92" s="181">
        <v>3</v>
      </c>
      <c r="Z92" s="181"/>
      <c r="AA92" s="181">
        <v>1</v>
      </c>
      <c r="AB92" s="181">
        <v>1</v>
      </c>
      <c r="AC92" s="181"/>
      <c r="AD92" s="181">
        <v>1</v>
      </c>
      <c r="AE92" s="181"/>
      <c r="AF92" s="180">
        <v>1</v>
      </c>
      <c r="AG92" s="64">
        <f t="shared" si="5"/>
        <v>40</v>
      </c>
    </row>
    <row r="93" spans="1:35" ht="18.75" x14ac:dyDescent="0.25">
      <c r="A93" s="315" t="s">
        <v>112</v>
      </c>
      <c r="B93" s="261">
        <f t="shared" ref="B93:AF93" si="13">+B94+B100</f>
        <v>114</v>
      </c>
      <c r="C93" s="166">
        <f t="shared" si="13"/>
        <v>110</v>
      </c>
      <c r="D93" s="166">
        <f t="shared" si="13"/>
        <v>127</v>
      </c>
      <c r="E93" s="166">
        <f t="shared" si="13"/>
        <v>137</v>
      </c>
      <c r="F93" s="166">
        <f t="shared" si="13"/>
        <v>110</v>
      </c>
      <c r="G93" s="166">
        <f t="shared" si="13"/>
        <v>132</v>
      </c>
      <c r="H93" s="166">
        <f t="shared" si="13"/>
        <v>103</v>
      </c>
      <c r="I93" s="166">
        <f t="shared" si="13"/>
        <v>136</v>
      </c>
      <c r="J93" s="166">
        <f t="shared" si="13"/>
        <v>120</v>
      </c>
      <c r="K93" s="166">
        <f t="shared" si="13"/>
        <v>129</v>
      </c>
      <c r="L93" s="166">
        <f t="shared" si="13"/>
        <v>114</v>
      </c>
      <c r="M93" s="166">
        <f t="shared" si="13"/>
        <v>122</v>
      </c>
      <c r="N93" s="166">
        <f t="shared" si="13"/>
        <v>141</v>
      </c>
      <c r="O93" s="166">
        <f t="shared" si="13"/>
        <v>125</v>
      </c>
      <c r="P93" s="166">
        <f t="shared" si="13"/>
        <v>135</v>
      </c>
      <c r="Q93" s="166">
        <f t="shared" si="13"/>
        <v>150</v>
      </c>
      <c r="R93" s="166">
        <f t="shared" si="13"/>
        <v>174</v>
      </c>
      <c r="S93" s="166">
        <f t="shared" si="13"/>
        <v>133</v>
      </c>
      <c r="T93" s="166">
        <f t="shared" si="13"/>
        <v>129</v>
      </c>
      <c r="U93" s="166">
        <f t="shared" si="13"/>
        <v>148</v>
      </c>
      <c r="V93" s="166">
        <f t="shared" si="13"/>
        <v>148</v>
      </c>
      <c r="W93" s="166">
        <f t="shared" si="13"/>
        <v>156</v>
      </c>
      <c r="X93" s="166">
        <f t="shared" si="13"/>
        <v>187</v>
      </c>
      <c r="Y93" s="166">
        <f t="shared" si="13"/>
        <v>190</v>
      </c>
      <c r="Z93" s="166">
        <f t="shared" si="13"/>
        <v>156</v>
      </c>
      <c r="AA93" s="166">
        <f t="shared" si="13"/>
        <v>176</v>
      </c>
      <c r="AB93" s="166">
        <f t="shared" si="13"/>
        <v>144</v>
      </c>
      <c r="AC93" s="166">
        <f t="shared" si="13"/>
        <v>148</v>
      </c>
      <c r="AD93" s="166">
        <f t="shared" si="13"/>
        <v>164</v>
      </c>
      <c r="AE93" s="166">
        <f t="shared" si="13"/>
        <v>148</v>
      </c>
      <c r="AF93" s="165">
        <f t="shared" si="13"/>
        <v>154</v>
      </c>
      <c r="AG93" s="164">
        <f t="shared" si="5"/>
        <v>4360</v>
      </c>
      <c r="AH93" s="179" t="str">
        <f>IF(AG93&lt;&gt;AG28,"*","")</f>
        <v/>
      </c>
    </row>
    <row r="94" spans="1:35" ht="18.75" x14ac:dyDescent="0.25">
      <c r="A94" s="66" t="s">
        <v>111</v>
      </c>
      <c r="B94" s="262">
        <f t="shared" ref="B94:AF94" si="14">SUM(B95:B99)</f>
        <v>6</v>
      </c>
      <c r="C94" s="68">
        <f t="shared" si="14"/>
        <v>4</v>
      </c>
      <c r="D94" s="68">
        <f t="shared" si="14"/>
        <v>9</v>
      </c>
      <c r="E94" s="68">
        <f t="shared" si="14"/>
        <v>9</v>
      </c>
      <c r="F94" s="68">
        <f t="shared" si="14"/>
        <v>7</v>
      </c>
      <c r="G94" s="68">
        <f t="shared" si="14"/>
        <v>6</v>
      </c>
      <c r="H94" s="68">
        <f t="shared" si="14"/>
        <v>6</v>
      </c>
      <c r="I94" s="68">
        <f t="shared" si="14"/>
        <v>11</v>
      </c>
      <c r="J94" s="68">
        <f t="shared" si="14"/>
        <v>7</v>
      </c>
      <c r="K94" s="68">
        <f t="shared" si="14"/>
        <v>9</v>
      </c>
      <c r="L94" s="68">
        <f t="shared" si="14"/>
        <v>6</v>
      </c>
      <c r="M94" s="68">
        <f t="shared" si="14"/>
        <v>7</v>
      </c>
      <c r="N94" s="68">
        <f t="shared" si="14"/>
        <v>9</v>
      </c>
      <c r="O94" s="68">
        <f t="shared" si="14"/>
        <v>6</v>
      </c>
      <c r="P94" s="68">
        <f t="shared" si="14"/>
        <v>7</v>
      </c>
      <c r="Q94" s="68">
        <f t="shared" si="14"/>
        <v>13</v>
      </c>
      <c r="R94" s="68">
        <f t="shared" si="14"/>
        <v>10</v>
      </c>
      <c r="S94" s="68">
        <f t="shared" si="14"/>
        <v>14</v>
      </c>
      <c r="T94" s="68">
        <f t="shared" si="14"/>
        <v>6</v>
      </c>
      <c r="U94" s="68">
        <f t="shared" si="14"/>
        <v>6</v>
      </c>
      <c r="V94" s="68">
        <f t="shared" si="14"/>
        <v>10</v>
      </c>
      <c r="W94" s="68">
        <f t="shared" si="14"/>
        <v>16</v>
      </c>
      <c r="X94" s="68">
        <f t="shared" si="14"/>
        <v>17</v>
      </c>
      <c r="Y94" s="68">
        <f t="shared" si="14"/>
        <v>3</v>
      </c>
      <c r="Z94" s="68">
        <f t="shared" si="14"/>
        <v>5</v>
      </c>
      <c r="AA94" s="68">
        <f t="shared" si="14"/>
        <v>12</v>
      </c>
      <c r="AB94" s="68">
        <f t="shared" si="14"/>
        <v>5</v>
      </c>
      <c r="AC94" s="68">
        <f t="shared" si="14"/>
        <v>6</v>
      </c>
      <c r="AD94" s="68">
        <f t="shared" si="14"/>
        <v>14</v>
      </c>
      <c r="AE94" s="68">
        <f t="shared" si="14"/>
        <v>8</v>
      </c>
      <c r="AF94" s="67">
        <f t="shared" si="14"/>
        <v>7</v>
      </c>
      <c r="AG94" s="64">
        <f t="shared" si="5"/>
        <v>261</v>
      </c>
    </row>
    <row r="95" spans="1:35" ht="18.75" x14ac:dyDescent="0.25">
      <c r="A95" s="316" t="s">
        <v>110</v>
      </c>
      <c r="B95" s="249">
        <v>1</v>
      </c>
      <c r="C95" s="162"/>
      <c r="D95" s="162"/>
      <c r="E95" s="162"/>
      <c r="F95" s="162"/>
      <c r="G95" s="162"/>
      <c r="H95" s="162"/>
      <c r="I95" s="162"/>
      <c r="J95" s="162">
        <v>1</v>
      </c>
      <c r="K95" s="162"/>
      <c r="L95" s="162"/>
      <c r="M95" s="162"/>
      <c r="N95" s="162"/>
      <c r="O95" s="162">
        <v>1</v>
      </c>
      <c r="P95" s="162">
        <v>1</v>
      </c>
      <c r="Q95" s="162"/>
      <c r="R95" s="162"/>
      <c r="S95" s="162">
        <v>1</v>
      </c>
      <c r="T95" s="162"/>
      <c r="U95" s="162"/>
      <c r="V95" s="162"/>
      <c r="W95" s="162"/>
      <c r="X95" s="162">
        <v>1</v>
      </c>
      <c r="Y95" s="162"/>
      <c r="Z95" s="162"/>
      <c r="AA95" s="162"/>
      <c r="AB95" s="162"/>
      <c r="AC95" s="162"/>
      <c r="AD95" s="162"/>
      <c r="AE95" s="162"/>
      <c r="AF95" s="161"/>
      <c r="AG95" s="64">
        <f t="shared" si="5"/>
        <v>6</v>
      </c>
    </row>
    <row r="96" spans="1:35" ht="18.75" x14ac:dyDescent="0.25">
      <c r="A96" s="317" t="s">
        <v>109</v>
      </c>
      <c r="B96" s="249"/>
      <c r="C96" s="162"/>
      <c r="D96" s="162"/>
      <c r="E96" s="162"/>
      <c r="F96" s="162"/>
      <c r="G96" s="162"/>
      <c r="H96" s="162"/>
      <c r="I96" s="162">
        <v>1</v>
      </c>
      <c r="J96" s="162">
        <v>1</v>
      </c>
      <c r="K96" s="162">
        <v>1</v>
      </c>
      <c r="L96" s="162"/>
      <c r="M96" s="162">
        <v>1</v>
      </c>
      <c r="N96" s="162"/>
      <c r="O96" s="162">
        <v>1</v>
      </c>
      <c r="P96" s="162"/>
      <c r="Q96" s="162"/>
      <c r="R96" s="162"/>
      <c r="S96" s="176"/>
      <c r="T96" s="162"/>
      <c r="U96" s="162">
        <v>1</v>
      </c>
      <c r="V96" s="162">
        <v>3</v>
      </c>
      <c r="W96" s="162">
        <v>1</v>
      </c>
      <c r="X96" s="162">
        <v>2</v>
      </c>
      <c r="Y96" s="162"/>
      <c r="Z96" s="162"/>
      <c r="AA96" s="162"/>
      <c r="AB96" s="162"/>
      <c r="AC96" s="162"/>
      <c r="AD96" s="162">
        <v>1</v>
      </c>
      <c r="AE96" s="162"/>
      <c r="AF96" s="161"/>
      <c r="AG96" s="64">
        <f t="shared" si="5"/>
        <v>13</v>
      </c>
    </row>
    <row r="97" spans="1:33" ht="18.75" x14ac:dyDescent="0.25">
      <c r="A97" s="318" t="s">
        <v>108</v>
      </c>
      <c r="B97" s="249"/>
      <c r="C97" s="162">
        <v>1</v>
      </c>
      <c r="D97" s="162">
        <v>1</v>
      </c>
      <c r="E97" s="162">
        <v>1</v>
      </c>
      <c r="F97" s="162"/>
      <c r="G97" s="162">
        <v>2</v>
      </c>
      <c r="H97" s="162">
        <v>1</v>
      </c>
      <c r="I97" s="162">
        <v>1</v>
      </c>
      <c r="J97" s="162"/>
      <c r="K97" s="162">
        <v>1</v>
      </c>
      <c r="L97" s="162">
        <v>1</v>
      </c>
      <c r="M97" s="162"/>
      <c r="N97" s="162"/>
      <c r="O97" s="162">
        <v>1</v>
      </c>
      <c r="P97" s="162">
        <v>2</v>
      </c>
      <c r="Q97" s="162">
        <v>2</v>
      </c>
      <c r="R97" s="162">
        <v>2</v>
      </c>
      <c r="S97" s="162"/>
      <c r="T97" s="162"/>
      <c r="U97" s="162">
        <v>1</v>
      </c>
      <c r="V97" s="162">
        <v>2</v>
      </c>
      <c r="W97" s="162">
        <v>3</v>
      </c>
      <c r="X97" s="162">
        <v>1</v>
      </c>
      <c r="Y97" s="162">
        <v>1</v>
      </c>
      <c r="Z97" s="162"/>
      <c r="AA97" s="162">
        <v>3</v>
      </c>
      <c r="AB97" s="162">
        <v>3</v>
      </c>
      <c r="AC97" s="162">
        <v>2</v>
      </c>
      <c r="AD97" s="162">
        <v>4</v>
      </c>
      <c r="AE97" s="162"/>
      <c r="AF97" s="161"/>
      <c r="AG97" s="64">
        <f t="shared" si="5"/>
        <v>36</v>
      </c>
    </row>
    <row r="98" spans="1:33" ht="18.75" x14ac:dyDescent="0.25">
      <c r="A98" s="319" t="s">
        <v>107</v>
      </c>
      <c r="B98" s="249">
        <v>1</v>
      </c>
      <c r="C98" s="162">
        <v>2</v>
      </c>
      <c r="D98" s="162"/>
      <c r="E98" s="162">
        <v>4</v>
      </c>
      <c r="F98" s="162">
        <v>3</v>
      </c>
      <c r="G98" s="162">
        <v>2</v>
      </c>
      <c r="H98" s="162">
        <v>2</v>
      </c>
      <c r="I98" s="162">
        <v>5</v>
      </c>
      <c r="J98" s="162">
        <v>2</v>
      </c>
      <c r="K98" s="162">
        <v>4</v>
      </c>
      <c r="L98" s="162">
        <v>1</v>
      </c>
      <c r="M98" s="162"/>
      <c r="N98" s="162">
        <v>3</v>
      </c>
      <c r="O98" s="162"/>
      <c r="P98" s="162">
        <v>1</v>
      </c>
      <c r="Q98" s="162">
        <v>8</v>
      </c>
      <c r="R98" s="162">
        <v>2</v>
      </c>
      <c r="S98" s="162">
        <v>2</v>
      </c>
      <c r="T98" s="162">
        <v>4</v>
      </c>
      <c r="U98" s="162">
        <v>2</v>
      </c>
      <c r="V98" s="162">
        <v>3</v>
      </c>
      <c r="W98" s="162">
        <v>7</v>
      </c>
      <c r="X98" s="162">
        <v>8</v>
      </c>
      <c r="Y98" s="162"/>
      <c r="Z98" s="162">
        <v>1</v>
      </c>
      <c r="AA98" s="162">
        <v>2</v>
      </c>
      <c r="AB98" s="162"/>
      <c r="AC98" s="162">
        <v>1</v>
      </c>
      <c r="AD98" s="162">
        <v>4</v>
      </c>
      <c r="AE98" s="162">
        <v>3</v>
      </c>
      <c r="AF98" s="161">
        <v>2</v>
      </c>
      <c r="AG98" s="64">
        <f t="shared" si="5"/>
        <v>79</v>
      </c>
    </row>
    <row r="99" spans="1:33" ht="18.75" x14ac:dyDescent="0.25">
      <c r="A99" s="320" t="s">
        <v>106</v>
      </c>
      <c r="B99" s="249">
        <v>4</v>
      </c>
      <c r="C99" s="162">
        <v>1</v>
      </c>
      <c r="D99" s="162">
        <v>8</v>
      </c>
      <c r="E99" s="162">
        <v>4</v>
      </c>
      <c r="F99" s="162">
        <v>4</v>
      </c>
      <c r="G99" s="162">
        <v>2</v>
      </c>
      <c r="H99" s="162">
        <v>3</v>
      </c>
      <c r="I99" s="162">
        <v>4</v>
      </c>
      <c r="J99" s="162">
        <v>3</v>
      </c>
      <c r="K99" s="162">
        <v>3</v>
      </c>
      <c r="L99" s="162">
        <v>4</v>
      </c>
      <c r="M99" s="162">
        <v>6</v>
      </c>
      <c r="N99" s="162">
        <v>6</v>
      </c>
      <c r="O99" s="162">
        <v>3</v>
      </c>
      <c r="P99" s="162">
        <v>3</v>
      </c>
      <c r="Q99" s="162">
        <v>3</v>
      </c>
      <c r="R99" s="162">
        <v>6</v>
      </c>
      <c r="S99" s="162">
        <v>11</v>
      </c>
      <c r="T99" s="162">
        <v>2</v>
      </c>
      <c r="U99" s="162">
        <v>2</v>
      </c>
      <c r="V99" s="162">
        <v>2</v>
      </c>
      <c r="W99" s="162">
        <v>5</v>
      </c>
      <c r="X99" s="162">
        <v>5</v>
      </c>
      <c r="Y99" s="162">
        <v>2</v>
      </c>
      <c r="Z99" s="162">
        <v>4</v>
      </c>
      <c r="AA99" s="162">
        <v>7</v>
      </c>
      <c r="AB99" s="162">
        <v>2</v>
      </c>
      <c r="AC99" s="162">
        <v>3</v>
      </c>
      <c r="AD99" s="162">
        <v>5</v>
      </c>
      <c r="AE99" s="162">
        <v>5</v>
      </c>
      <c r="AF99" s="161">
        <v>5</v>
      </c>
      <c r="AG99" s="64">
        <f t="shared" ref="AG99:AG130" si="15">SUM(B99:AF99)</f>
        <v>127</v>
      </c>
    </row>
    <row r="100" spans="1:33" ht="18.75" x14ac:dyDescent="0.25">
      <c r="A100" s="66" t="s">
        <v>105</v>
      </c>
      <c r="B100" s="262">
        <f t="shared" ref="B100:AF100" si="16">SUM(B101:B115)</f>
        <v>108</v>
      </c>
      <c r="C100" s="68">
        <f t="shared" si="16"/>
        <v>106</v>
      </c>
      <c r="D100" s="68">
        <f t="shared" si="16"/>
        <v>118</v>
      </c>
      <c r="E100" s="68">
        <f t="shared" si="16"/>
        <v>128</v>
      </c>
      <c r="F100" s="68">
        <f t="shared" si="16"/>
        <v>103</v>
      </c>
      <c r="G100" s="68">
        <f t="shared" si="16"/>
        <v>126</v>
      </c>
      <c r="H100" s="68">
        <f t="shared" si="16"/>
        <v>97</v>
      </c>
      <c r="I100" s="68">
        <f t="shared" si="16"/>
        <v>125</v>
      </c>
      <c r="J100" s="68">
        <f t="shared" si="16"/>
        <v>113</v>
      </c>
      <c r="K100" s="68">
        <f t="shared" si="16"/>
        <v>120</v>
      </c>
      <c r="L100" s="68">
        <f t="shared" si="16"/>
        <v>108</v>
      </c>
      <c r="M100" s="68">
        <f t="shared" si="16"/>
        <v>115</v>
      </c>
      <c r="N100" s="68">
        <f t="shared" si="16"/>
        <v>132</v>
      </c>
      <c r="O100" s="68">
        <f t="shared" si="16"/>
        <v>119</v>
      </c>
      <c r="P100" s="68">
        <f t="shared" si="16"/>
        <v>128</v>
      </c>
      <c r="Q100" s="68">
        <f t="shared" si="16"/>
        <v>137</v>
      </c>
      <c r="R100" s="68">
        <f t="shared" si="16"/>
        <v>164</v>
      </c>
      <c r="S100" s="68">
        <f t="shared" si="16"/>
        <v>119</v>
      </c>
      <c r="T100" s="68">
        <f t="shared" si="16"/>
        <v>123</v>
      </c>
      <c r="U100" s="68">
        <f t="shared" si="16"/>
        <v>142</v>
      </c>
      <c r="V100" s="68">
        <f t="shared" si="16"/>
        <v>138</v>
      </c>
      <c r="W100" s="68">
        <f t="shared" si="16"/>
        <v>140</v>
      </c>
      <c r="X100" s="68">
        <f t="shared" si="16"/>
        <v>170</v>
      </c>
      <c r="Y100" s="68">
        <f t="shared" si="16"/>
        <v>187</v>
      </c>
      <c r="Z100" s="68">
        <f t="shared" si="16"/>
        <v>151</v>
      </c>
      <c r="AA100" s="68">
        <f t="shared" si="16"/>
        <v>164</v>
      </c>
      <c r="AB100" s="68">
        <f t="shared" si="16"/>
        <v>139</v>
      </c>
      <c r="AC100" s="68">
        <f t="shared" si="16"/>
        <v>142</v>
      </c>
      <c r="AD100" s="68">
        <f t="shared" si="16"/>
        <v>150</v>
      </c>
      <c r="AE100" s="68">
        <f t="shared" si="16"/>
        <v>140</v>
      </c>
      <c r="AF100" s="67">
        <f t="shared" si="16"/>
        <v>147</v>
      </c>
      <c r="AG100" s="64">
        <f t="shared" si="15"/>
        <v>4099</v>
      </c>
    </row>
    <row r="101" spans="1:33" ht="18.75" x14ac:dyDescent="0.25">
      <c r="A101" s="320" t="s">
        <v>104</v>
      </c>
      <c r="B101" s="249">
        <v>15</v>
      </c>
      <c r="C101" s="162">
        <v>9</v>
      </c>
      <c r="D101" s="162">
        <v>11</v>
      </c>
      <c r="E101" s="162">
        <v>8</v>
      </c>
      <c r="F101" s="162">
        <v>3</v>
      </c>
      <c r="G101" s="162">
        <v>8</v>
      </c>
      <c r="H101" s="162">
        <v>5</v>
      </c>
      <c r="I101" s="162">
        <v>2</v>
      </c>
      <c r="J101" s="162">
        <v>7</v>
      </c>
      <c r="K101" s="162">
        <v>7</v>
      </c>
      <c r="L101" s="162">
        <v>6</v>
      </c>
      <c r="M101" s="162">
        <v>5</v>
      </c>
      <c r="N101" s="162">
        <v>6</v>
      </c>
      <c r="O101" s="162">
        <v>4</v>
      </c>
      <c r="P101" s="162">
        <v>10</v>
      </c>
      <c r="Q101" s="162">
        <v>4</v>
      </c>
      <c r="R101" s="162">
        <v>5</v>
      </c>
      <c r="S101" s="162">
        <v>10</v>
      </c>
      <c r="T101" s="162">
        <v>7</v>
      </c>
      <c r="U101" s="162">
        <v>8</v>
      </c>
      <c r="V101" s="162">
        <v>17</v>
      </c>
      <c r="W101" s="162">
        <v>6</v>
      </c>
      <c r="X101" s="162">
        <v>7</v>
      </c>
      <c r="Y101" s="162">
        <v>16</v>
      </c>
      <c r="Z101" s="162">
        <v>6</v>
      </c>
      <c r="AA101" s="162">
        <v>14</v>
      </c>
      <c r="AB101" s="162">
        <v>13</v>
      </c>
      <c r="AC101" s="162">
        <v>8</v>
      </c>
      <c r="AD101" s="162">
        <v>10</v>
      </c>
      <c r="AE101" s="162">
        <v>11</v>
      </c>
      <c r="AF101" s="161">
        <v>9</v>
      </c>
      <c r="AG101" s="64">
        <f t="shared" si="15"/>
        <v>257</v>
      </c>
    </row>
    <row r="102" spans="1:33" ht="18.75" x14ac:dyDescent="0.25">
      <c r="A102" s="320" t="s">
        <v>103</v>
      </c>
      <c r="B102" s="249">
        <v>12</v>
      </c>
      <c r="C102" s="162">
        <v>11</v>
      </c>
      <c r="D102" s="162">
        <v>17</v>
      </c>
      <c r="E102" s="162">
        <v>14</v>
      </c>
      <c r="F102" s="162">
        <v>12</v>
      </c>
      <c r="G102" s="162">
        <v>19</v>
      </c>
      <c r="H102" s="162">
        <v>9</v>
      </c>
      <c r="I102" s="162">
        <v>9</v>
      </c>
      <c r="J102" s="162">
        <v>12</v>
      </c>
      <c r="K102" s="162">
        <v>17</v>
      </c>
      <c r="L102" s="162">
        <v>17</v>
      </c>
      <c r="M102" s="162">
        <v>14</v>
      </c>
      <c r="N102" s="162">
        <v>15</v>
      </c>
      <c r="O102" s="162">
        <v>14</v>
      </c>
      <c r="P102" s="162">
        <v>10</v>
      </c>
      <c r="Q102" s="162">
        <v>13</v>
      </c>
      <c r="R102" s="162">
        <v>21</v>
      </c>
      <c r="S102" s="162">
        <v>17</v>
      </c>
      <c r="T102" s="162">
        <v>13</v>
      </c>
      <c r="U102" s="162">
        <v>22</v>
      </c>
      <c r="V102" s="162">
        <v>15</v>
      </c>
      <c r="W102" s="162">
        <v>15</v>
      </c>
      <c r="X102" s="162">
        <v>23</v>
      </c>
      <c r="Y102" s="162">
        <v>21</v>
      </c>
      <c r="Z102" s="162">
        <v>27</v>
      </c>
      <c r="AA102" s="162">
        <v>21</v>
      </c>
      <c r="AB102" s="162">
        <v>22</v>
      </c>
      <c r="AC102" s="162">
        <v>16</v>
      </c>
      <c r="AD102" s="162">
        <v>14</v>
      </c>
      <c r="AE102" s="162">
        <v>16</v>
      </c>
      <c r="AF102" s="161">
        <v>17</v>
      </c>
      <c r="AG102" s="64">
        <f t="shared" si="15"/>
        <v>495</v>
      </c>
    </row>
    <row r="103" spans="1:33" ht="18.75" x14ac:dyDescent="0.25">
      <c r="A103" s="321" t="s">
        <v>102</v>
      </c>
      <c r="B103" s="249">
        <v>13</v>
      </c>
      <c r="C103" s="162">
        <v>8</v>
      </c>
      <c r="D103" s="162">
        <v>8</v>
      </c>
      <c r="E103" s="162">
        <v>12</v>
      </c>
      <c r="F103" s="162">
        <v>11</v>
      </c>
      <c r="G103" s="162">
        <v>14</v>
      </c>
      <c r="H103" s="162">
        <v>14</v>
      </c>
      <c r="I103" s="162">
        <v>15</v>
      </c>
      <c r="J103" s="162">
        <v>12</v>
      </c>
      <c r="K103" s="162">
        <v>14</v>
      </c>
      <c r="L103" s="162">
        <v>16</v>
      </c>
      <c r="M103" s="162">
        <v>14</v>
      </c>
      <c r="N103" s="162">
        <v>15</v>
      </c>
      <c r="O103" s="162">
        <v>10</v>
      </c>
      <c r="P103" s="162">
        <v>25</v>
      </c>
      <c r="Q103" s="162">
        <v>12</v>
      </c>
      <c r="R103" s="162">
        <v>29</v>
      </c>
      <c r="S103" s="162">
        <v>13</v>
      </c>
      <c r="T103" s="162">
        <v>17</v>
      </c>
      <c r="U103" s="162">
        <v>13</v>
      </c>
      <c r="V103" s="162">
        <v>12</v>
      </c>
      <c r="W103" s="162">
        <v>14</v>
      </c>
      <c r="X103" s="162">
        <v>19</v>
      </c>
      <c r="Y103" s="162">
        <v>23</v>
      </c>
      <c r="Z103" s="162">
        <v>12</v>
      </c>
      <c r="AA103" s="162">
        <v>20</v>
      </c>
      <c r="AB103" s="162">
        <v>21</v>
      </c>
      <c r="AC103" s="162">
        <v>22</v>
      </c>
      <c r="AD103" s="162">
        <v>23</v>
      </c>
      <c r="AE103" s="162">
        <v>19</v>
      </c>
      <c r="AF103" s="161">
        <v>24</v>
      </c>
      <c r="AG103" s="64">
        <f t="shared" si="15"/>
        <v>494</v>
      </c>
    </row>
    <row r="104" spans="1:33" ht="18.75" x14ac:dyDescent="0.25">
      <c r="A104" s="321" t="s">
        <v>101</v>
      </c>
      <c r="B104" s="249">
        <v>11</v>
      </c>
      <c r="C104" s="162">
        <v>11</v>
      </c>
      <c r="D104" s="162">
        <v>15</v>
      </c>
      <c r="E104" s="162">
        <v>15</v>
      </c>
      <c r="F104" s="162">
        <v>12</v>
      </c>
      <c r="G104" s="162">
        <v>10</v>
      </c>
      <c r="H104" s="162">
        <v>8</v>
      </c>
      <c r="I104" s="162">
        <v>16</v>
      </c>
      <c r="J104" s="162">
        <v>12</v>
      </c>
      <c r="K104" s="162">
        <v>10</v>
      </c>
      <c r="L104" s="162">
        <v>11</v>
      </c>
      <c r="M104" s="162">
        <v>9</v>
      </c>
      <c r="N104" s="162">
        <v>18</v>
      </c>
      <c r="O104" s="162">
        <v>15</v>
      </c>
      <c r="P104" s="162">
        <v>6</v>
      </c>
      <c r="Q104" s="162">
        <v>17</v>
      </c>
      <c r="R104" s="162">
        <v>16</v>
      </c>
      <c r="S104" s="162">
        <v>13</v>
      </c>
      <c r="T104" s="162">
        <v>19</v>
      </c>
      <c r="U104" s="162">
        <v>17</v>
      </c>
      <c r="V104" s="162">
        <v>13</v>
      </c>
      <c r="W104" s="162">
        <v>12</v>
      </c>
      <c r="X104" s="162">
        <v>23</v>
      </c>
      <c r="Y104" s="162">
        <v>26</v>
      </c>
      <c r="Z104" s="162">
        <v>19</v>
      </c>
      <c r="AA104" s="162">
        <v>24</v>
      </c>
      <c r="AB104" s="162">
        <v>15</v>
      </c>
      <c r="AC104" s="162">
        <v>7</v>
      </c>
      <c r="AD104" s="162">
        <v>12</v>
      </c>
      <c r="AE104" s="162">
        <v>18</v>
      </c>
      <c r="AF104" s="161">
        <v>25</v>
      </c>
      <c r="AG104" s="64">
        <f t="shared" si="15"/>
        <v>455</v>
      </c>
    </row>
    <row r="105" spans="1:33" ht="18.75" x14ac:dyDescent="0.25">
      <c r="A105" s="321" t="s">
        <v>100</v>
      </c>
      <c r="B105" s="249">
        <v>4</v>
      </c>
      <c r="C105" s="162">
        <v>8</v>
      </c>
      <c r="D105" s="162">
        <v>14</v>
      </c>
      <c r="E105" s="162">
        <v>11</v>
      </c>
      <c r="F105" s="162">
        <v>7</v>
      </c>
      <c r="G105" s="162">
        <v>9</v>
      </c>
      <c r="H105" s="162">
        <v>11</v>
      </c>
      <c r="I105" s="162">
        <v>13</v>
      </c>
      <c r="J105" s="162">
        <v>14</v>
      </c>
      <c r="K105" s="162">
        <v>12</v>
      </c>
      <c r="L105" s="162">
        <v>7</v>
      </c>
      <c r="M105" s="162">
        <v>8</v>
      </c>
      <c r="N105" s="162">
        <v>11</v>
      </c>
      <c r="O105" s="162">
        <v>10</v>
      </c>
      <c r="P105" s="162">
        <v>12</v>
      </c>
      <c r="Q105" s="162">
        <v>16</v>
      </c>
      <c r="R105" s="162">
        <v>11</v>
      </c>
      <c r="S105" s="162">
        <v>12</v>
      </c>
      <c r="T105" s="162">
        <v>15</v>
      </c>
      <c r="U105" s="162">
        <v>10</v>
      </c>
      <c r="V105" s="162">
        <v>9</v>
      </c>
      <c r="W105" s="162">
        <v>16</v>
      </c>
      <c r="X105" s="162">
        <v>11</v>
      </c>
      <c r="Y105" s="162">
        <v>18</v>
      </c>
      <c r="Z105" s="162">
        <v>13</v>
      </c>
      <c r="AA105" s="162">
        <v>13</v>
      </c>
      <c r="AB105" s="162">
        <v>15</v>
      </c>
      <c r="AC105" s="162">
        <v>15</v>
      </c>
      <c r="AD105" s="162">
        <v>15</v>
      </c>
      <c r="AE105" s="162">
        <v>14</v>
      </c>
      <c r="AF105" s="161">
        <v>16</v>
      </c>
      <c r="AG105" s="64">
        <f t="shared" si="15"/>
        <v>370</v>
      </c>
    </row>
    <row r="106" spans="1:33" ht="18.75" x14ac:dyDescent="0.25">
      <c r="A106" s="321" t="s">
        <v>99</v>
      </c>
      <c r="B106" s="249">
        <v>5</v>
      </c>
      <c r="C106" s="162">
        <v>10</v>
      </c>
      <c r="D106" s="162">
        <v>13</v>
      </c>
      <c r="E106" s="162">
        <v>11</v>
      </c>
      <c r="F106" s="162">
        <v>7</v>
      </c>
      <c r="G106" s="162">
        <v>8</v>
      </c>
      <c r="H106" s="162">
        <v>5</v>
      </c>
      <c r="I106" s="162">
        <v>10</v>
      </c>
      <c r="J106" s="162">
        <v>8</v>
      </c>
      <c r="K106" s="162">
        <v>10</v>
      </c>
      <c r="L106" s="162">
        <v>10</v>
      </c>
      <c r="M106" s="162">
        <v>15</v>
      </c>
      <c r="N106" s="162">
        <v>12</v>
      </c>
      <c r="O106" s="162">
        <v>5</v>
      </c>
      <c r="P106" s="162">
        <v>8</v>
      </c>
      <c r="Q106" s="162">
        <v>12</v>
      </c>
      <c r="R106" s="162">
        <v>15</v>
      </c>
      <c r="S106" s="162">
        <v>6</v>
      </c>
      <c r="T106" s="162">
        <v>6</v>
      </c>
      <c r="U106" s="162">
        <v>19</v>
      </c>
      <c r="V106" s="162">
        <v>11</v>
      </c>
      <c r="W106" s="162">
        <v>15</v>
      </c>
      <c r="X106" s="162">
        <v>12</v>
      </c>
      <c r="Y106" s="162">
        <v>12</v>
      </c>
      <c r="Z106" s="162">
        <v>10</v>
      </c>
      <c r="AA106" s="162">
        <v>17</v>
      </c>
      <c r="AB106" s="162">
        <v>6</v>
      </c>
      <c r="AC106" s="162">
        <v>15</v>
      </c>
      <c r="AD106" s="162">
        <v>19</v>
      </c>
      <c r="AE106" s="162">
        <v>9</v>
      </c>
      <c r="AF106" s="161">
        <v>13</v>
      </c>
      <c r="AG106" s="64">
        <f t="shared" si="15"/>
        <v>334</v>
      </c>
    </row>
    <row r="107" spans="1:33" ht="18.75" x14ac:dyDescent="0.25">
      <c r="A107" s="321" t="s">
        <v>98</v>
      </c>
      <c r="B107" s="249">
        <v>12</v>
      </c>
      <c r="C107" s="162">
        <v>9</v>
      </c>
      <c r="D107" s="162">
        <v>16</v>
      </c>
      <c r="E107" s="162">
        <v>11</v>
      </c>
      <c r="F107" s="162">
        <v>8</v>
      </c>
      <c r="G107" s="162">
        <v>12</v>
      </c>
      <c r="H107" s="162">
        <v>6</v>
      </c>
      <c r="I107" s="162">
        <v>17</v>
      </c>
      <c r="J107" s="162">
        <v>9</v>
      </c>
      <c r="K107" s="162">
        <v>11</v>
      </c>
      <c r="L107" s="162">
        <v>5</v>
      </c>
      <c r="M107" s="162">
        <v>6</v>
      </c>
      <c r="N107" s="162">
        <v>10</v>
      </c>
      <c r="O107" s="162">
        <v>13</v>
      </c>
      <c r="P107" s="162">
        <v>8</v>
      </c>
      <c r="Q107" s="162">
        <v>10</v>
      </c>
      <c r="R107" s="162">
        <v>17</v>
      </c>
      <c r="S107" s="162">
        <v>12</v>
      </c>
      <c r="T107" s="162">
        <v>10</v>
      </c>
      <c r="U107" s="162">
        <v>9</v>
      </c>
      <c r="V107" s="162">
        <v>11</v>
      </c>
      <c r="W107" s="162">
        <v>10</v>
      </c>
      <c r="X107" s="162">
        <v>19</v>
      </c>
      <c r="Y107" s="162">
        <v>14</v>
      </c>
      <c r="Z107" s="162">
        <v>15</v>
      </c>
      <c r="AA107" s="162">
        <v>7</v>
      </c>
      <c r="AB107" s="162">
        <v>13</v>
      </c>
      <c r="AC107" s="162">
        <v>10</v>
      </c>
      <c r="AD107" s="162">
        <v>12</v>
      </c>
      <c r="AE107" s="162">
        <v>13</v>
      </c>
      <c r="AF107" s="161">
        <v>10</v>
      </c>
      <c r="AG107" s="64">
        <f t="shared" si="15"/>
        <v>345</v>
      </c>
    </row>
    <row r="108" spans="1:33" ht="18.75" x14ac:dyDescent="0.25">
      <c r="A108" s="321" t="s">
        <v>97</v>
      </c>
      <c r="B108" s="249">
        <v>9</v>
      </c>
      <c r="C108" s="162">
        <v>10</v>
      </c>
      <c r="D108" s="162">
        <v>4</v>
      </c>
      <c r="E108" s="162">
        <v>7</v>
      </c>
      <c r="F108" s="162">
        <v>16</v>
      </c>
      <c r="G108" s="162">
        <v>10</v>
      </c>
      <c r="H108" s="162">
        <v>10</v>
      </c>
      <c r="I108" s="162">
        <v>11</v>
      </c>
      <c r="J108" s="162">
        <v>10</v>
      </c>
      <c r="K108" s="162">
        <v>15</v>
      </c>
      <c r="L108" s="162">
        <v>10</v>
      </c>
      <c r="M108" s="162">
        <v>9</v>
      </c>
      <c r="N108" s="162">
        <v>15</v>
      </c>
      <c r="O108" s="162">
        <v>10</v>
      </c>
      <c r="P108" s="162">
        <v>12</v>
      </c>
      <c r="Q108" s="162">
        <v>11</v>
      </c>
      <c r="R108" s="162">
        <v>10</v>
      </c>
      <c r="S108" s="162">
        <v>11</v>
      </c>
      <c r="T108" s="162">
        <v>7</v>
      </c>
      <c r="U108" s="162">
        <v>7</v>
      </c>
      <c r="V108" s="162">
        <v>10</v>
      </c>
      <c r="W108" s="162">
        <v>10</v>
      </c>
      <c r="X108" s="162">
        <v>8</v>
      </c>
      <c r="Y108" s="162">
        <v>18</v>
      </c>
      <c r="Z108" s="162">
        <v>10</v>
      </c>
      <c r="AA108" s="162">
        <v>10</v>
      </c>
      <c r="AB108" s="162">
        <v>6</v>
      </c>
      <c r="AC108" s="162">
        <v>10</v>
      </c>
      <c r="AD108" s="162">
        <v>8</v>
      </c>
      <c r="AE108" s="162">
        <v>7</v>
      </c>
      <c r="AF108" s="161">
        <v>5</v>
      </c>
      <c r="AG108" s="64">
        <f t="shared" si="15"/>
        <v>306</v>
      </c>
    </row>
    <row r="109" spans="1:33" ht="18.75" x14ac:dyDescent="0.25">
      <c r="A109" s="321" t="s">
        <v>96</v>
      </c>
      <c r="B109" s="249">
        <v>4</v>
      </c>
      <c r="C109" s="162">
        <v>5</v>
      </c>
      <c r="D109" s="162">
        <v>5</v>
      </c>
      <c r="E109" s="162">
        <v>12</v>
      </c>
      <c r="F109" s="162">
        <v>6</v>
      </c>
      <c r="G109" s="162">
        <v>9</v>
      </c>
      <c r="H109" s="162">
        <v>4</v>
      </c>
      <c r="I109" s="162">
        <v>7</v>
      </c>
      <c r="J109" s="162">
        <v>8</v>
      </c>
      <c r="K109" s="162">
        <v>8</v>
      </c>
      <c r="L109" s="162">
        <v>10</v>
      </c>
      <c r="M109" s="162">
        <v>11</v>
      </c>
      <c r="N109" s="162">
        <v>9</v>
      </c>
      <c r="O109" s="162">
        <v>14</v>
      </c>
      <c r="P109" s="162">
        <v>11</v>
      </c>
      <c r="Q109" s="162">
        <v>5</v>
      </c>
      <c r="R109" s="162">
        <v>14</v>
      </c>
      <c r="S109" s="162">
        <v>3</v>
      </c>
      <c r="T109" s="162">
        <v>5</v>
      </c>
      <c r="U109" s="162">
        <v>4</v>
      </c>
      <c r="V109" s="162">
        <v>11</v>
      </c>
      <c r="W109" s="162">
        <v>12</v>
      </c>
      <c r="X109" s="162">
        <v>20</v>
      </c>
      <c r="Y109" s="162">
        <v>8</v>
      </c>
      <c r="Z109" s="162">
        <v>10</v>
      </c>
      <c r="AA109" s="162">
        <v>13</v>
      </c>
      <c r="AB109" s="162">
        <v>8</v>
      </c>
      <c r="AC109" s="162">
        <v>11</v>
      </c>
      <c r="AD109" s="162">
        <v>4</v>
      </c>
      <c r="AE109" s="162">
        <v>12</v>
      </c>
      <c r="AF109" s="161">
        <v>11</v>
      </c>
      <c r="AG109" s="64">
        <f t="shared" si="15"/>
        <v>274</v>
      </c>
    </row>
    <row r="110" spans="1:33" ht="18.75" x14ac:dyDescent="0.25">
      <c r="A110" s="321" t="s">
        <v>95</v>
      </c>
      <c r="B110" s="249">
        <v>9</v>
      </c>
      <c r="C110" s="162">
        <v>3</v>
      </c>
      <c r="D110" s="162">
        <v>4</v>
      </c>
      <c r="E110" s="162">
        <v>8</v>
      </c>
      <c r="F110" s="162">
        <v>7</v>
      </c>
      <c r="G110" s="162">
        <v>7</v>
      </c>
      <c r="H110" s="162">
        <v>9</v>
      </c>
      <c r="I110" s="162">
        <v>5</v>
      </c>
      <c r="J110" s="162">
        <v>4</v>
      </c>
      <c r="K110" s="162">
        <v>3</v>
      </c>
      <c r="L110" s="162">
        <v>3</v>
      </c>
      <c r="M110" s="162">
        <v>6</v>
      </c>
      <c r="N110" s="162">
        <v>10</v>
      </c>
      <c r="O110" s="162">
        <v>6</v>
      </c>
      <c r="P110" s="162">
        <v>6</v>
      </c>
      <c r="Q110" s="162">
        <v>6</v>
      </c>
      <c r="R110" s="162">
        <v>5</v>
      </c>
      <c r="S110" s="162">
        <v>9</v>
      </c>
      <c r="T110" s="162">
        <v>5</v>
      </c>
      <c r="U110" s="162">
        <v>10</v>
      </c>
      <c r="V110" s="162">
        <v>6</v>
      </c>
      <c r="W110" s="162">
        <v>9</v>
      </c>
      <c r="X110" s="162">
        <v>5</v>
      </c>
      <c r="Y110" s="162">
        <v>13</v>
      </c>
      <c r="Z110" s="162">
        <v>9</v>
      </c>
      <c r="AA110" s="162">
        <v>7</v>
      </c>
      <c r="AB110" s="162">
        <v>4</v>
      </c>
      <c r="AC110" s="162">
        <v>5</v>
      </c>
      <c r="AD110" s="162">
        <v>11</v>
      </c>
      <c r="AE110" s="162">
        <v>6</v>
      </c>
      <c r="AF110" s="161">
        <v>8</v>
      </c>
      <c r="AG110" s="64">
        <f t="shared" si="15"/>
        <v>208</v>
      </c>
    </row>
    <row r="111" spans="1:33" ht="18.75" x14ac:dyDescent="0.25">
      <c r="A111" s="321" t="s">
        <v>94</v>
      </c>
      <c r="B111" s="249">
        <v>4</v>
      </c>
      <c r="C111" s="162">
        <v>11</v>
      </c>
      <c r="D111" s="162">
        <v>2</v>
      </c>
      <c r="E111" s="162">
        <v>8</v>
      </c>
      <c r="F111" s="162">
        <v>5</v>
      </c>
      <c r="G111" s="162">
        <v>14</v>
      </c>
      <c r="H111" s="162">
        <v>6</v>
      </c>
      <c r="I111" s="162">
        <v>6</v>
      </c>
      <c r="J111" s="162">
        <v>3</v>
      </c>
      <c r="K111" s="162">
        <v>4</v>
      </c>
      <c r="L111" s="162">
        <v>4</v>
      </c>
      <c r="M111" s="162">
        <v>2</v>
      </c>
      <c r="N111" s="162">
        <v>1</v>
      </c>
      <c r="O111" s="162">
        <v>9</v>
      </c>
      <c r="P111" s="162">
        <v>2</v>
      </c>
      <c r="Q111" s="162">
        <v>9</v>
      </c>
      <c r="R111" s="162">
        <v>8</v>
      </c>
      <c r="S111" s="162">
        <v>4</v>
      </c>
      <c r="T111" s="162">
        <v>8</v>
      </c>
      <c r="U111" s="162">
        <v>9</v>
      </c>
      <c r="V111" s="162">
        <v>7</v>
      </c>
      <c r="W111" s="162">
        <v>7</v>
      </c>
      <c r="X111" s="162">
        <v>5</v>
      </c>
      <c r="Y111" s="162">
        <v>6</v>
      </c>
      <c r="Z111" s="162">
        <v>10</v>
      </c>
      <c r="AA111" s="162">
        <v>3</v>
      </c>
      <c r="AB111" s="162">
        <v>2</v>
      </c>
      <c r="AC111" s="162">
        <v>4</v>
      </c>
      <c r="AD111" s="162">
        <v>5</v>
      </c>
      <c r="AE111" s="162">
        <v>3</v>
      </c>
      <c r="AF111" s="161">
        <v>2</v>
      </c>
      <c r="AG111" s="64">
        <f t="shared" si="15"/>
        <v>173</v>
      </c>
    </row>
    <row r="112" spans="1:33" ht="18.75" x14ac:dyDescent="0.25">
      <c r="A112" s="321" t="s">
        <v>93</v>
      </c>
      <c r="B112" s="249">
        <v>2</v>
      </c>
      <c r="C112" s="162">
        <v>10</v>
      </c>
      <c r="D112" s="162">
        <v>4</v>
      </c>
      <c r="E112" s="162">
        <v>3</v>
      </c>
      <c r="F112" s="162">
        <v>3</v>
      </c>
      <c r="G112" s="162">
        <v>1</v>
      </c>
      <c r="H112" s="162">
        <v>1</v>
      </c>
      <c r="I112" s="162">
        <v>6</v>
      </c>
      <c r="J112" s="162">
        <v>2</v>
      </c>
      <c r="K112" s="162">
        <v>4</v>
      </c>
      <c r="L112" s="162">
        <v>5</v>
      </c>
      <c r="M112" s="162">
        <v>3</v>
      </c>
      <c r="N112" s="162">
        <v>6</v>
      </c>
      <c r="O112" s="162">
        <v>4</v>
      </c>
      <c r="P112" s="162">
        <v>6</v>
      </c>
      <c r="Q112" s="162">
        <v>10</v>
      </c>
      <c r="R112" s="162">
        <v>7</v>
      </c>
      <c r="S112" s="162">
        <v>3</v>
      </c>
      <c r="T112" s="162">
        <v>4</v>
      </c>
      <c r="U112" s="162">
        <v>6</v>
      </c>
      <c r="V112" s="162">
        <v>10</v>
      </c>
      <c r="W112" s="162">
        <v>4</v>
      </c>
      <c r="X112" s="162">
        <v>9</v>
      </c>
      <c r="Y112" s="162">
        <v>3</v>
      </c>
      <c r="Z112" s="162">
        <v>6</v>
      </c>
      <c r="AA112" s="162">
        <v>5</v>
      </c>
      <c r="AB112" s="162">
        <v>6</v>
      </c>
      <c r="AC112" s="162">
        <v>5</v>
      </c>
      <c r="AD112" s="162">
        <v>7</v>
      </c>
      <c r="AE112" s="162">
        <v>3</v>
      </c>
      <c r="AF112" s="161">
        <v>2</v>
      </c>
      <c r="AG112" s="64">
        <f t="shared" si="15"/>
        <v>150</v>
      </c>
    </row>
    <row r="113" spans="1:33" ht="18.75" x14ac:dyDescent="0.25">
      <c r="A113" s="321" t="s">
        <v>92</v>
      </c>
      <c r="B113" s="249">
        <v>4</v>
      </c>
      <c r="C113" s="162"/>
      <c r="D113" s="162">
        <v>2</v>
      </c>
      <c r="E113" s="162">
        <v>3</v>
      </c>
      <c r="F113" s="162">
        <v>4</v>
      </c>
      <c r="G113" s="162">
        <v>3</v>
      </c>
      <c r="H113" s="162">
        <v>4</v>
      </c>
      <c r="I113" s="162">
        <v>3</v>
      </c>
      <c r="J113" s="162">
        <v>7</v>
      </c>
      <c r="K113" s="162">
        <v>3</v>
      </c>
      <c r="L113" s="162">
        <v>1</v>
      </c>
      <c r="M113" s="162">
        <v>4</v>
      </c>
      <c r="N113" s="162">
        <v>1</v>
      </c>
      <c r="O113" s="162">
        <v>1</v>
      </c>
      <c r="P113" s="162">
        <v>6</v>
      </c>
      <c r="Q113" s="162">
        <v>4</v>
      </c>
      <c r="R113" s="162">
        <v>3</v>
      </c>
      <c r="S113" s="162">
        <v>3</v>
      </c>
      <c r="T113" s="162"/>
      <c r="U113" s="162">
        <v>4</v>
      </c>
      <c r="V113" s="162">
        <v>3</v>
      </c>
      <c r="W113" s="162">
        <v>5</v>
      </c>
      <c r="X113" s="162">
        <v>5</v>
      </c>
      <c r="Y113" s="162">
        <v>2</v>
      </c>
      <c r="Z113" s="162">
        <v>3</v>
      </c>
      <c r="AA113" s="162">
        <v>5</v>
      </c>
      <c r="AB113" s="162">
        <v>1</v>
      </c>
      <c r="AC113" s="162">
        <v>8</v>
      </c>
      <c r="AD113" s="162">
        <v>5</v>
      </c>
      <c r="AE113" s="162">
        <v>3</v>
      </c>
      <c r="AF113" s="161">
        <v>2</v>
      </c>
      <c r="AG113" s="64">
        <f t="shared" si="15"/>
        <v>102</v>
      </c>
    </row>
    <row r="114" spans="1:33" ht="18.75" x14ac:dyDescent="0.25">
      <c r="A114" s="321" t="s">
        <v>91</v>
      </c>
      <c r="B114" s="249">
        <v>4</v>
      </c>
      <c r="C114" s="162">
        <v>1</v>
      </c>
      <c r="D114" s="162">
        <v>3</v>
      </c>
      <c r="E114" s="162">
        <v>4</v>
      </c>
      <c r="F114" s="162">
        <v>2</v>
      </c>
      <c r="G114" s="162">
        <v>2</v>
      </c>
      <c r="H114" s="162">
        <v>5</v>
      </c>
      <c r="I114" s="162">
        <v>5</v>
      </c>
      <c r="J114" s="162">
        <v>5</v>
      </c>
      <c r="K114" s="162">
        <v>2</v>
      </c>
      <c r="L114" s="162">
        <v>3</v>
      </c>
      <c r="M114" s="162">
        <v>9</v>
      </c>
      <c r="N114" s="162">
        <v>3</v>
      </c>
      <c r="O114" s="162">
        <v>4</v>
      </c>
      <c r="P114" s="162">
        <v>6</v>
      </c>
      <c r="Q114" s="162">
        <v>8</v>
      </c>
      <c r="R114" s="162">
        <v>3</v>
      </c>
      <c r="S114" s="162">
        <v>3</v>
      </c>
      <c r="T114" s="162">
        <v>7</v>
      </c>
      <c r="U114" s="162">
        <v>4</v>
      </c>
      <c r="V114" s="162">
        <v>3</v>
      </c>
      <c r="W114" s="162">
        <v>5</v>
      </c>
      <c r="X114" s="162">
        <v>4</v>
      </c>
      <c r="Y114" s="162">
        <v>7</v>
      </c>
      <c r="Z114" s="162">
        <v>1</v>
      </c>
      <c r="AA114" s="162">
        <v>5</v>
      </c>
      <c r="AB114" s="162">
        <v>7</v>
      </c>
      <c r="AC114" s="162">
        <v>6</v>
      </c>
      <c r="AD114" s="162">
        <v>5</v>
      </c>
      <c r="AE114" s="162">
        <v>6</v>
      </c>
      <c r="AF114" s="161">
        <v>3</v>
      </c>
      <c r="AG114" s="64">
        <f t="shared" si="15"/>
        <v>135</v>
      </c>
    </row>
    <row r="115" spans="1:33" ht="19.5" thickBot="1" x14ac:dyDescent="0.3">
      <c r="A115" s="322"/>
      <c r="B115" s="255"/>
      <c r="C115" s="169"/>
      <c r="D115" s="169"/>
      <c r="E115" s="169">
        <v>1</v>
      </c>
      <c r="F115" s="169"/>
      <c r="G115" s="169"/>
      <c r="H115" s="169"/>
      <c r="I115" s="169"/>
      <c r="J115" s="169"/>
      <c r="K115" s="169"/>
      <c r="L115" s="169"/>
      <c r="M115" s="169"/>
      <c r="N115" s="169"/>
      <c r="O115" s="169"/>
      <c r="P115" s="169"/>
      <c r="Q115" s="169"/>
      <c r="R115" s="169"/>
      <c r="S115" s="169"/>
      <c r="T115" s="169"/>
      <c r="U115" s="169"/>
      <c r="V115" s="169"/>
      <c r="W115" s="169"/>
      <c r="X115" s="169"/>
      <c r="Y115" s="169"/>
      <c r="Z115" s="169"/>
      <c r="AA115" s="169"/>
      <c r="AB115" s="169"/>
      <c r="AC115" s="169"/>
      <c r="AD115" s="169"/>
      <c r="AE115" s="169"/>
      <c r="AF115" s="168"/>
      <c r="AG115" s="64">
        <f t="shared" si="15"/>
        <v>1</v>
      </c>
    </row>
    <row r="116" spans="1:33" ht="18.75" x14ac:dyDescent="0.25">
      <c r="A116" s="315" t="s">
        <v>90</v>
      </c>
      <c r="B116" s="261">
        <f t="shared" ref="B116:AF116" si="17">SUM(B117:B129)</f>
        <v>24</v>
      </c>
      <c r="C116" s="166">
        <f t="shared" si="17"/>
        <v>33</v>
      </c>
      <c r="D116" s="166">
        <f t="shared" si="17"/>
        <v>23</v>
      </c>
      <c r="E116" s="166">
        <f t="shared" si="17"/>
        <v>16</v>
      </c>
      <c r="F116" s="166">
        <f t="shared" si="17"/>
        <v>30</v>
      </c>
      <c r="G116" s="166">
        <f t="shared" si="17"/>
        <v>36</v>
      </c>
      <c r="H116" s="166">
        <f t="shared" si="17"/>
        <v>27</v>
      </c>
      <c r="I116" s="166">
        <f t="shared" si="17"/>
        <v>38</v>
      </c>
      <c r="J116" s="166">
        <f t="shared" si="17"/>
        <v>30</v>
      </c>
      <c r="K116" s="166">
        <f t="shared" si="17"/>
        <v>22</v>
      </c>
      <c r="L116" s="166">
        <f t="shared" si="17"/>
        <v>17</v>
      </c>
      <c r="M116" s="166">
        <f t="shared" si="17"/>
        <v>32</v>
      </c>
      <c r="N116" s="166">
        <f t="shared" si="17"/>
        <v>27</v>
      </c>
      <c r="O116" s="166">
        <f t="shared" si="17"/>
        <v>30</v>
      </c>
      <c r="P116" s="166">
        <f t="shared" si="17"/>
        <v>35</v>
      </c>
      <c r="Q116" s="166">
        <f t="shared" si="17"/>
        <v>49</v>
      </c>
      <c r="R116" s="166">
        <f t="shared" si="17"/>
        <v>34</v>
      </c>
      <c r="S116" s="166">
        <f t="shared" si="17"/>
        <v>27</v>
      </c>
      <c r="T116" s="166">
        <f t="shared" si="17"/>
        <v>43</v>
      </c>
      <c r="U116" s="166">
        <f t="shared" si="17"/>
        <v>41</v>
      </c>
      <c r="V116" s="166">
        <f t="shared" si="17"/>
        <v>41</v>
      </c>
      <c r="W116" s="166">
        <f t="shared" si="17"/>
        <v>37</v>
      </c>
      <c r="X116" s="166">
        <f t="shared" si="17"/>
        <v>42</v>
      </c>
      <c r="Y116" s="166">
        <f t="shared" si="17"/>
        <v>35</v>
      </c>
      <c r="Z116" s="166">
        <f t="shared" si="17"/>
        <v>29</v>
      </c>
      <c r="AA116" s="166">
        <f t="shared" si="17"/>
        <v>38</v>
      </c>
      <c r="AB116" s="166">
        <f t="shared" si="17"/>
        <v>29</v>
      </c>
      <c r="AC116" s="166">
        <f t="shared" si="17"/>
        <v>39</v>
      </c>
      <c r="AD116" s="166">
        <f t="shared" si="17"/>
        <v>52</v>
      </c>
      <c r="AE116" s="166">
        <f t="shared" si="17"/>
        <v>37</v>
      </c>
      <c r="AF116" s="165">
        <f t="shared" si="17"/>
        <v>28</v>
      </c>
      <c r="AG116" s="64">
        <f t="shared" si="15"/>
        <v>1021</v>
      </c>
    </row>
    <row r="117" spans="1:33" ht="18.75" x14ac:dyDescent="0.25">
      <c r="A117" s="323" t="s">
        <v>67</v>
      </c>
      <c r="B117" s="249">
        <v>17</v>
      </c>
      <c r="C117" s="162">
        <v>24</v>
      </c>
      <c r="D117" s="162">
        <v>18</v>
      </c>
      <c r="E117" s="162">
        <v>8</v>
      </c>
      <c r="F117" s="162">
        <v>24</v>
      </c>
      <c r="G117" s="162">
        <v>21</v>
      </c>
      <c r="H117" s="162">
        <v>18</v>
      </c>
      <c r="I117" s="162">
        <v>25</v>
      </c>
      <c r="J117" s="162">
        <v>21</v>
      </c>
      <c r="K117" s="162">
        <v>12</v>
      </c>
      <c r="L117" s="162">
        <v>7</v>
      </c>
      <c r="M117" s="162">
        <v>23</v>
      </c>
      <c r="N117" s="162">
        <v>12</v>
      </c>
      <c r="O117" s="162">
        <v>24</v>
      </c>
      <c r="P117" s="162">
        <v>19</v>
      </c>
      <c r="Q117" s="162">
        <v>32</v>
      </c>
      <c r="R117" s="162">
        <v>17</v>
      </c>
      <c r="S117" s="162">
        <v>11</v>
      </c>
      <c r="T117" s="162">
        <v>28</v>
      </c>
      <c r="U117" s="162">
        <v>30</v>
      </c>
      <c r="V117" s="162">
        <v>25</v>
      </c>
      <c r="W117" s="162">
        <v>26</v>
      </c>
      <c r="X117" s="162">
        <v>22</v>
      </c>
      <c r="Y117" s="162">
        <v>20</v>
      </c>
      <c r="Z117" s="162">
        <v>12</v>
      </c>
      <c r="AA117" s="162">
        <v>20</v>
      </c>
      <c r="AB117" s="162">
        <v>22</v>
      </c>
      <c r="AC117" s="162">
        <v>25</v>
      </c>
      <c r="AD117" s="162">
        <v>33</v>
      </c>
      <c r="AE117" s="162">
        <v>23</v>
      </c>
      <c r="AF117" s="161">
        <v>18</v>
      </c>
      <c r="AG117" s="64">
        <f t="shared" si="15"/>
        <v>637</v>
      </c>
    </row>
    <row r="118" spans="1:33" ht="19.5" hidden="1" customHeight="1" thickBot="1" x14ac:dyDescent="0.3">
      <c r="A118" s="323" t="s">
        <v>69</v>
      </c>
      <c r="B118" s="249"/>
      <c r="C118" s="162"/>
      <c r="D118" s="162"/>
      <c r="E118" s="162"/>
      <c r="F118" s="162"/>
      <c r="G118" s="162"/>
      <c r="H118" s="162"/>
      <c r="I118" s="162"/>
      <c r="J118" s="162"/>
      <c r="K118" s="162"/>
      <c r="L118" s="162"/>
      <c r="M118" s="162"/>
      <c r="N118" s="162"/>
      <c r="O118" s="162"/>
      <c r="P118" s="162"/>
      <c r="Q118" s="162"/>
      <c r="R118" s="162"/>
      <c r="S118" s="162"/>
      <c r="T118" s="162"/>
      <c r="U118" s="162"/>
      <c r="V118" s="162"/>
      <c r="W118" s="162"/>
      <c r="X118" s="162"/>
      <c r="Y118" s="162"/>
      <c r="Z118" s="162"/>
      <c r="AA118" s="162"/>
      <c r="AB118" s="162"/>
      <c r="AC118" s="162"/>
      <c r="AD118" s="162"/>
      <c r="AE118" s="162"/>
      <c r="AF118" s="161"/>
      <c r="AG118" s="64">
        <f t="shared" si="15"/>
        <v>0</v>
      </c>
    </row>
    <row r="119" spans="1:33" ht="19.5" hidden="1" customHeight="1" thickBot="1" x14ac:dyDescent="0.3">
      <c r="A119" s="323" t="s">
        <v>68</v>
      </c>
      <c r="B119" s="249"/>
      <c r="C119" s="162"/>
      <c r="D119" s="162"/>
      <c r="E119" s="162"/>
      <c r="F119" s="162"/>
      <c r="G119" s="162"/>
      <c r="H119" s="162"/>
      <c r="I119" s="162"/>
      <c r="J119" s="162"/>
      <c r="K119" s="162"/>
      <c r="L119" s="162"/>
      <c r="M119" s="162"/>
      <c r="N119" s="162"/>
      <c r="O119" s="162"/>
      <c r="P119" s="162"/>
      <c r="Q119" s="162"/>
      <c r="R119" s="162"/>
      <c r="S119" s="162"/>
      <c r="T119" s="162"/>
      <c r="U119" s="162"/>
      <c r="V119" s="162"/>
      <c r="W119" s="162"/>
      <c r="X119" s="162"/>
      <c r="Y119" s="162"/>
      <c r="Z119" s="162"/>
      <c r="AA119" s="162"/>
      <c r="AB119" s="162"/>
      <c r="AC119" s="162"/>
      <c r="AD119" s="162"/>
      <c r="AE119" s="162"/>
      <c r="AF119" s="161"/>
      <c r="AG119" s="64">
        <f t="shared" si="15"/>
        <v>0</v>
      </c>
    </row>
    <row r="120" spans="1:33" ht="19.5" hidden="1" customHeight="1" thickBot="1" x14ac:dyDescent="0.3">
      <c r="A120" s="323" t="s">
        <v>66</v>
      </c>
      <c r="B120" s="249"/>
      <c r="C120" s="162"/>
      <c r="D120" s="162"/>
      <c r="E120" s="162"/>
      <c r="F120" s="162"/>
      <c r="G120" s="162"/>
      <c r="H120" s="162"/>
      <c r="I120" s="162"/>
      <c r="J120" s="162"/>
      <c r="K120" s="162"/>
      <c r="L120" s="162"/>
      <c r="M120" s="162"/>
      <c r="N120" s="162"/>
      <c r="O120" s="162"/>
      <c r="P120" s="162"/>
      <c r="Q120" s="162"/>
      <c r="R120" s="162"/>
      <c r="S120" s="162"/>
      <c r="T120" s="162"/>
      <c r="U120" s="162"/>
      <c r="V120" s="162"/>
      <c r="W120" s="162"/>
      <c r="X120" s="162"/>
      <c r="Y120" s="162"/>
      <c r="Z120" s="162"/>
      <c r="AA120" s="162"/>
      <c r="AB120" s="162"/>
      <c r="AC120" s="162"/>
      <c r="AD120" s="162"/>
      <c r="AE120" s="162"/>
      <c r="AF120" s="161"/>
      <c r="AG120" s="64">
        <f t="shared" si="15"/>
        <v>0</v>
      </c>
    </row>
    <row r="121" spans="1:33" ht="19.5" hidden="1" customHeight="1" thickBot="1" x14ac:dyDescent="0.3">
      <c r="A121" s="323" t="s">
        <v>65</v>
      </c>
      <c r="B121" s="249"/>
      <c r="C121" s="162"/>
      <c r="D121" s="162"/>
      <c r="E121" s="162"/>
      <c r="F121" s="162"/>
      <c r="G121" s="162"/>
      <c r="H121" s="162"/>
      <c r="I121" s="162"/>
      <c r="J121" s="162"/>
      <c r="K121" s="162"/>
      <c r="L121" s="162"/>
      <c r="M121" s="162"/>
      <c r="N121" s="162"/>
      <c r="O121" s="162"/>
      <c r="P121" s="162"/>
      <c r="Q121" s="162"/>
      <c r="R121" s="162"/>
      <c r="S121" s="162"/>
      <c r="T121" s="162"/>
      <c r="U121" s="162"/>
      <c r="V121" s="162"/>
      <c r="W121" s="162"/>
      <c r="X121" s="162"/>
      <c r="Y121" s="162"/>
      <c r="Z121" s="162"/>
      <c r="AA121" s="162"/>
      <c r="AB121" s="162"/>
      <c r="AC121" s="162"/>
      <c r="AD121" s="162"/>
      <c r="AE121" s="162"/>
      <c r="AF121" s="161"/>
      <c r="AG121" s="64">
        <f t="shared" si="15"/>
        <v>0</v>
      </c>
    </row>
    <row r="122" spans="1:33" ht="19.5" hidden="1" customHeight="1" thickBot="1" x14ac:dyDescent="0.3">
      <c r="A122" s="323" t="s">
        <v>64</v>
      </c>
      <c r="B122" s="249"/>
      <c r="C122" s="162"/>
      <c r="D122" s="162"/>
      <c r="E122" s="162"/>
      <c r="F122" s="162"/>
      <c r="G122" s="162"/>
      <c r="H122" s="162"/>
      <c r="I122" s="162"/>
      <c r="J122" s="162"/>
      <c r="K122" s="162"/>
      <c r="L122" s="162"/>
      <c r="M122" s="162"/>
      <c r="N122" s="162"/>
      <c r="O122" s="162"/>
      <c r="P122" s="162"/>
      <c r="Q122" s="162"/>
      <c r="R122" s="162"/>
      <c r="S122" s="162"/>
      <c r="T122" s="162"/>
      <c r="U122" s="162"/>
      <c r="V122" s="162"/>
      <c r="W122" s="162"/>
      <c r="X122" s="162"/>
      <c r="Y122" s="162"/>
      <c r="Z122" s="162"/>
      <c r="AA122" s="162"/>
      <c r="AB122" s="162"/>
      <c r="AC122" s="162"/>
      <c r="AD122" s="162"/>
      <c r="AE122" s="162"/>
      <c r="AF122" s="161"/>
      <c r="AG122" s="64">
        <f t="shared" si="15"/>
        <v>0</v>
      </c>
    </row>
    <row r="123" spans="1:33" ht="19.5" hidden="1" customHeight="1" thickBot="1" x14ac:dyDescent="0.3">
      <c r="A123" s="323" t="s">
        <v>63</v>
      </c>
      <c r="B123" s="249"/>
      <c r="C123" s="162"/>
      <c r="D123" s="162"/>
      <c r="E123" s="162"/>
      <c r="F123" s="162"/>
      <c r="G123" s="162"/>
      <c r="H123" s="162"/>
      <c r="I123" s="162"/>
      <c r="J123" s="162"/>
      <c r="K123" s="162"/>
      <c r="L123" s="162"/>
      <c r="M123" s="162"/>
      <c r="N123" s="162"/>
      <c r="O123" s="162"/>
      <c r="P123" s="162"/>
      <c r="Q123" s="162"/>
      <c r="R123" s="162"/>
      <c r="S123" s="162"/>
      <c r="T123" s="162"/>
      <c r="U123" s="162"/>
      <c r="V123" s="162"/>
      <c r="W123" s="162"/>
      <c r="X123" s="162"/>
      <c r="Y123" s="162"/>
      <c r="Z123" s="162"/>
      <c r="AA123" s="162"/>
      <c r="AB123" s="162"/>
      <c r="AC123" s="162"/>
      <c r="AD123" s="162"/>
      <c r="AE123" s="162"/>
      <c r="AF123" s="161"/>
      <c r="AG123" s="64">
        <f t="shared" si="15"/>
        <v>0</v>
      </c>
    </row>
    <row r="124" spans="1:33" ht="19.5" hidden="1" customHeight="1" thickBot="1" x14ac:dyDescent="0.3">
      <c r="A124" s="323" t="s">
        <v>62</v>
      </c>
      <c r="B124" s="249"/>
      <c r="C124" s="162"/>
      <c r="D124" s="162"/>
      <c r="E124" s="162"/>
      <c r="F124" s="162"/>
      <c r="G124" s="162"/>
      <c r="H124" s="162"/>
      <c r="I124" s="162"/>
      <c r="J124" s="162"/>
      <c r="K124" s="162"/>
      <c r="L124" s="162"/>
      <c r="M124" s="162"/>
      <c r="N124" s="162"/>
      <c r="O124" s="162"/>
      <c r="P124" s="162"/>
      <c r="Q124" s="162"/>
      <c r="R124" s="162"/>
      <c r="S124" s="162"/>
      <c r="T124" s="162"/>
      <c r="U124" s="162"/>
      <c r="V124" s="162"/>
      <c r="W124" s="162"/>
      <c r="X124" s="162"/>
      <c r="Y124" s="162"/>
      <c r="Z124" s="162"/>
      <c r="AA124" s="162"/>
      <c r="AB124" s="162"/>
      <c r="AC124" s="162"/>
      <c r="AD124" s="162"/>
      <c r="AE124" s="162"/>
      <c r="AF124" s="161"/>
      <c r="AG124" s="64">
        <f t="shared" si="15"/>
        <v>0</v>
      </c>
    </row>
    <row r="125" spans="1:33" ht="19.5" hidden="1" customHeight="1" thickBot="1" x14ac:dyDescent="0.3">
      <c r="A125" s="301" t="s">
        <v>60</v>
      </c>
      <c r="B125" s="249"/>
      <c r="C125" s="162"/>
      <c r="D125" s="162"/>
      <c r="E125" s="162"/>
      <c r="F125" s="162"/>
      <c r="G125" s="162"/>
      <c r="H125" s="162"/>
      <c r="I125" s="162"/>
      <c r="J125" s="162"/>
      <c r="K125" s="162"/>
      <c r="L125" s="162"/>
      <c r="M125" s="162"/>
      <c r="N125" s="162"/>
      <c r="O125" s="162"/>
      <c r="P125" s="162"/>
      <c r="Q125" s="162"/>
      <c r="R125" s="162"/>
      <c r="S125" s="162"/>
      <c r="T125" s="162"/>
      <c r="U125" s="162"/>
      <c r="V125" s="162"/>
      <c r="W125" s="162"/>
      <c r="X125" s="162"/>
      <c r="Y125" s="162"/>
      <c r="Z125" s="162"/>
      <c r="AA125" s="162"/>
      <c r="AB125" s="162"/>
      <c r="AC125" s="162"/>
      <c r="AD125" s="162"/>
      <c r="AE125" s="162"/>
      <c r="AF125" s="161"/>
      <c r="AG125" s="64">
        <f t="shared" si="15"/>
        <v>0</v>
      </c>
    </row>
    <row r="126" spans="1:33" ht="19.5" hidden="1" customHeight="1" thickBot="1" x14ac:dyDescent="0.3">
      <c r="A126" s="301" t="s">
        <v>59</v>
      </c>
      <c r="B126" s="249"/>
      <c r="C126" s="162"/>
      <c r="D126" s="162"/>
      <c r="E126" s="162"/>
      <c r="F126" s="162"/>
      <c r="G126" s="162"/>
      <c r="H126" s="162"/>
      <c r="I126" s="162"/>
      <c r="J126" s="162"/>
      <c r="K126" s="162"/>
      <c r="L126" s="162"/>
      <c r="M126" s="162"/>
      <c r="N126" s="162"/>
      <c r="O126" s="162"/>
      <c r="P126" s="162"/>
      <c r="Q126" s="162"/>
      <c r="R126" s="162"/>
      <c r="S126" s="162"/>
      <c r="T126" s="162"/>
      <c r="U126" s="162"/>
      <c r="V126" s="162"/>
      <c r="W126" s="162"/>
      <c r="X126" s="162"/>
      <c r="Y126" s="162"/>
      <c r="Z126" s="162"/>
      <c r="AA126" s="162"/>
      <c r="AB126" s="162"/>
      <c r="AC126" s="162"/>
      <c r="AD126" s="162"/>
      <c r="AE126" s="162"/>
      <c r="AF126" s="161"/>
      <c r="AG126" s="64">
        <f t="shared" si="15"/>
        <v>0</v>
      </c>
    </row>
    <row r="127" spans="1:33" ht="19.5" hidden="1" customHeight="1" thickBot="1" x14ac:dyDescent="0.3">
      <c r="A127" s="301" t="s">
        <v>58</v>
      </c>
      <c r="B127" s="249"/>
      <c r="C127" s="162"/>
      <c r="D127" s="162"/>
      <c r="E127" s="162"/>
      <c r="F127" s="162"/>
      <c r="G127" s="162"/>
      <c r="H127" s="162"/>
      <c r="I127" s="162"/>
      <c r="J127" s="162"/>
      <c r="K127" s="162"/>
      <c r="L127" s="162"/>
      <c r="M127" s="162"/>
      <c r="N127" s="162"/>
      <c r="O127" s="162"/>
      <c r="P127" s="162"/>
      <c r="Q127" s="162"/>
      <c r="R127" s="162"/>
      <c r="S127" s="162"/>
      <c r="T127" s="162"/>
      <c r="U127" s="162"/>
      <c r="V127" s="162"/>
      <c r="W127" s="162"/>
      <c r="X127" s="162"/>
      <c r="Y127" s="162"/>
      <c r="Z127" s="162"/>
      <c r="AA127" s="162"/>
      <c r="AB127" s="162"/>
      <c r="AC127" s="162"/>
      <c r="AD127" s="162"/>
      <c r="AE127" s="162"/>
      <c r="AF127" s="161"/>
      <c r="AG127" s="64">
        <f t="shared" si="15"/>
        <v>0</v>
      </c>
    </row>
    <row r="128" spans="1:33" ht="19.5" hidden="1" customHeight="1" thickBot="1" x14ac:dyDescent="0.3">
      <c r="A128" s="323" t="s">
        <v>88</v>
      </c>
      <c r="B128" s="249"/>
      <c r="C128" s="162"/>
      <c r="D128" s="162"/>
      <c r="E128" s="162"/>
      <c r="F128" s="162"/>
      <c r="G128" s="162"/>
      <c r="H128" s="162"/>
      <c r="I128" s="162"/>
      <c r="J128" s="162"/>
      <c r="K128" s="162"/>
      <c r="L128" s="162"/>
      <c r="M128" s="162"/>
      <c r="N128" s="162"/>
      <c r="O128" s="162"/>
      <c r="P128" s="162"/>
      <c r="Q128" s="162"/>
      <c r="R128" s="162"/>
      <c r="S128" s="162"/>
      <c r="T128" s="162"/>
      <c r="U128" s="162"/>
      <c r="V128" s="162"/>
      <c r="W128" s="162"/>
      <c r="X128" s="162"/>
      <c r="Y128" s="162"/>
      <c r="Z128" s="162"/>
      <c r="AA128" s="162"/>
      <c r="AB128" s="162"/>
      <c r="AC128" s="162"/>
      <c r="AD128" s="162"/>
      <c r="AE128" s="162"/>
      <c r="AF128" s="161"/>
      <c r="AG128" s="64">
        <f t="shared" si="15"/>
        <v>0</v>
      </c>
    </row>
    <row r="129" spans="1:35" ht="19.5" thickBot="1" x14ac:dyDescent="0.3">
      <c r="A129" s="324" t="s">
        <v>87</v>
      </c>
      <c r="B129" s="263">
        <f>3+4</f>
        <v>7</v>
      </c>
      <c r="C129" s="140">
        <f>5+4</f>
        <v>9</v>
      </c>
      <c r="D129" s="140">
        <v>5</v>
      </c>
      <c r="E129" s="140">
        <f>4+1+3</f>
        <v>8</v>
      </c>
      <c r="F129" s="140">
        <f>4+2</f>
        <v>6</v>
      </c>
      <c r="G129" s="140">
        <f>10+1+4</f>
        <v>15</v>
      </c>
      <c r="H129" s="140">
        <f>7+2</f>
        <v>9</v>
      </c>
      <c r="I129" s="140">
        <f>11+2</f>
        <v>13</v>
      </c>
      <c r="J129" s="140">
        <f>4+1+4</f>
        <v>9</v>
      </c>
      <c r="K129" s="140">
        <f>7+3</f>
        <v>10</v>
      </c>
      <c r="L129" s="140">
        <f>9+1</f>
        <v>10</v>
      </c>
      <c r="M129" s="140">
        <f>8+1</f>
        <v>9</v>
      </c>
      <c r="N129" s="140">
        <f>11+4</f>
        <v>15</v>
      </c>
      <c r="O129" s="140">
        <f>4+1+1</f>
        <v>6</v>
      </c>
      <c r="P129" s="140">
        <f>10+6</f>
        <v>16</v>
      </c>
      <c r="Q129" s="140">
        <f>8+9</f>
        <v>17</v>
      </c>
      <c r="R129" s="140">
        <f>13+4</f>
        <v>17</v>
      </c>
      <c r="S129" s="140">
        <f>11+5</f>
        <v>16</v>
      </c>
      <c r="T129" s="140">
        <f>11+4</f>
        <v>15</v>
      </c>
      <c r="U129" s="140">
        <f>6+5</f>
        <v>11</v>
      </c>
      <c r="V129" s="140">
        <f>9+7</f>
        <v>16</v>
      </c>
      <c r="W129" s="140">
        <f>6+5</f>
        <v>11</v>
      </c>
      <c r="X129" s="140">
        <f>13+7</f>
        <v>20</v>
      </c>
      <c r="Y129" s="140">
        <f>12+1+2</f>
        <v>15</v>
      </c>
      <c r="Z129" s="140">
        <f>16+1</f>
        <v>17</v>
      </c>
      <c r="AA129" s="140">
        <f>11+1+6</f>
        <v>18</v>
      </c>
      <c r="AB129" s="140">
        <f>6+1</f>
        <v>7</v>
      </c>
      <c r="AC129" s="140">
        <f>11+3</f>
        <v>14</v>
      </c>
      <c r="AD129" s="140">
        <f>13+6</f>
        <v>19</v>
      </c>
      <c r="AE129" s="140">
        <f>8+6</f>
        <v>14</v>
      </c>
      <c r="AF129" s="139">
        <f>9+1</f>
        <v>10</v>
      </c>
      <c r="AG129" s="64">
        <f t="shared" si="15"/>
        <v>384</v>
      </c>
    </row>
    <row r="130" spans="1:35" ht="18.75" x14ac:dyDescent="0.25">
      <c r="A130" s="315" t="s">
        <v>89</v>
      </c>
      <c r="B130" s="261">
        <f t="shared" ref="B130:AF130" si="18">SUM(B131:B143)</f>
        <v>114</v>
      </c>
      <c r="C130" s="166">
        <f t="shared" si="18"/>
        <v>110</v>
      </c>
      <c r="D130" s="166">
        <f t="shared" si="18"/>
        <v>127</v>
      </c>
      <c r="E130" s="166">
        <f t="shared" si="18"/>
        <v>137</v>
      </c>
      <c r="F130" s="166">
        <f t="shared" si="18"/>
        <v>110</v>
      </c>
      <c r="G130" s="166">
        <f t="shared" si="18"/>
        <v>132</v>
      </c>
      <c r="H130" s="166">
        <f t="shared" si="18"/>
        <v>103</v>
      </c>
      <c r="I130" s="166">
        <f t="shared" si="18"/>
        <v>136</v>
      </c>
      <c r="J130" s="166">
        <f t="shared" si="18"/>
        <v>120</v>
      </c>
      <c r="K130" s="166">
        <f t="shared" si="18"/>
        <v>129</v>
      </c>
      <c r="L130" s="166">
        <f t="shared" si="18"/>
        <v>114</v>
      </c>
      <c r="M130" s="166">
        <f t="shared" si="18"/>
        <v>122</v>
      </c>
      <c r="N130" s="166">
        <f t="shared" si="18"/>
        <v>141</v>
      </c>
      <c r="O130" s="166">
        <f t="shared" si="18"/>
        <v>125</v>
      </c>
      <c r="P130" s="166">
        <f t="shared" si="18"/>
        <v>135</v>
      </c>
      <c r="Q130" s="166">
        <f t="shared" si="18"/>
        <v>150</v>
      </c>
      <c r="R130" s="166">
        <f t="shared" si="18"/>
        <v>174</v>
      </c>
      <c r="S130" s="166">
        <f t="shared" si="18"/>
        <v>133</v>
      </c>
      <c r="T130" s="166">
        <f t="shared" si="18"/>
        <v>129</v>
      </c>
      <c r="U130" s="166">
        <f t="shared" si="18"/>
        <v>148</v>
      </c>
      <c r="V130" s="166">
        <f t="shared" si="18"/>
        <v>148</v>
      </c>
      <c r="W130" s="166">
        <f t="shared" si="18"/>
        <v>156</v>
      </c>
      <c r="X130" s="166">
        <f t="shared" si="18"/>
        <v>187</v>
      </c>
      <c r="Y130" s="166">
        <f t="shared" si="18"/>
        <v>190</v>
      </c>
      <c r="Z130" s="166">
        <f t="shared" si="18"/>
        <v>156</v>
      </c>
      <c r="AA130" s="166">
        <f t="shared" si="18"/>
        <v>176</v>
      </c>
      <c r="AB130" s="166">
        <f t="shared" si="18"/>
        <v>144</v>
      </c>
      <c r="AC130" s="166">
        <f t="shared" si="18"/>
        <v>148</v>
      </c>
      <c r="AD130" s="166">
        <f t="shared" si="18"/>
        <v>164</v>
      </c>
      <c r="AE130" s="166">
        <f t="shared" si="18"/>
        <v>148</v>
      </c>
      <c r="AF130" s="165">
        <f t="shared" si="18"/>
        <v>154</v>
      </c>
      <c r="AG130" s="164">
        <f t="shared" si="15"/>
        <v>4360</v>
      </c>
      <c r="AH130" s="152" t="str">
        <f>IF(AG130&lt;&gt;AG93,"*","")</f>
        <v/>
      </c>
    </row>
    <row r="131" spans="1:35" ht="18.75" x14ac:dyDescent="0.25">
      <c r="A131" s="323" t="s">
        <v>67</v>
      </c>
      <c r="B131" s="249">
        <v>15</v>
      </c>
      <c r="C131" s="162">
        <v>24</v>
      </c>
      <c r="D131" s="162">
        <v>17</v>
      </c>
      <c r="E131" s="162">
        <v>8</v>
      </c>
      <c r="F131" s="162">
        <v>19</v>
      </c>
      <c r="G131" s="162">
        <v>20</v>
      </c>
      <c r="H131" s="162">
        <v>16</v>
      </c>
      <c r="I131" s="162">
        <v>23</v>
      </c>
      <c r="J131" s="162">
        <v>21</v>
      </c>
      <c r="K131" s="162">
        <v>10</v>
      </c>
      <c r="L131" s="162">
        <v>7</v>
      </c>
      <c r="M131" s="162">
        <v>22</v>
      </c>
      <c r="N131" s="162">
        <v>12</v>
      </c>
      <c r="O131" s="162">
        <v>22</v>
      </c>
      <c r="P131" s="162">
        <v>18</v>
      </c>
      <c r="Q131" s="162">
        <v>31</v>
      </c>
      <c r="R131" s="162">
        <v>15</v>
      </c>
      <c r="S131" s="162">
        <v>11</v>
      </c>
      <c r="T131" s="162">
        <v>28</v>
      </c>
      <c r="U131" s="162">
        <v>27</v>
      </c>
      <c r="V131" s="162">
        <v>25</v>
      </c>
      <c r="W131" s="162">
        <v>25</v>
      </c>
      <c r="X131" s="162">
        <v>22</v>
      </c>
      <c r="Y131" s="162">
        <v>16</v>
      </c>
      <c r="Z131" s="162">
        <v>11</v>
      </c>
      <c r="AA131" s="162">
        <v>19</v>
      </c>
      <c r="AB131" s="162">
        <v>22</v>
      </c>
      <c r="AC131" s="162">
        <v>24</v>
      </c>
      <c r="AD131" s="162">
        <v>31</v>
      </c>
      <c r="AE131" s="162">
        <v>23</v>
      </c>
      <c r="AF131" s="161">
        <v>17</v>
      </c>
      <c r="AG131" s="64">
        <f t="shared" ref="AG131:AG145" si="19">SUM(B131:AF131)</f>
        <v>601</v>
      </c>
    </row>
    <row r="132" spans="1:35" ht="18.75" x14ac:dyDescent="0.25">
      <c r="A132" s="323" t="s">
        <v>69</v>
      </c>
      <c r="B132" s="249">
        <v>6</v>
      </c>
      <c r="C132" s="162">
        <v>3</v>
      </c>
      <c r="D132" s="162">
        <v>2</v>
      </c>
      <c r="E132" s="162">
        <v>3</v>
      </c>
      <c r="F132" s="162">
        <v>3</v>
      </c>
      <c r="G132" s="162">
        <v>3</v>
      </c>
      <c r="H132" s="162">
        <v>3</v>
      </c>
      <c r="I132" s="162">
        <v>8</v>
      </c>
      <c r="J132" s="162">
        <v>2</v>
      </c>
      <c r="K132" s="162">
        <v>3</v>
      </c>
      <c r="L132" s="162">
        <v>2</v>
      </c>
      <c r="M132" s="162">
        <v>1</v>
      </c>
      <c r="N132" s="162">
        <v>3</v>
      </c>
      <c r="O132" s="162">
        <v>3</v>
      </c>
      <c r="P132" s="162">
        <v>4</v>
      </c>
      <c r="Q132" s="162">
        <v>6</v>
      </c>
      <c r="R132" s="162">
        <v>1</v>
      </c>
      <c r="S132" s="162">
        <v>1</v>
      </c>
      <c r="T132" s="162">
        <v>3</v>
      </c>
      <c r="U132" s="162">
        <v>4</v>
      </c>
      <c r="V132" s="162">
        <v>5</v>
      </c>
      <c r="W132" s="162">
        <v>6</v>
      </c>
      <c r="X132" s="162">
        <v>4</v>
      </c>
      <c r="Y132" s="162">
        <v>1</v>
      </c>
      <c r="Z132" s="162">
        <v>4</v>
      </c>
      <c r="AA132" s="162">
        <v>3</v>
      </c>
      <c r="AB132" s="162">
        <v>2</v>
      </c>
      <c r="AC132" s="162">
        <v>6</v>
      </c>
      <c r="AD132" s="162">
        <v>8</v>
      </c>
      <c r="AE132" s="162">
        <v>3</v>
      </c>
      <c r="AF132" s="161">
        <v>1</v>
      </c>
      <c r="AG132" s="64">
        <f t="shared" si="19"/>
        <v>107</v>
      </c>
    </row>
    <row r="133" spans="1:35" ht="18.75" x14ac:dyDescent="0.25">
      <c r="A133" s="323" t="s">
        <v>68</v>
      </c>
      <c r="B133" s="249">
        <v>9</v>
      </c>
      <c r="C133" s="162">
        <v>3</v>
      </c>
      <c r="D133" s="162">
        <v>5</v>
      </c>
      <c r="E133" s="162">
        <v>2</v>
      </c>
      <c r="F133" s="162">
        <v>3</v>
      </c>
      <c r="G133" s="162">
        <v>4</v>
      </c>
      <c r="H133" s="162">
        <v>4</v>
      </c>
      <c r="I133" s="162">
        <v>5</v>
      </c>
      <c r="J133" s="162">
        <v>2</v>
      </c>
      <c r="K133" s="162">
        <v>1</v>
      </c>
      <c r="L133" s="162">
        <v>4</v>
      </c>
      <c r="M133" s="162">
        <v>6</v>
      </c>
      <c r="N133" s="162">
        <v>4</v>
      </c>
      <c r="O133" s="162">
        <v>1</v>
      </c>
      <c r="P133" s="162">
        <v>9</v>
      </c>
      <c r="Q133" s="162">
        <v>10</v>
      </c>
      <c r="R133" s="162">
        <v>4</v>
      </c>
      <c r="S133" s="162">
        <v>4</v>
      </c>
      <c r="T133" s="162">
        <v>5</v>
      </c>
      <c r="U133" s="162">
        <v>3</v>
      </c>
      <c r="V133" s="162">
        <v>3</v>
      </c>
      <c r="W133" s="162">
        <v>9</v>
      </c>
      <c r="X133" s="162">
        <v>6</v>
      </c>
      <c r="Y133" s="162">
        <v>6</v>
      </c>
      <c r="Z133" s="162">
        <v>2</v>
      </c>
      <c r="AA133" s="162">
        <v>2</v>
      </c>
      <c r="AB133" s="162">
        <v>5</v>
      </c>
      <c r="AC133" s="162">
        <v>6</v>
      </c>
      <c r="AD133" s="162">
        <v>9</v>
      </c>
      <c r="AE133" s="162">
        <v>7</v>
      </c>
      <c r="AF133" s="161">
        <v>3</v>
      </c>
      <c r="AG133" s="64">
        <f t="shared" si="19"/>
        <v>146</v>
      </c>
    </row>
    <row r="134" spans="1:35" ht="18.75" x14ac:dyDescent="0.25">
      <c r="A134" s="323" t="s">
        <v>66</v>
      </c>
      <c r="B134" s="249">
        <f>3+2</f>
        <v>5</v>
      </c>
      <c r="C134" s="162">
        <f>5+1</f>
        <v>6</v>
      </c>
      <c r="D134" s="162">
        <f>1+2+3</f>
        <v>6</v>
      </c>
      <c r="E134" s="162">
        <f>1+3</f>
        <v>4</v>
      </c>
      <c r="F134" s="162">
        <f>1+2</f>
        <v>3</v>
      </c>
      <c r="G134" s="162">
        <f>1+4+1</f>
        <v>6</v>
      </c>
      <c r="H134" s="162">
        <f>1+3</f>
        <v>4</v>
      </c>
      <c r="I134" s="162">
        <f>4+1</f>
        <v>5</v>
      </c>
      <c r="J134" s="162">
        <f>4+2</f>
        <v>6</v>
      </c>
      <c r="K134" s="162">
        <f>1+4</f>
        <v>5</v>
      </c>
      <c r="L134" s="162">
        <f>1+4+1</f>
        <v>6</v>
      </c>
      <c r="M134" s="162">
        <f>3+1</f>
        <v>4</v>
      </c>
      <c r="N134" s="162">
        <f>4+2</f>
        <v>6</v>
      </c>
      <c r="O134" s="162">
        <f>5+5</f>
        <v>10</v>
      </c>
      <c r="P134" s="162">
        <f>6+2</f>
        <v>8</v>
      </c>
      <c r="Q134" s="162">
        <f>3+3</f>
        <v>6</v>
      </c>
      <c r="R134" s="162">
        <f>2+3</f>
        <v>5</v>
      </c>
      <c r="S134" s="162">
        <f>3+2</f>
        <v>5</v>
      </c>
      <c r="T134" s="162">
        <f>1+3</f>
        <v>4</v>
      </c>
      <c r="U134" s="162">
        <f>1+5+1</f>
        <v>7</v>
      </c>
      <c r="V134" s="162">
        <v>9</v>
      </c>
      <c r="W134" s="162">
        <f>1+4+1</f>
        <v>6</v>
      </c>
      <c r="X134" s="162">
        <f>1+4</f>
        <v>5</v>
      </c>
      <c r="Y134" s="162">
        <f>5+3</f>
        <v>8</v>
      </c>
      <c r="Z134" s="162">
        <v>6</v>
      </c>
      <c r="AA134" s="162">
        <f>6+1</f>
        <v>7</v>
      </c>
      <c r="AB134" s="162">
        <f>5+2</f>
        <v>7</v>
      </c>
      <c r="AC134" s="162">
        <f>3+1</f>
        <v>4</v>
      </c>
      <c r="AD134" s="162">
        <v>4</v>
      </c>
      <c r="AE134" s="162">
        <f>1+7+1</f>
        <v>9</v>
      </c>
      <c r="AF134" s="161">
        <f>2+2</f>
        <v>4</v>
      </c>
      <c r="AG134" s="64">
        <f t="shared" si="19"/>
        <v>180</v>
      </c>
    </row>
    <row r="135" spans="1:35" ht="18.75" x14ac:dyDescent="0.25">
      <c r="A135" s="323" t="s">
        <v>65</v>
      </c>
      <c r="B135" s="249">
        <v>7</v>
      </c>
      <c r="C135" s="162">
        <v>6</v>
      </c>
      <c r="D135" s="162">
        <v>3</v>
      </c>
      <c r="E135" s="162">
        <v>4</v>
      </c>
      <c r="F135" s="162">
        <v>2</v>
      </c>
      <c r="G135" s="162">
        <v>5</v>
      </c>
      <c r="H135" s="162">
        <v>5</v>
      </c>
      <c r="I135" s="162">
        <v>5</v>
      </c>
      <c r="J135" s="162">
        <v>3</v>
      </c>
      <c r="K135" s="162">
        <v>1</v>
      </c>
      <c r="L135" s="162">
        <v>1</v>
      </c>
      <c r="M135" s="162">
        <v>2</v>
      </c>
      <c r="N135" s="162">
        <v>6</v>
      </c>
      <c r="O135" s="162">
        <v>3</v>
      </c>
      <c r="P135" s="162">
        <v>3</v>
      </c>
      <c r="Q135" s="162">
        <v>8</v>
      </c>
      <c r="R135" s="162"/>
      <c r="S135" s="162">
        <v>1</v>
      </c>
      <c r="T135" s="162">
        <v>4</v>
      </c>
      <c r="U135" s="162">
        <v>1</v>
      </c>
      <c r="V135" s="162">
        <v>6</v>
      </c>
      <c r="W135" s="162">
        <v>3</v>
      </c>
      <c r="X135" s="162">
        <v>14</v>
      </c>
      <c r="Y135" s="162">
        <v>3</v>
      </c>
      <c r="Z135" s="162">
        <v>4</v>
      </c>
      <c r="AA135" s="162">
        <v>7</v>
      </c>
      <c r="AB135" s="162">
        <v>8</v>
      </c>
      <c r="AC135" s="162">
        <v>8</v>
      </c>
      <c r="AD135" s="162">
        <v>7</v>
      </c>
      <c r="AE135" s="162">
        <v>8</v>
      </c>
      <c r="AF135" s="161"/>
      <c r="AG135" s="64">
        <f t="shared" si="19"/>
        <v>138</v>
      </c>
    </row>
    <row r="136" spans="1:35" ht="18.75" x14ac:dyDescent="0.25">
      <c r="A136" s="323" t="s">
        <v>64</v>
      </c>
      <c r="B136" s="249">
        <v>54</v>
      </c>
      <c r="C136" s="162">
        <v>43</v>
      </c>
      <c r="D136" s="162">
        <v>83</v>
      </c>
      <c r="E136" s="162">
        <v>95</v>
      </c>
      <c r="F136" s="162">
        <v>66</v>
      </c>
      <c r="G136" s="162">
        <v>70</v>
      </c>
      <c r="H136" s="162">
        <v>55</v>
      </c>
      <c r="I136" s="162">
        <v>69</v>
      </c>
      <c r="J136" s="162">
        <v>62</v>
      </c>
      <c r="K136" s="162">
        <v>88</v>
      </c>
      <c r="L136" s="162">
        <v>77</v>
      </c>
      <c r="M136" s="162">
        <v>71</v>
      </c>
      <c r="N136" s="162">
        <v>89</v>
      </c>
      <c r="O136" s="162">
        <v>69</v>
      </c>
      <c r="P136" s="162">
        <v>62</v>
      </c>
      <c r="Q136" s="162">
        <v>60</v>
      </c>
      <c r="R136" s="162">
        <v>116</v>
      </c>
      <c r="S136" s="162">
        <v>87</v>
      </c>
      <c r="T136" s="162">
        <v>62</v>
      </c>
      <c r="U136" s="162">
        <v>76</v>
      </c>
      <c r="V136" s="162">
        <v>67</v>
      </c>
      <c r="W136" s="162">
        <v>80</v>
      </c>
      <c r="X136" s="162">
        <v>103</v>
      </c>
      <c r="Y136" s="162">
        <v>130</v>
      </c>
      <c r="Z136" s="162">
        <v>102</v>
      </c>
      <c r="AA136" s="162">
        <v>113</v>
      </c>
      <c r="AB136" s="162">
        <v>74</v>
      </c>
      <c r="AC136" s="162">
        <v>78</v>
      </c>
      <c r="AD136" s="162">
        <v>80</v>
      </c>
      <c r="AE136" s="162">
        <v>75</v>
      </c>
      <c r="AF136" s="161">
        <v>110</v>
      </c>
      <c r="AG136" s="64">
        <f t="shared" si="19"/>
        <v>2466</v>
      </c>
    </row>
    <row r="137" spans="1:35" ht="18.75" x14ac:dyDescent="0.25">
      <c r="A137" s="323" t="s">
        <v>63</v>
      </c>
      <c r="B137" s="249">
        <v>1</v>
      </c>
      <c r="C137" s="162">
        <f>6+2</f>
        <v>8</v>
      </c>
      <c r="D137" s="162"/>
      <c r="E137" s="162">
        <v>1</v>
      </c>
      <c r="F137" s="162">
        <v>1</v>
      </c>
      <c r="G137" s="162">
        <v>3</v>
      </c>
      <c r="H137" s="162">
        <v>2</v>
      </c>
      <c r="I137" s="162">
        <v>3</v>
      </c>
      <c r="J137" s="162">
        <v>5</v>
      </c>
      <c r="K137" s="162">
        <v>1</v>
      </c>
      <c r="L137" s="162">
        <v>3</v>
      </c>
      <c r="M137" s="162">
        <v>1</v>
      </c>
      <c r="N137" s="162">
        <v>2</v>
      </c>
      <c r="O137" s="162">
        <v>3</v>
      </c>
      <c r="P137" s="162">
        <f>3+1</f>
        <v>4</v>
      </c>
      <c r="Q137" s="162">
        <v>2</v>
      </c>
      <c r="R137" s="162">
        <f>3+1</f>
        <v>4</v>
      </c>
      <c r="S137" s="162">
        <v>2</v>
      </c>
      <c r="T137" s="162">
        <v>2</v>
      </c>
      <c r="U137" s="162">
        <v>4</v>
      </c>
      <c r="V137" s="162">
        <f>2+1</f>
        <v>3</v>
      </c>
      <c r="W137" s="162">
        <v>3</v>
      </c>
      <c r="X137" s="162">
        <v>3</v>
      </c>
      <c r="Y137" s="162">
        <v>1</v>
      </c>
      <c r="Z137" s="162">
        <v>3</v>
      </c>
      <c r="AA137" s="162">
        <v>2</v>
      </c>
      <c r="AB137" s="162">
        <f>5+1</f>
        <v>6</v>
      </c>
      <c r="AC137" s="162">
        <v>3</v>
      </c>
      <c r="AD137" s="162">
        <f>2+2</f>
        <v>4</v>
      </c>
      <c r="AE137" s="162">
        <v>3</v>
      </c>
      <c r="AF137" s="161">
        <v>1</v>
      </c>
      <c r="AG137" s="64">
        <f t="shared" si="19"/>
        <v>84</v>
      </c>
    </row>
    <row r="138" spans="1:35" ht="18.75" x14ac:dyDescent="0.25">
      <c r="A138" s="323" t="s">
        <v>62</v>
      </c>
      <c r="B138" s="249">
        <v>1</v>
      </c>
      <c r="C138" s="162">
        <v>1</v>
      </c>
      <c r="D138" s="162"/>
      <c r="E138" s="162">
        <v>1</v>
      </c>
      <c r="F138" s="162">
        <v>3</v>
      </c>
      <c r="G138" s="162"/>
      <c r="H138" s="162"/>
      <c r="I138" s="162"/>
      <c r="J138" s="162">
        <v>2</v>
      </c>
      <c r="K138" s="162"/>
      <c r="L138" s="162"/>
      <c r="M138" s="162">
        <v>1</v>
      </c>
      <c r="N138" s="162"/>
      <c r="O138" s="162">
        <v>1</v>
      </c>
      <c r="P138" s="162">
        <v>1</v>
      </c>
      <c r="Q138" s="162">
        <v>1</v>
      </c>
      <c r="R138" s="162"/>
      <c r="S138" s="162"/>
      <c r="T138" s="162"/>
      <c r="U138" s="162">
        <v>1</v>
      </c>
      <c r="V138" s="162">
        <v>2</v>
      </c>
      <c r="W138" s="162">
        <v>1</v>
      </c>
      <c r="X138" s="162">
        <v>2</v>
      </c>
      <c r="Y138" s="162">
        <v>1</v>
      </c>
      <c r="Z138" s="162"/>
      <c r="AA138" s="162">
        <v>2</v>
      </c>
      <c r="AB138" s="162">
        <v>1</v>
      </c>
      <c r="AC138" s="162">
        <v>2</v>
      </c>
      <c r="AD138" s="162"/>
      <c r="AE138" s="162"/>
      <c r="AF138" s="161"/>
      <c r="AG138" s="64">
        <f t="shared" si="19"/>
        <v>24</v>
      </c>
    </row>
    <row r="139" spans="1:35" ht="18.75" x14ac:dyDescent="0.25">
      <c r="A139" s="301" t="s">
        <v>60</v>
      </c>
      <c r="B139" s="249">
        <v>2</v>
      </c>
      <c r="C139" s="162">
        <v>1</v>
      </c>
      <c r="D139" s="162"/>
      <c r="E139" s="162">
        <v>3</v>
      </c>
      <c r="F139" s="162"/>
      <c r="G139" s="162">
        <v>1</v>
      </c>
      <c r="H139" s="162"/>
      <c r="I139" s="162">
        <v>1</v>
      </c>
      <c r="J139" s="162">
        <v>2</v>
      </c>
      <c r="K139" s="162">
        <v>1</v>
      </c>
      <c r="L139" s="162">
        <v>2</v>
      </c>
      <c r="M139" s="162">
        <v>1</v>
      </c>
      <c r="N139" s="162">
        <v>1</v>
      </c>
      <c r="O139" s="162">
        <v>4</v>
      </c>
      <c r="P139" s="162">
        <v>1</v>
      </c>
      <c r="Q139" s="162">
        <v>2</v>
      </c>
      <c r="R139" s="162">
        <v>8</v>
      </c>
      <c r="S139" s="162">
        <v>2</v>
      </c>
      <c r="T139" s="162">
        <v>2</v>
      </c>
      <c r="U139" s="162">
        <v>4</v>
      </c>
      <c r="V139" s="162">
        <v>6</v>
      </c>
      <c r="W139" s="162">
        <v>4</v>
      </c>
      <c r="X139" s="162">
        <v>1</v>
      </c>
      <c r="Y139" s="162">
        <v>2</v>
      </c>
      <c r="Z139" s="162">
        <v>1</v>
      </c>
      <c r="AA139" s="162"/>
      <c r="AB139" s="162">
        <v>3</v>
      </c>
      <c r="AC139" s="162">
        <v>1</v>
      </c>
      <c r="AD139" s="162">
        <v>1</v>
      </c>
      <c r="AE139" s="162">
        <v>2</v>
      </c>
      <c r="AF139" s="161">
        <v>2</v>
      </c>
      <c r="AG139" s="64">
        <f t="shared" si="19"/>
        <v>61</v>
      </c>
    </row>
    <row r="140" spans="1:35" ht="18.75" x14ac:dyDescent="0.25">
      <c r="A140" s="301" t="s">
        <v>59</v>
      </c>
      <c r="B140" s="249">
        <v>1</v>
      </c>
      <c r="C140" s="162">
        <v>1</v>
      </c>
      <c r="D140" s="162">
        <v>1</v>
      </c>
      <c r="E140" s="162"/>
      <c r="F140" s="162">
        <v>1</v>
      </c>
      <c r="G140" s="162"/>
      <c r="H140" s="162">
        <v>1</v>
      </c>
      <c r="I140" s="162"/>
      <c r="J140" s="162"/>
      <c r="K140" s="162">
        <v>2</v>
      </c>
      <c r="L140" s="162">
        <v>1</v>
      </c>
      <c r="M140" s="162">
        <v>2</v>
      </c>
      <c r="N140" s="162"/>
      <c r="O140" s="162"/>
      <c r="P140" s="162">
        <v>2</v>
      </c>
      <c r="Q140" s="162">
        <v>1</v>
      </c>
      <c r="R140" s="162">
        <v>1</v>
      </c>
      <c r="S140" s="162">
        <v>3</v>
      </c>
      <c r="T140" s="162">
        <v>2</v>
      </c>
      <c r="U140" s="162">
        <v>2</v>
      </c>
      <c r="V140" s="162"/>
      <c r="W140" s="162"/>
      <c r="X140" s="162">
        <v>1</v>
      </c>
      <c r="Y140" s="162">
        <v>2</v>
      </c>
      <c r="Z140" s="162">
        <v>1</v>
      </c>
      <c r="AA140" s="162">
        <v>1</v>
      </c>
      <c r="AB140" s="162"/>
      <c r="AC140" s="162"/>
      <c r="AD140" s="162">
        <v>1</v>
      </c>
      <c r="AE140" s="162">
        <v>1</v>
      </c>
      <c r="AF140" s="161">
        <v>2</v>
      </c>
      <c r="AG140" s="64">
        <f t="shared" si="19"/>
        <v>30</v>
      </c>
    </row>
    <row r="141" spans="1:35" ht="18.75" x14ac:dyDescent="0.25">
      <c r="A141" s="301" t="s">
        <v>58</v>
      </c>
      <c r="B141" s="249"/>
      <c r="C141" s="162"/>
      <c r="D141" s="162"/>
      <c r="E141" s="162"/>
      <c r="F141" s="162"/>
      <c r="G141" s="162"/>
      <c r="H141" s="162"/>
      <c r="I141" s="162"/>
      <c r="J141" s="162"/>
      <c r="K141" s="162"/>
      <c r="L141" s="162"/>
      <c r="M141" s="162"/>
      <c r="N141" s="162">
        <v>1</v>
      </c>
      <c r="O141" s="162">
        <v>1</v>
      </c>
      <c r="P141" s="162">
        <v>1</v>
      </c>
      <c r="Q141" s="162"/>
      <c r="R141" s="162"/>
      <c r="S141" s="162"/>
      <c r="T141" s="162"/>
      <c r="U141" s="162">
        <v>2</v>
      </c>
      <c r="V141" s="162">
        <v>1</v>
      </c>
      <c r="W141" s="162"/>
      <c r="X141" s="162"/>
      <c r="Y141" s="162"/>
      <c r="Z141" s="162">
        <v>3</v>
      </c>
      <c r="AA141" s="162"/>
      <c r="AB141" s="162"/>
      <c r="AC141" s="162"/>
      <c r="AD141" s="162"/>
      <c r="AE141" s="162"/>
      <c r="AF141" s="161"/>
      <c r="AG141" s="64">
        <f t="shared" si="19"/>
        <v>9</v>
      </c>
    </row>
    <row r="142" spans="1:35" ht="18.75" x14ac:dyDescent="0.25">
      <c r="A142" s="323" t="s">
        <v>88</v>
      </c>
      <c r="B142" s="249">
        <f>1+1+1+2+1</f>
        <v>6</v>
      </c>
      <c r="C142" s="162">
        <f>1+2+1+1</f>
        <v>5</v>
      </c>
      <c r="D142" s="162">
        <f>1+2+1+1+1</f>
        <v>6</v>
      </c>
      <c r="E142" s="162">
        <f>1+1+1+1+1+2+1</f>
        <v>8</v>
      </c>
      <c r="F142" s="162">
        <f>1+1+1</f>
        <v>3</v>
      </c>
      <c r="G142" s="162">
        <f>1+1+2+1+1+1</f>
        <v>7</v>
      </c>
      <c r="H142" s="162">
        <f>2+1+1</f>
        <v>4</v>
      </c>
      <c r="I142" s="162">
        <f>1+1+2</f>
        <v>4</v>
      </c>
      <c r="J142" s="162">
        <f>2+2+1+1</f>
        <v>6</v>
      </c>
      <c r="K142" s="162">
        <f>1+3+2+1</f>
        <v>7</v>
      </c>
      <c r="L142" s="162">
        <f>1+1+1</f>
        <v>3</v>
      </c>
      <c r="M142" s="162">
        <f>1+1</f>
        <v>2</v>
      </c>
      <c r="N142" s="162">
        <f>1+1+2</f>
        <v>4</v>
      </c>
      <c r="O142" s="162">
        <f>2+1</f>
        <v>3</v>
      </c>
      <c r="P142" s="162">
        <f>1+1+4+1</f>
        <v>7</v>
      </c>
      <c r="Q142" s="162">
        <f>1+1+1+2+1</f>
        <v>6</v>
      </c>
      <c r="R142" s="162">
        <f>1+1+1+1+1+1</f>
        <v>6</v>
      </c>
      <c r="S142" s="162">
        <f>1+1+1</f>
        <v>3</v>
      </c>
      <c r="T142" s="162">
        <f>1+1</f>
        <v>2</v>
      </c>
      <c r="U142" s="162">
        <f>2+1+1+1+1</f>
        <v>6</v>
      </c>
      <c r="V142" s="162">
        <f>1+1+1+1+1+1</f>
        <v>6</v>
      </c>
      <c r="W142" s="162">
        <f>1+1+1+1+1+2+1</f>
        <v>8</v>
      </c>
      <c r="X142" s="162">
        <f>2+1+1+2+1</f>
        <v>7</v>
      </c>
      <c r="Y142" s="162">
        <f>2+1+3+1+1</f>
        <v>8</v>
      </c>
      <c r="Z142" s="162">
        <f>1+1</f>
        <v>2</v>
      </c>
      <c r="AA142" s="162">
        <f>1+1+1+1</f>
        <v>4</v>
      </c>
      <c r="AB142" s="162">
        <f>1+3+1+1+1+2</f>
        <v>9</v>
      </c>
      <c r="AC142" s="162">
        <f>1+2</f>
        <v>3</v>
      </c>
      <c r="AD142" s="162">
        <f>1+1+1</f>
        <v>3</v>
      </c>
      <c r="AE142" s="162">
        <f>1+1+1</f>
        <v>3</v>
      </c>
      <c r="AF142" s="161">
        <f>1+1+1+1</f>
        <v>4</v>
      </c>
      <c r="AG142" s="64">
        <f t="shared" si="19"/>
        <v>155</v>
      </c>
    </row>
    <row r="143" spans="1:35" ht="19.5" thickBot="1" x14ac:dyDescent="0.3">
      <c r="A143" s="324" t="s">
        <v>87</v>
      </c>
      <c r="B143" s="263">
        <f>3+4</f>
        <v>7</v>
      </c>
      <c r="C143" s="140">
        <f>5+4</f>
        <v>9</v>
      </c>
      <c r="D143" s="140">
        <v>4</v>
      </c>
      <c r="E143" s="140">
        <f>4+1+3</f>
        <v>8</v>
      </c>
      <c r="F143" s="140">
        <f>4+2</f>
        <v>6</v>
      </c>
      <c r="G143" s="140">
        <f>8+1+4</f>
        <v>13</v>
      </c>
      <c r="H143" s="140">
        <f>7+2</f>
        <v>9</v>
      </c>
      <c r="I143" s="140">
        <f>11+2</f>
        <v>13</v>
      </c>
      <c r="J143" s="140">
        <f>4+1+4</f>
        <v>9</v>
      </c>
      <c r="K143" s="140">
        <f>7+3</f>
        <v>10</v>
      </c>
      <c r="L143" s="140">
        <v>8</v>
      </c>
      <c r="M143" s="140">
        <f>8+1</f>
        <v>9</v>
      </c>
      <c r="N143" s="140">
        <f>9+4</f>
        <v>13</v>
      </c>
      <c r="O143" s="140">
        <f>4+1</f>
        <v>5</v>
      </c>
      <c r="P143" s="140">
        <f>9+6</f>
        <v>15</v>
      </c>
      <c r="Q143" s="140">
        <f>8+9</f>
        <v>17</v>
      </c>
      <c r="R143" s="140">
        <f>11+3</f>
        <v>14</v>
      </c>
      <c r="S143" s="140">
        <f>10+4</f>
        <v>14</v>
      </c>
      <c r="T143" s="140">
        <f>11+4</f>
        <v>15</v>
      </c>
      <c r="U143" s="140">
        <f>6+5</f>
        <v>11</v>
      </c>
      <c r="V143" s="140">
        <f>9+6</f>
        <v>15</v>
      </c>
      <c r="W143" s="140">
        <f>6+5</f>
        <v>11</v>
      </c>
      <c r="X143" s="140">
        <f>12+7</f>
        <v>19</v>
      </c>
      <c r="Y143" s="140">
        <f>9+1+2</f>
        <v>12</v>
      </c>
      <c r="Z143" s="140">
        <f>16+1</f>
        <v>17</v>
      </c>
      <c r="AA143" s="140">
        <f>10+1+5</f>
        <v>16</v>
      </c>
      <c r="AB143" s="140">
        <f>6+1</f>
        <v>7</v>
      </c>
      <c r="AC143" s="140">
        <f>10+3</f>
        <v>13</v>
      </c>
      <c r="AD143" s="140">
        <f>10+6</f>
        <v>16</v>
      </c>
      <c r="AE143" s="140">
        <f>8+6</f>
        <v>14</v>
      </c>
      <c r="AF143" s="139">
        <f>9+1</f>
        <v>10</v>
      </c>
      <c r="AG143" s="160">
        <f t="shared" si="19"/>
        <v>359</v>
      </c>
    </row>
    <row r="144" spans="1:35" ht="19.5" thickBot="1" x14ac:dyDescent="0.3">
      <c r="A144" s="309" t="s">
        <v>86</v>
      </c>
      <c r="B144" s="257">
        <f t="shared" ref="B144:AF144" si="20">+B146+B156+B158+B167</f>
        <v>114</v>
      </c>
      <c r="C144" s="158">
        <f t="shared" si="20"/>
        <v>110</v>
      </c>
      <c r="D144" s="158">
        <f t="shared" si="20"/>
        <v>127</v>
      </c>
      <c r="E144" s="158">
        <f t="shared" si="20"/>
        <v>137</v>
      </c>
      <c r="F144" s="158">
        <f t="shared" si="20"/>
        <v>110</v>
      </c>
      <c r="G144" s="158">
        <f t="shared" si="20"/>
        <v>132</v>
      </c>
      <c r="H144" s="158">
        <f t="shared" si="20"/>
        <v>103</v>
      </c>
      <c r="I144" s="158">
        <f t="shared" si="20"/>
        <v>136</v>
      </c>
      <c r="J144" s="158">
        <f t="shared" si="20"/>
        <v>120</v>
      </c>
      <c r="K144" s="158">
        <f t="shared" si="20"/>
        <v>129</v>
      </c>
      <c r="L144" s="158">
        <f t="shared" si="20"/>
        <v>114</v>
      </c>
      <c r="M144" s="158">
        <f t="shared" si="20"/>
        <v>122</v>
      </c>
      <c r="N144" s="158">
        <f t="shared" si="20"/>
        <v>141</v>
      </c>
      <c r="O144" s="158">
        <f t="shared" si="20"/>
        <v>125</v>
      </c>
      <c r="P144" s="158">
        <f t="shared" si="20"/>
        <v>135</v>
      </c>
      <c r="Q144" s="158">
        <f t="shared" si="20"/>
        <v>150</v>
      </c>
      <c r="R144" s="158">
        <f t="shared" si="20"/>
        <v>174</v>
      </c>
      <c r="S144" s="158">
        <f t="shared" si="20"/>
        <v>133</v>
      </c>
      <c r="T144" s="158">
        <f t="shared" si="20"/>
        <v>129</v>
      </c>
      <c r="U144" s="158">
        <f t="shared" si="20"/>
        <v>148</v>
      </c>
      <c r="V144" s="158">
        <f t="shared" si="20"/>
        <v>148</v>
      </c>
      <c r="W144" s="158">
        <f t="shared" si="20"/>
        <v>156</v>
      </c>
      <c r="X144" s="158">
        <f t="shared" si="20"/>
        <v>187</v>
      </c>
      <c r="Y144" s="158">
        <f t="shared" si="20"/>
        <v>190</v>
      </c>
      <c r="Z144" s="158">
        <f t="shared" si="20"/>
        <v>156</v>
      </c>
      <c r="AA144" s="158">
        <f t="shared" si="20"/>
        <v>176</v>
      </c>
      <c r="AB144" s="158">
        <f t="shared" si="20"/>
        <v>144</v>
      </c>
      <c r="AC144" s="158">
        <f t="shared" si="20"/>
        <v>148</v>
      </c>
      <c r="AD144" s="158">
        <f t="shared" si="20"/>
        <v>164</v>
      </c>
      <c r="AE144" s="158">
        <f t="shared" si="20"/>
        <v>148</v>
      </c>
      <c r="AF144" s="158">
        <f t="shared" si="20"/>
        <v>154</v>
      </c>
      <c r="AG144" s="157">
        <f t="shared" si="19"/>
        <v>4360</v>
      </c>
      <c r="AH144" s="85" t="str">
        <f>IF(AG144&lt;&gt;AG93,"*","")</f>
        <v/>
      </c>
      <c r="AI144" t="s">
        <v>85</v>
      </c>
    </row>
    <row r="145" spans="1:34" ht="19.5" thickBot="1" x14ac:dyDescent="0.3">
      <c r="A145" s="325" t="s">
        <v>84</v>
      </c>
      <c r="B145" s="264">
        <f t="shared" ref="B145:AF145" si="21">+B149+B155+B157+B172</f>
        <v>3</v>
      </c>
      <c r="C145" s="155">
        <f t="shared" si="21"/>
        <v>1</v>
      </c>
      <c r="D145" s="155">
        <f t="shared" si="21"/>
        <v>8</v>
      </c>
      <c r="E145" s="155">
        <f t="shared" si="21"/>
        <v>3</v>
      </c>
      <c r="F145" s="155">
        <f t="shared" si="21"/>
        <v>8</v>
      </c>
      <c r="G145" s="155">
        <f t="shared" si="21"/>
        <v>7</v>
      </c>
      <c r="H145" s="155">
        <f t="shared" si="21"/>
        <v>3</v>
      </c>
      <c r="I145" s="155">
        <f t="shared" si="21"/>
        <v>4</v>
      </c>
      <c r="J145" s="155">
        <f t="shared" si="21"/>
        <v>4</v>
      </c>
      <c r="K145" s="155">
        <f t="shared" si="21"/>
        <v>10</v>
      </c>
      <c r="L145" s="155">
        <f t="shared" si="21"/>
        <v>9</v>
      </c>
      <c r="M145" s="155">
        <f t="shared" si="21"/>
        <v>6</v>
      </c>
      <c r="N145" s="155">
        <f t="shared" si="21"/>
        <v>9</v>
      </c>
      <c r="O145" s="155">
        <f t="shared" si="21"/>
        <v>6</v>
      </c>
      <c r="P145" s="155">
        <f t="shared" si="21"/>
        <v>5</v>
      </c>
      <c r="Q145" s="155">
        <f t="shared" si="21"/>
        <v>7</v>
      </c>
      <c r="R145" s="155">
        <f t="shared" si="21"/>
        <v>15</v>
      </c>
      <c r="S145" s="155">
        <f t="shared" si="21"/>
        <v>8</v>
      </c>
      <c r="T145" s="155">
        <f t="shared" si="21"/>
        <v>9</v>
      </c>
      <c r="U145" s="155">
        <f t="shared" si="21"/>
        <v>10</v>
      </c>
      <c r="V145" s="155">
        <f t="shared" si="21"/>
        <v>3</v>
      </c>
      <c r="W145" s="155">
        <f t="shared" si="21"/>
        <v>9</v>
      </c>
      <c r="X145" s="155">
        <f t="shared" si="21"/>
        <v>4</v>
      </c>
      <c r="Y145" s="155">
        <f t="shared" si="21"/>
        <v>33</v>
      </c>
      <c r="Z145" s="155">
        <f t="shared" si="21"/>
        <v>10</v>
      </c>
      <c r="AA145" s="155">
        <f t="shared" si="21"/>
        <v>10</v>
      </c>
      <c r="AB145" s="155">
        <f t="shared" si="21"/>
        <v>7</v>
      </c>
      <c r="AC145" s="155">
        <f t="shared" si="21"/>
        <v>6</v>
      </c>
      <c r="AD145" s="155">
        <f t="shared" si="21"/>
        <v>14</v>
      </c>
      <c r="AE145" s="155">
        <f t="shared" si="21"/>
        <v>4</v>
      </c>
      <c r="AF145" s="154">
        <f t="shared" si="21"/>
        <v>5</v>
      </c>
      <c r="AG145" s="153">
        <f t="shared" si="19"/>
        <v>240</v>
      </c>
      <c r="AH145" s="152"/>
    </row>
    <row r="146" spans="1:34" ht="19.5" thickBot="1" x14ac:dyDescent="0.3">
      <c r="A146" s="326" t="s">
        <v>83</v>
      </c>
      <c r="B146" s="265">
        <f t="shared" ref="B146:AG147" si="22">+B148+B154</f>
        <v>0</v>
      </c>
      <c r="C146" s="8">
        <f t="shared" si="22"/>
        <v>0</v>
      </c>
      <c r="D146" s="8">
        <f t="shared" si="22"/>
        <v>0</v>
      </c>
      <c r="E146" s="8">
        <f t="shared" si="22"/>
        <v>0</v>
      </c>
      <c r="F146" s="8">
        <f t="shared" si="22"/>
        <v>0</v>
      </c>
      <c r="G146" s="8">
        <f t="shared" si="22"/>
        <v>0</v>
      </c>
      <c r="H146" s="8">
        <f t="shared" si="22"/>
        <v>0</v>
      </c>
      <c r="I146" s="8">
        <f t="shared" si="22"/>
        <v>0</v>
      </c>
      <c r="J146" s="8">
        <f t="shared" si="22"/>
        <v>0</v>
      </c>
      <c r="K146" s="8">
        <f t="shared" si="22"/>
        <v>0</v>
      </c>
      <c r="L146" s="8">
        <f t="shared" si="22"/>
        <v>0</v>
      </c>
      <c r="M146" s="8">
        <f t="shared" si="22"/>
        <v>0</v>
      </c>
      <c r="N146" s="8">
        <f t="shared" si="22"/>
        <v>0</v>
      </c>
      <c r="O146" s="8">
        <f t="shared" si="22"/>
        <v>0</v>
      </c>
      <c r="P146" s="8">
        <f t="shared" si="22"/>
        <v>0</v>
      </c>
      <c r="Q146" s="8">
        <f t="shared" si="22"/>
        <v>0</v>
      </c>
      <c r="R146" s="8">
        <f t="shared" si="22"/>
        <v>0</v>
      </c>
      <c r="S146" s="8">
        <f t="shared" si="22"/>
        <v>0</v>
      </c>
      <c r="T146" s="8">
        <f t="shared" si="22"/>
        <v>0</v>
      </c>
      <c r="U146" s="8">
        <f t="shared" si="22"/>
        <v>0</v>
      </c>
      <c r="V146" s="8">
        <f t="shared" si="22"/>
        <v>0</v>
      </c>
      <c r="W146" s="8">
        <f t="shared" si="22"/>
        <v>0</v>
      </c>
      <c r="X146" s="8">
        <f t="shared" si="22"/>
        <v>0</v>
      </c>
      <c r="Y146" s="8">
        <f t="shared" si="22"/>
        <v>0</v>
      </c>
      <c r="Z146" s="8">
        <f t="shared" si="22"/>
        <v>0</v>
      </c>
      <c r="AA146" s="8">
        <f t="shared" si="22"/>
        <v>0</v>
      </c>
      <c r="AB146" s="8">
        <f t="shared" si="22"/>
        <v>0</v>
      </c>
      <c r="AC146" s="8">
        <f t="shared" si="22"/>
        <v>0</v>
      </c>
      <c r="AD146" s="8">
        <f t="shared" si="22"/>
        <v>0</v>
      </c>
      <c r="AE146" s="8">
        <f t="shared" si="22"/>
        <v>0</v>
      </c>
      <c r="AF146" s="150">
        <f t="shared" si="22"/>
        <v>0</v>
      </c>
      <c r="AG146" s="149">
        <f t="shared" si="22"/>
        <v>0</v>
      </c>
    </row>
    <row r="147" spans="1:34" ht="19.5" thickBot="1" x14ac:dyDescent="0.3">
      <c r="A147" s="327" t="s">
        <v>82</v>
      </c>
      <c r="B147" s="266">
        <f t="shared" si="22"/>
        <v>0</v>
      </c>
      <c r="C147" s="143">
        <f t="shared" si="22"/>
        <v>0</v>
      </c>
      <c r="D147" s="143">
        <f t="shared" si="22"/>
        <v>0</v>
      </c>
      <c r="E147" s="143">
        <f t="shared" si="22"/>
        <v>0</v>
      </c>
      <c r="F147" s="143">
        <f t="shared" si="22"/>
        <v>0</v>
      </c>
      <c r="G147" s="143">
        <f t="shared" si="22"/>
        <v>0</v>
      </c>
      <c r="H147" s="143">
        <f t="shared" si="22"/>
        <v>0</v>
      </c>
      <c r="I147" s="143">
        <f t="shared" si="22"/>
        <v>0</v>
      </c>
      <c r="J147" s="143">
        <f t="shared" si="22"/>
        <v>0</v>
      </c>
      <c r="K147" s="143">
        <f t="shared" si="22"/>
        <v>0</v>
      </c>
      <c r="L147" s="143">
        <f t="shared" si="22"/>
        <v>0</v>
      </c>
      <c r="M147" s="143">
        <f t="shared" si="22"/>
        <v>0</v>
      </c>
      <c r="N147" s="143">
        <f t="shared" si="22"/>
        <v>0</v>
      </c>
      <c r="O147" s="143">
        <f t="shared" si="22"/>
        <v>0</v>
      </c>
      <c r="P147" s="143">
        <f t="shared" si="22"/>
        <v>0</v>
      </c>
      <c r="Q147" s="143">
        <f t="shared" si="22"/>
        <v>0</v>
      </c>
      <c r="R147" s="143">
        <f t="shared" si="22"/>
        <v>0</v>
      </c>
      <c r="S147" s="143">
        <f t="shared" si="22"/>
        <v>0</v>
      </c>
      <c r="T147" s="143">
        <f t="shared" si="22"/>
        <v>0</v>
      </c>
      <c r="U147" s="143">
        <f t="shared" si="22"/>
        <v>0</v>
      </c>
      <c r="V147" s="143">
        <f t="shared" si="22"/>
        <v>0</v>
      </c>
      <c r="W147" s="143">
        <f t="shared" si="22"/>
        <v>0</v>
      </c>
      <c r="X147" s="143">
        <f t="shared" si="22"/>
        <v>0</v>
      </c>
      <c r="Y147" s="143">
        <f t="shared" si="22"/>
        <v>0</v>
      </c>
      <c r="Z147" s="143">
        <f t="shared" si="22"/>
        <v>0</v>
      </c>
      <c r="AA147" s="143">
        <f t="shared" si="22"/>
        <v>0</v>
      </c>
      <c r="AB147" s="143">
        <f t="shared" si="22"/>
        <v>0</v>
      </c>
      <c r="AC147" s="143">
        <f t="shared" si="22"/>
        <v>1</v>
      </c>
      <c r="AD147" s="143">
        <f t="shared" si="22"/>
        <v>0</v>
      </c>
      <c r="AE147" s="143">
        <f t="shared" si="22"/>
        <v>0</v>
      </c>
      <c r="AF147" s="142"/>
      <c r="AG147" s="86">
        <f t="shared" ref="AG147:AG178" si="23">SUM(B147:AF147)</f>
        <v>1</v>
      </c>
    </row>
    <row r="148" spans="1:34" ht="19.5" thickBot="1" x14ac:dyDescent="0.3">
      <c r="A148" s="328" t="s">
        <v>81</v>
      </c>
      <c r="B148" s="267">
        <f t="shared" ref="B148:AF148" si="24">SUM(B150:B153)</f>
        <v>0</v>
      </c>
      <c r="C148" s="147">
        <f t="shared" si="24"/>
        <v>0</v>
      </c>
      <c r="D148" s="147">
        <f t="shared" si="24"/>
        <v>0</v>
      </c>
      <c r="E148" s="147">
        <f t="shared" si="24"/>
        <v>0</v>
      </c>
      <c r="F148" s="147">
        <f t="shared" si="24"/>
        <v>0</v>
      </c>
      <c r="G148" s="147">
        <f t="shared" si="24"/>
        <v>0</v>
      </c>
      <c r="H148" s="147">
        <f t="shared" si="24"/>
        <v>0</v>
      </c>
      <c r="I148" s="147">
        <f t="shared" si="24"/>
        <v>0</v>
      </c>
      <c r="J148" s="147">
        <f t="shared" si="24"/>
        <v>0</v>
      </c>
      <c r="K148" s="147">
        <f t="shared" si="24"/>
        <v>0</v>
      </c>
      <c r="L148" s="147">
        <f t="shared" si="24"/>
        <v>0</v>
      </c>
      <c r="M148" s="147">
        <f t="shared" si="24"/>
        <v>0</v>
      </c>
      <c r="N148" s="147">
        <f t="shared" si="24"/>
        <v>0</v>
      </c>
      <c r="O148" s="147">
        <f t="shared" si="24"/>
        <v>0</v>
      </c>
      <c r="P148" s="147">
        <f t="shared" si="24"/>
        <v>0</v>
      </c>
      <c r="Q148" s="147">
        <f t="shared" si="24"/>
        <v>0</v>
      </c>
      <c r="R148" s="147">
        <f t="shared" si="24"/>
        <v>0</v>
      </c>
      <c r="S148" s="147">
        <f t="shared" si="24"/>
        <v>0</v>
      </c>
      <c r="T148" s="147">
        <f t="shared" si="24"/>
        <v>0</v>
      </c>
      <c r="U148" s="147">
        <f t="shared" si="24"/>
        <v>0</v>
      </c>
      <c r="V148" s="147">
        <f t="shared" si="24"/>
        <v>0</v>
      </c>
      <c r="W148" s="147">
        <f t="shared" si="24"/>
        <v>0</v>
      </c>
      <c r="X148" s="147">
        <f t="shared" si="24"/>
        <v>0</v>
      </c>
      <c r="Y148" s="147">
        <f t="shared" si="24"/>
        <v>0</v>
      </c>
      <c r="Z148" s="147">
        <f t="shared" si="24"/>
        <v>0</v>
      </c>
      <c r="AA148" s="147">
        <f t="shared" si="24"/>
        <v>0</v>
      </c>
      <c r="AB148" s="147">
        <f t="shared" si="24"/>
        <v>0</v>
      </c>
      <c r="AC148" s="147">
        <f t="shared" si="24"/>
        <v>0</v>
      </c>
      <c r="AD148" s="147">
        <f t="shared" si="24"/>
        <v>0</v>
      </c>
      <c r="AE148" s="147">
        <f t="shared" si="24"/>
        <v>0</v>
      </c>
      <c r="AF148" s="146">
        <f t="shared" si="24"/>
        <v>0</v>
      </c>
      <c r="AG148" s="145">
        <f t="shared" si="23"/>
        <v>0</v>
      </c>
    </row>
    <row r="149" spans="1:34" ht="19.5" thickBot="1" x14ac:dyDescent="0.3">
      <c r="A149" s="327" t="s">
        <v>80</v>
      </c>
      <c r="B149" s="266"/>
      <c r="C149" s="143"/>
      <c r="D149" s="143"/>
      <c r="E149" s="143"/>
      <c r="F149" s="143"/>
      <c r="G149" s="143"/>
      <c r="H149" s="143"/>
      <c r="I149" s="143"/>
      <c r="J149" s="143"/>
      <c r="K149" s="143"/>
      <c r="L149" s="143"/>
      <c r="M149" s="143"/>
      <c r="N149" s="143"/>
      <c r="O149" s="143"/>
      <c r="P149" s="143"/>
      <c r="Q149" s="143"/>
      <c r="R149" s="143"/>
      <c r="S149" s="143"/>
      <c r="T149" s="143"/>
      <c r="U149" s="143"/>
      <c r="V149" s="143"/>
      <c r="W149" s="143"/>
      <c r="X149" s="143"/>
      <c r="Y149" s="143"/>
      <c r="Z149" s="143"/>
      <c r="AA149" s="143"/>
      <c r="AB149" s="143"/>
      <c r="AC149" s="143"/>
      <c r="AD149" s="143"/>
      <c r="AE149" s="143"/>
      <c r="AF149" s="142"/>
      <c r="AG149" s="86">
        <f t="shared" si="23"/>
        <v>0</v>
      </c>
    </row>
    <row r="150" spans="1:34" ht="18.75" x14ac:dyDescent="0.25">
      <c r="A150" s="329" t="s">
        <v>79</v>
      </c>
      <c r="B150" s="268"/>
      <c r="C150" s="136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5"/>
      <c r="AG150" s="134">
        <f t="shared" si="23"/>
        <v>0</v>
      </c>
    </row>
    <row r="151" spans="1:34" ht="18.75" x14ac:dyDescent="0.25">
      <c r="A151" s="330" t="s">
        <v>78</v>
      </c>
      <c r="B151" s="269"/>
      <c r="C151" s="130"/>
      <c r="D151" s="130"/>
      <c r="E151" s="130"/>
      <c r="F151" s="130"/>
      <c r="G151" s="130"/>
      <c r="H151" s="130"/>
      <c r="I151" s="130"/>
      <c r="J151" s="130"/>
      <c r="K151" s="130"/>
      <c r="L151" s="130"/>
      <c r="M151" s="130"/>
      <c r="N151" s="130"/>
      <c r="O151" s="130"/>
      <c r="P151" s="130"/>
      <c r="Q151" s="130"/>
      <c r="R151" s="130"/>
      <c r="S151" s="130"/>
      <c r="T151" s="130"/>
      <c r="U151" s="130"/>
      <c r="V151" s="130"/>
      <c r="W151" s="130"/>
      <c r="X151" s="130"/>
      <c r="Y151" s="130"/>
      <c r="Z151" s="130"/>
      <c r="AA151" s="130"/>
      <c r="AB151" s="130"/>
      <c r="AC151" s="130"/>
      <c r="AD151" s="130"/>
      <c r="AE151" s="130"/>
      <c r="AF151" s="129"/>
      <c r="AG151" s="64">
        <f t="shared" si="23"/>
        <v>0</v>
      </c>
    </row>
    <row r="152" spans="1:34" ht="18.75" x14ac:dyDescent="0.25">
      <c r="A152" s="330" t="s">
        <v>77</v>
      </c>
      <c r="B152" s="269"/>
      <c r="C152" s="130"/>
      <c r="D152" s="130"/>
      <c r="E152" s="130"/>
      <c r="F152" s="130"/>
      <c r="G152" s="130"/>
      <c r="H152" s="130"/>
      <c r="I152" s="130"/>
      <c r="J152" s="130"/>
      <c r="K152" s="130"/>
      <c r="L152" s="130"/>
      <c r="M152" s="130"/>
      <c r="N152" s="130"/>
      <c r="O152" s="130"/>
      <c r="P152" s="130"/>
      <c r="Q152" s="130"/>
      <c r="R152" s="130"/>
      <c r="S152" s="130"/>
      <c r="T152" s="130"/>
      <c r="U152" s="130"/>
      <c r="V152" s="130"/>
      <c r="W152" s="130"/>
      <c r="X152" s="130"/>
      <c r="Y152" s="130"/>
      <c r="Z152" s="130"/>
      <c r="AA152" s="130"/>
      <c r="AB152" s="130"/>
      <c r="AC152" s="130"/>
      <c r="AD152" s="130"/>
      <c r="AE152" s="130"/>
      <c r="AF152" s="129"/>
      <c r="AG152" s="64">
        <f t="shared" si="23"/>
        <v>0</v>
      </c>
    </row>
    <row r="153" spans="1:34" ht="19.5" thickBot="1" x14ac:dyDescent="0.3">
      <c r="A153" s="331" t="s">
        <v>76</v>
      </c>
      <c r="B153" s="270"/>
      <c r="C153" s="127"/>
      <c r="D153" s="127"/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  <c r="Y153" s="127"/>
      <c r="Z153" s="127"/>
      <c r="AA153" s="127"/>
      <c r="AB153" s="127"/>
      <c r="AC153" s="127"/>
      <c r="AD153" s="127"/>
      <c r="AE153" s="127"/>
      <c r="AF153" s="126"/>
      <c r="AG153" s="10">
        <f t="shared" si="23"/>
        <v>0</v>
      </c>
    </row>
    <row r="154" spans="1:34" ht="19.5" thickBot="1" x14ac:dyDescent="0.3">
      <c r="A154" s="328" t="s">
        <v>75</v>
      </c>
      <c r="B154" s="267"/>
      <c r="C154" s="147"/>
      <c r="D154" s="147"/>
      <c r="E154" s="147"/>
      <c r="F154" s="147"/>
      <c r="G154" s="147"/>
      <c r="H154" s="147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  <c r="AA154" s="147"/>
      <c r="AB154" s="147"/>
      <c r="AC154" s="147"/>
      <c r="AD154" s="147"/>
      <c r="AE154" s="147"/>
      <c r="AF154" s="146"/>
      <c r="AG154" s="145">
        <f t="shared" si="23"/>
        <v>0</v>
      </c>
    </row>
    <row r="155" spans="1:34" ht="19.5" thickBot="1" x14ac:dyDescent="0.3">
      <c r="A155" s="327" t="s">
        <v>74</v>
      </c>
      <c r="B155" s="266"/>
      <c r="C155" s="143"/>
      <c r="D155" s="143"/>
      <c r="E155" s="143"/>
      <c r="F155" s="143"/>
      <c r="G155" s="143"/>
      <c r="H155" s="143"/>
      <c r="I155" s="143"/>
      <c r="J155" s="143"/>
      <c r="K155" s="143"/>
      <c r="L155" s="143"/>
      <c r="M155" s="143"/>
      <c r="N155" s="143"/>
      <c r="O155" s="143"/>
      <c r="P155" s="143"/>
      <c r="Q155" s="143"/>
      <c r="R155" s="143"/>
      <c r="S155" s="143"/>
      <c r="T155" s="143"/>
      <c r="U155" s="143"/>
      <c r="V155" s="143"/>
      <c r="W155" s="143"/>
      <c r="X155" s="143"/>
      <c r="Y155" s="143"/>
      <c r="Z155" s="143"/>
      <c r="AA155" s="143"/>
      <c r="AB155" s="143"/>
      <c r="AC155" s="143">
        <v>1</v>
      </c>
      <c r="AD155" s="143"/>
      <c r="AE155" s="143"/>
      <c r="AF155" s="142"/>
      <c r="AG155" s="86">
        <f t="shared" si="23"/>
        <v>1</v>
      </c>
    </row>
    <row r="156" spans="1:34" ht="18.75" x14ac:dyDescent="0.25">
      <c r="A156" s="332" t="s">
        <v>73</v>
      </c>
      <c r="B156" s="271">
        <v>114</v>
      </c>
      <c r="C156" s="18">
        <v>109</v>
      </c>
      <c r="D156" s="18">
        <v>126</v>
      </c>
      <c r="E156" s="18">
        <v>136</v>
      </c>
      <c r="F156" s="18">
        <v>110</v>
      </c>
      <c r="G156" s="18">
        <v>132</v>
      </c>
      <c r="H156" s="18">
        <v>103</v>
      </c>
      <c r="I156" s="18">
        <v>136</v>
      </c>
      <c r="J156" s="18">
        <v>120</v>
      </c>
      <c r="K156" s="18">
        <v>126</v>
      </c>
      <c r="L156" s="18">
        <v>114</v>
      </c>
      <c r="M156" s="18">
        <v>119</v>
      </c>
      <c r="N156" s="18">
        <v>140</v>
      </c>
      <c r="O156" s="18">
        <v>124</v>
      </c>
      <c r="P156" s="18">
        <v>135</v>
      </c>
      <c r="Q156" s="18">
        <v>148</v>
      </c>
      <c r="R156" s="18">
        <v>170</v>
      </c>
      <c r="S156" s="18">
        <v>129</v>
      </c>
      <c r="T156" s="18">
        <v>127</v>
      </c>
      <c r="U156" s="18">
        <v>147</v>
      </c>
      <c r="V156" s="18">
        <v>148</v>
      </c>
      <c r="W156" s="18">
        <v>156</v>
      </c>
      <c r="X156" s="18">
        <v>187</v>
      </c>
      <c r="Y156" s="18">
        <v>188</v>
      </c>
      <c r="Z156" s="18">
        <v>155</v>
      </c>
      <c r="AA156" s="18">
        <v>176</v>
      </c>
      <c r="AB156" s="18">
        <v>144</v>
      </c>
      <c r="AC156" s="18">
        <v>148</v>
      </c>
      <c r="AD156" s="18">
        <v>161</v>
      </c>
      <c r="AE156" s="18">
        <v>147</v>
      </c>
      <c r="AF156" s="17">
        <v>152</v>
      </c>
      <c r="AG156" s="7">
        <f t="shared" si="23"/>
        <v>4327</v>
      </c>
      <c r="AH156" s="98" t="s">
        <v>72</v>
      </c>
    </row>
    <row r="157" spans="1:34" ht="19.5" thickBot="1" x14ac:dyDescent="0.3">
      <c r="A157" s="324" t="s">
        <v>71</v>
      </c>
      <c r="B157" s="263">
        <v>3</v>
      </c>
      <c r="C157" s="140">
        <v>1</v>
      </c>
      <c r="D157" s="140">
        <v>8</v>
      </c>
      <c r="E157" s="140">
        <v>3</v>
      </c>
      <c r="F157" s="140">
        <v>8</v>
      </c>
      <c r="G157" s="140">
        <v>7</v>
      </c>
      <c r="H157" s="140">
        <v>3</v>
      </c>
      <c r="I157" s="140">
        <v>4</v>
      </c>
      <c r="J157" s="140">
        <v>4</v>
      </c>
      <c r="K157" s="140">
        <v>10</v>
      </c>
      <c r="L157" s="140">
        <v>8</v>
      </c>
      <c r="M157" s="140">
        <v>6</v>
      </c>
      <c r="N157" s="140">
        <v>9</v>
      </c>
      <c r="O157" s="140">
        <v>6</v>
      </c>
      <c r="P157" s="140">
        <v>5</v>
      </c>
      <c r="Q157" s="140">
        <v>7</v>
      </c>
      <c r="R157" s="140">
        <v>15</v>
      </c>
      <c r="S157" s="140">
        <v>8</v>
      </c>
      <c r="T157" s="140">
        <v>9</v>
      </c>
      <c r="U157" s="140">
        <v>9</v>
      </c>
      <c r="V157" s="140">
        <v>3</v>
      </c>
      <c r="W157" s="140">
        <v>9</v>
      </c>
      <c r="X157" s="140">
        <v>4</v>
      </c>
      <c r="Y157" s="140">
        <v>33</v>
      </c>
      <c r="Z157" s="140">
        <v>10</v>
      </c>
      <c r="AA157" s="140">
        <v>10</v>
      </c>
      <c r="AB157" s="140">
        <v>7</v>
      </c>
      <c r="AC157" s="140">
        <v>5</v>
      </c>
      <c r="AD157" s="140">
        <v>14</v>
      </c>
      <c r="AE157" s="140">
        <v>4</v>
      </c>
      <c r="AF157" s="139">
        <v>5</v>
      </c>
      <c r="AG157" s="138">
        <f t="shared" si="23"/>
        <v>237</v>
      </c>
      <c r="AH157" s="98"/>
    </row>
    <row r="158" spans="1:34" ht="19.5" thickBot="1" x14ac:dyDescent="0.3">
      <c r="A158" s="333" t="s">
        <v>70</v>
      </c>
      <c r="B158" s="272">
        <f t="shared" ref="B158:AF158" si="25">SUM(B159:B166)</f>
        <v>0</v>
      </c>
      <c r="C158" s="35">
        <f t="shared" si="25"/>
        <v>0</v>
      </c>
      <c r="D158" s="35">
        <f t="shared" si="25"/>
        <v>0</v>
      </c>
      <c r="E158" s="35">
        <f t="shared" si="25"/>
        <v>0</v>
      </c>
      <c r="F158" s="35">
        <f t="shared" si="25"/>
        <v>0</v>
      </c>
      <c r="G158" s="35">
        <f t="shared" si="25"/>
        <v>0</v>
      </c>
      <c r="H158" s="35">
        <f t="shared" si="25"/>
        <v>0</v>
      </c>
      <c r="I158" s="35">
        <f t="shared" si="25"/>
        <v>0</v>
      </c>
      <c r="J158" s="35">
        <f t="shared" si="25"/>
        <v>0</v>
      </c>
      <c r="K158" s="35">
        <f t="shared" si="25"/>
        <v>0</v>
      </c>
      <c r="L158" s="35">
        <f t="shared" si="25"/>
        <v>0</v>
      </c>
      <c r="M158" s="35">
        <f t="shared" si="25"/>
        <v>2</v>
      </c>
      <c r="N158" s="35">
        <f t="shared" si="25"/>
        <v>0</v>
      </c>
      <c r="O158" s="35">
        <f t="shared" si="25"/>
        <v>1</v>
      </c>
      <c r="P158" s="35">
        <f t="shared" si="25"/>
        <v>0</v>
      </c>
      <c r="Q158" s="35">
        <f t="shared" si="25"/>
        <v>0</v>
      </c>
      <c r="R158" s="35">
        <f t="shared" si="25"/>
        <v>1</v>
      </c>
      <c r="S158" s="35">
        <f t="shared" si="25"/>
        <v>2</v>
      </c>
      <c r="T158" s="35">
        <f t="shared" si="25"/>
        <v>1</v>
      </c>
      <c r="U158" s="35">
        <f t="shared" si="25"/>
        <v>0</v>
      </c>
      <c r="V158" s="35">
        <f t="shared" si="25"/>
        <v>0</v>
      </c>
      <c r="W158" s="35">
        <f t="shared" si="25"/>
        <v>0</v>
      </c>
      <c r="X158" s="35">
        <f t="shared" si="25"/>
        <v>0</v>
      </c>
      <c r="Y158" s="35">
        <f t="shared" si="25"/>
        <v>2</v>
      </c>
      <c r="Z158" s="35">
        <f t="shared" si="25"/>
        <v>0</v>
      </c>
      <c r="AA158" s="35">
        <f t="shared" si="25"/>
        <v>0</v>
      </c>
      <c r="AB158" s="35">
        <f t="shared" si="25"/>
        <v>0</v>
      </c>
      <c r="AC158" s="35">
        <f t="shared" si="25"/>
        <v>0</v>
      </c>
      <c r="AD158" s="35">
        <f t="shared" si="25"/>
        <v>1</v>
      </c>
      <c r="AE158" s="35">
        <f t="shared" si="25"/>
        <v>0</v>
      </c>
      <c r="AF158" s="34">
        <f t="shared" si="25"/>
        <v>0</v>
      </c>
      <c r="AG158" s="33">
        <f t="shared" si="23"/>
        <v>10</v>
      </c>
    </row>
    <row r="159" spans="1:34" ht="18.75" x14ac:dyDescent="0.25">
      <c r="A159" s="329" t="s">
        <v>69</v>
      </c>
      <c r="B159" s="268"/>
      <c r="C159" s="136"/>
      <c r="D159" s="136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>
        <v>1</v>
      </c>
      <c r="P159" s="136"/>
      <c r="Q159" s="136"/>
      <c r="R159" s="136">
        <v>1</v>
      </c>
      <c r="S159" s="136"/>
      <c r="T159" s="136"/>
      <c r="U159" s="136"/>
      <c r="V159" s="136"/>
      <c r="W159" s="136"/>
      <c r="X159" s="136"/>
      <c r="Y159" s="136">
        <v>1</v>
      </c>
      <c r="Z159" s="136"/>
      <c r="AA159" s="136"/>
      <c r="AB159" s="136"/>
      <c r="AC159" s="136"/>
      <c r="AD159" s="136"/>
      <c r="AE159" s="136"/>
      <c r="AF159" s="135"/>
      <c r="AG159" s="134">
        <f t="shared" si="23"/>
        <v>3</v>
      </c>
    </row>
    <row r="160" spans="1:34" ht="18.75" x14ac:dyDescent="0.25">
      <c r="A160" s="330" t="s">
        <v>68</v>
      </c>
      <c r="B160" s="269"/>
      <c r="C160" s="130"/>
      <c r="D160" s="130"/>
      <c r="E160" s="130"/>
      <c r="F160" s="130"/>
      <c r="G160" s="130"/>
      <c r="H160" s="130"/>
      <c r="I160" s="130"/>
      <c r="J160" s="130"/>
      <c r="K160" s="130"/>
      <c r="L160" s="130"/>
      <c r="M160" s="130"/>
      <c r="N160" s="130"/>
      <c r="O160" s="130"/>
      <c r="P160" s="130"/>
      <c r="Q160" s="130"/>
      <c r="R160" s="130"/>
      <c r="S160" s="130">
        <v>1</v>
      </c>
      <c r="T160" s="130"/>
      <c r="U160" s="130"/>
      <c r="V160" s="130"/>
      <c r="W160" s="130"/>
      <c r="X160" s="130"/>
      <c r="Y160" s="130">
        <v>1</v>
      </c>
      <c r="Z160" s="130"/>
      <c r="AA160" s="130"/>
      <c r="AB160" s="130"/>
      <c r="AC160" s="130"/>
      <c r="AD160" s="130"/>
      <c r="AE160" s="130"/>
      <c r="AF160" s="129"/>
      <c r="AG160" s="64">
        <f t="shared" si="23"/>
        <v>2</v>
      </c>
    </row>
    <row r="161" spans="1:34" ht="18.75" x14ac:dyDescent="0.25">
      <c r="A161" s="330" t="s">
        <v>67</v>
      </c>
      <c r="B161" s="269"/>
      <c r="C161" s="130"/>
      <c r="D161" s="130"/>
      <c r="E161" s="130"/>
      <c r="F161" s="130"/>
      <c r="G161" s="130"/>
      <c r="H161" s="130"/>
      <c r="I161" s="130"/>
      <c r="J161" s="130"/>
      <c r="K161" s="130"/>
      <c r="L161" s="130"/>
      <c r="M161" s="130">
        <v>1</v>
      </c>
      <c r="N161" s="130"/>
      <c r="O161" s="130"/>
      <c r="P161" s="130"/>
      <c r="Q161" s="130"/>
      <c r="R161" s="130"/>
      <c r="S161" s="130"/>
      <c r="T161" s="130">
        <v>1</v>
      </c>
      <c r="U161" s="130"/>
      <c r="V161" s="130"/>
      <c r="W161" s="130"/>
      <c r="X161" s="130"/>
      <c r="Y161" s="130"/>
      <c r="Z161" s="130"/>
      <c r="AA161" s="130"/>
      <c r="AB161" s="130"/>
      <c r="AC161" s="130"/>
      <c r="AD161" s="130"/>
      <c r="AE161" s="130"/>
      <c r="AF161" s="129"/>
      <c r="AG161" s="64">
        <f t="shared" si="23"/>
        <v>2</v>
      </c>
    </row>
    <row r="162" spans="1:34" ht="18.75" x14ac:dyDescent="0.25">
      <c r="A162" s="330" t="s">
        <v>66</v>
      </c>
      <c r="B162" s="269"/>
      <c r="C162" s="130"/>
      <c r="D162" s="130"/>
      <c r="E162" s="130"/>
      <c r="F162" s="130"/>
      <c r="G162" s="130"/>
      <c r="H162" s="130"/>
      <c r="I162" s="130"/>
      <c r="J162" s="130"/>
      <c r="K162" s="130"/>
      <c r="L162" s="130"/>
      <c r="M162" s="130"/>
      <c r="N162" s="130"/>
      <c r="O162" s="130"/>
      <c r="P162" s="130"/>
      <c r="Q162" s="130"/>
      <c r="R162" s="130"/>
      <c r="S162" s="130"/>
      <c r="T162" s="130"/>
      <c r="U162" s="130"/>
      <c r="V162" s="130"/>
      <c r="W162" s="130"/>
      <c r="X162" s="130"/>
      <c r="Y162" s="130"/>
      <c r="Z162" s="130"/>
      <c r="AA162" s="130"/>
      <c r="AB162" s="130"/>
      <c r="AC162" s="130"/>
      <c r="AD162" s="130">
        <v>1</v>
      </c>
      <c r="AE162" s="130"/>
      <c r="AF162" s="129"/>
      <c r="AG162" s="64">
        <f t="shared" si="23"/>
        <v>1</v>
      </c>
    </row>
    <row r="163" spans="1:34" ht="18.75" x14ac:dyDescent="0.25">
      <c r="A163" s="330" t="s">
        <v>65</v>
      </c>
      <c r="B163" s="269"/>
      <c r="C163" s="130"/>
      <c r="D163" s="130"/>
      <c r="E163" s="130"/>
      <c r="F163" s="130"/>
      <c r="G163" s="130"/>
      <c r="H163" s="130"/>
      <c r="I163" s="130"/>
      <c r="J163" s="130"/>
      <c r="K163" s="130"/>
      <c r="L163" s="130"/>
      <c r="M163" s="130"/>
      <c r="N163" s="130"/>
      <c r="O163" s="130"/>
      <c r="P163" s="130"/>
      <c r="Q163" s="130"/>
      <c r="R163" s="130"/>
      <c r="S163" s="130"/>
      <c r="T163" s="130"/>
      <c r="U163" s="130"/>
      <c r="V163" s="130"/>
      <c r="W163" s="130"/>
      <c r="X163" s="130"/>
      <c r="Y163" s="130"/>
      <c r="Z163" s="130"/>
      <c r="AA163" s="130"/>
      <c r="AB163" s="130"/>
      <c r="AC163" s="130"/>
      <c r="AD163" s="130"/>
      <c r="AE163" s="130"/>
      <c r="AF163" s="129"/>
      <c r="AG163" s="64">
        <f t="shared" si="23"/>
        <v>0</v>
      </c>
    </row>
    <row r="164" spans="1:34" ht="18.75" x14ac:dyDescent="0.25">
      <c r="A164" s="330" t="s">
        <v>64</v>
      </c>
      <c r="B164" s="269"/>
      <c r="C164" s="130"/>
      <c r="D164" s="130"/>
      <c r="E164" s="130"/>
      <c r="F164" s="130"/>
      <c r="G164" s="130"/>
      <c r="H164" s="130"/>
      <c r="I164" s="130"/>
      <c r="J164" s="130"/>
      <c r="K164" s="130"/>
      <c r="L164" s="130"/>
      <c r="M164" s="130">
        <v>1</v>
      </c>
      <c r="N164" s="130"/>
      <c r="O164" s="130"/>
      <c r="P164" s="130"/>
      <c r="Q164" s="130"/>
      <c r="R164" s="130"/>
      <c r="S164" s="130">
        <v>1</v>
      </c>
      <c r="T164" s="130"/>
      <c r="U164" s="130"/>
      <c r="V164" s="130"/>
      <c r="W164" s="130"/>
      <c r="X164" s="130"/>
      <c r="Y164" s="130"/>
      <c r="Z164" s="130"/>
      <c r="AA164" s="130"/>
      <c r="AB164" s="130"/>
      <c r="AC164" s="130"/>
      <c r="AD164" s="130"/>
      <c r="AE164" s="130"/>
      <c r="AF164" s="129"/>
      <c r="AG164" s="64">
        <f t="shared" si="23"/>
        <v>2</v>
      </c>
    </row>
    <row r="165" spans="1:34" ht="18.75" x14ac:dyDescent="0.25">
      <c r="A165" s="330" t="s">
        <v>63</v>
      </c>
      <c r="B165" s="269"/>
      <c r="C165" s="130"/>
      <c r="D165" s="130"/>
      <c r="E165" s="130"/>
      <c r="F165" s="130"/>
      <c r="G165" s="130"/>
      <c r="H165" s="130"/>
      <c r="I165" s="130"/>
      <c r="J165" s="130"/>
      <c r="K165" s="130"/>
      <c r="L165" s="130"/>
      <c r="M165" s="130"/>
      <c r="N165" s="130"/>
      <c r="O165" s="130"/>
      <c r="P165" s="130"/>
      <c r="Q165" s="130"/>
      <c r="R165" s="130"/>
      <c r="S165" s="130"/>
      <c r="T165" s="130"/>
      <c r="U165" s="130"/>
      <c r="V165" s="130"/>
      <c r="W165" s="130"/>
      <c r="X165" s="130"/>
      <c r="Y165" s="130"/>
      <c r="Z165" s="130"/>
      <c r="AA165" s="130"/>
      <c r="AB165" s="130"/>
      <c r="AC165" s="130"/>
      <c r="AD165" s="130"/>
      <c r="AE165" s="130"/>
      <c r="AF165" s="129"/>
      <c r="AG165" s="64">
        <f t="shared" si="23"/>
        <v>0</v>
      </c>
    </row>
    <row r="166" spans="1:34" ht="19.5" thickBot="1" x14ac:dyDescent="0.3">
      <c r="A166" s="331" t="s">
        <v>62</v>
      </c>
      <c r="B166" s="270"/>
      <c r="C166" s="127"/>
      <c r="D166" s="127"/>
      <c r="E166" s="127"/>
      <c r="F166" s="127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  <c r="Y166" s="127"/>
      <c r="Z166" s="127"/>
      <c r="AA166" s="127"/>
      <c r="AB166" s="127"/>
      <c r="AC166" s="127"/>
      <c r="AD166" s="127"/>
      <c r="AE166" s="127"/>
      <c r="AF166" s="126"/>
      <c r="AG166" s="10">
        <f t="shared" si="23"/>
        <v>0</v>
      </c>
    </row>
    <row r="167" spans="1:34" ht="18.75" x14ac:dyDescent="0.25">
      <c r="A167" s="332" t="s">
        <v>61</v>
      </c>
      <c r="B167" s="271">
        <f t="shared" ref="B167:AF167" si="26">SUM(B168:B171)</f>
        <v>0</v>
      </c>
      <c r="C167" s="18">
        <f t="shared" si="26"/>
        <v>1</v>
      </c>
      <c r="D167" s="18">
        <f t="shared" si="26"/>
        <v>1</v>
      </c>
      <c r="E167" s="18">
        <f t="shared" si="26"/>
        <v>1</v>
      </c>
      <c r="F167" s="18">
        <f t="shared" si="26"/>
        <v>0</v>
      </c>
      <c r="G167" s="18">
        <f t="shared" si="26"/>
        <v>0</v>
      </c>
      <c r="H167" s="18">
        <f t="shared" si="26"/>
        <v>0</v>
      </c>
      <c r="I167" s="18">
        <f t="shared" si="26"/>
        <v>0</v>
      </c>
      <c r="J167" s="18">
        <f t="shared" si="26"/>
        <v>0</v>
      </c>
      <c r="K167" s="18">
        <f t="shared" si="26"/>
        <v>3</v>
      </c>
      <c r="L167" s="18">
        <f t="shared" si="26"/>
        <v>0</v>
      </c>
      <c r="M167" s="18">
        <f t="shared" si="26"/>
        <v>1</v>
      </c>
      <c r="N167" s="18">
        <f t="shared" si="26"/>
        <v>1</v>
      </c>
      <c r="O167" s="18">
        <f t="shared" si="26"/>
        <v>0</v>
      </c>
      <c r="P167" s="18">
        <f t="shared" si="26"/>
        <v>0</v>
      </c>
      <c r="Q167" s="18">
        <f t="shared" si="26"/>
        <v>2</v>
      </c>
      <c r="R167" s="18">
        <f t="shared" si="26"/>
        <v>3</v>
      </c>
      <c r="S167" s="18">
        <f t="shared" si="26"/>
        <v>2</v>
      </c>
      <c r="T167" s="18">
        <f t="shared" si="26"/>
        <v>1</v>
      </c>
      <c r="U167" s="18">
        <f t="shared" si="26"/>
        <v>1</v>
      </c>
      <c r="V167" s="18">
        <f t="shared" si="26"/>
        <v>0</v>
      </c>
      <c r="W167" s="18">
        <f t="shared" si="26"/>
        <v>0</v>
      </c>
      <c r="X167" s="18">
        <f t="shared" si="26"/>
        <v>0</v>
      </c>
      <c r="Y167" s="18">
        <f t="shared" si="26"/>
        <v>0</v>
      </c>
      <c r="Z167" s="18">
        <f t="shared" si="26"/>
        <v>1</v>
      </c>
      <c r="AA167" s="18">
        <f t="shared" si="26"/>
        <v>0</v>
      </c>
      <c r="AB167" s="18">
        <f t="shared" si="26"/>
        <v>0</v>
      </c>
      <c r="AC167" s="18">
        <f t="shared" si="26"/>
        <v>0</v>
      </c>
      <c r="AD167" s="18">
        <f t="shared" si="26"/>
        <v>2</v>
      </c>
      <c r="AE167" s="18">
        <f t="shared" si="26"/>
        <v>1</v>
      </c>
      <c r="AF167" s="17">
        <f t="shared" si="26"/>
        <v>2</v>
      </c>
      <c r="AG167" s="7">
        <f t="shared" si="23"/>
        <v>23</v>
      </c>
    </row>
    <row r="168" spans="1:34" ht="18.75" x14ac:dyDescent="0.25">
      <c r="A168" s="334" t="s">
        <v>60</v>
      </c>
      <c r="B168" s="269"/>
      <c r="C168" s="130"/>
      <c r="D168" s="130">
        <v>1</v>
      </c>
      <c r="E168" s="130"/>
      <c r="F168" s="130"/>
      <c r="G168" s="130"/>
      <c r="H168" s="130"/>
      <c r="I168" s="130"/>
      <c r="J168" s="130"/>
      <c r="K168" s="130">
        <v>2</v>
      </c>
      <c r="L168" s="130"/>
      <c r="M168" s="130"/>
      <c r="N168" s="130"/>
      <c r="O168" s="130"/>
      <c r="P168" s="130"/>
      <c r="Q168" s="130"/>
      <c r="R168" s="130">
        <v>1</v>
      </c>
      <c r="S168" s="130">
        <v>1</v>
      </c>
      <c r="T168" s="130"/>
      <c r="U168" s="130">
        <v>1</v>
      </c>
      <c r="V168" s="130"/>
      <c r="W168" s="130"/>
      <c r="X168" s="130"/>
      <c r="Y168" s="130"/>
      <c r="Z168" s="130"/>
      <c r="AA168" s="130"/>
      <c r="AB168" s="130"/>
      <c r="AC168" s="130"/>
      <c r="AD168" s="130">
        <v>1</v>
      </c>
      <c r="AE168" s="130"/>
      <c r="AF168" s="129"/>
      <c r="AG168" s="64">
        <f t="shared" si="23"/>
        <v>7</v>
      </c>
    </row>
    <row r="169" spans="1:34" ht="18.75" x14ac:dyDescent="0.25">
      <c r="A169" s="334" t="s">
        <v>59</v>
      </c>
      <c r="B169" s="269"/>
      <c r="C169" s="130">
        <v>1</v>
      </c>
      <c r="D169" s="130"/>
      <c r="E169" s="130"/>
      <c r="F169" s="130"/>
      <c r="G169" s="130"/>
      <c r="H169" s="130"/>
      <c r="I169" s="130"/>
      <c r="J169" s="130"/>
      <c r="K169" s="130"/>
      <c r="L169" s="130"/>
      <c r="M169" s="130"/>
      <c r="N169" s="130">
        <v>1</v>
      </c>
      <c r="O169" s="130"/>
      <c r="P169" s="130"/>
      <c r="Q169" s="130">
        <v>1</v>
      </c>
      <c r="R169" s="130"/>
      <c r="S169" s="130"/>
      <c r="T169" s="130"/>
      <c r="U169" s="130"/>
      <c r="V169" s="130"/>
      <c r="W169" s="130"/>
      <c r="X169" s="130"/>
      <c r="Y169" s="130"/>
      <c r="Z169" s="130"/>
      <c r="AA169" s="130"/>
      <c r="AB169" s="130"/>
      <c r="AC169" s="130"/>
      <c r="AD169" s="130"/>
      <c r="AE169" s="130"/>
      <c r="AF169" s="129"/>
      <c r="AG169" s="64">
        <f t="shared" si="23"/>
        <v>3</v>
      </c>
    </row>
    <row r="170" spans="1:34" ht="18.75" x14ac:dyDescent="0.25">
      <c r="A170" s="334" t="s">
        <v>58</v>
      </c>
      <c r="B170" s="269"/>
      <c r="C170" s="130"/>
      <c r="D170" s="130"/>
      <c r="E170" s="130"/>
      <c r="F170" s="130"/>
      <c r="G170" s="130"/>
      <c r="H170" s="130"/>
      <c r="I170" s="130"/>
      <c r="J170" s="130"/>
      <c r="K170" s="130"/>
      <c r="L170" s="130"/>
      <c r="M170" s="130"/>
      <c r="N170" s="130"/>
      <c r="O170" s="130"/>
      <c r="P170" s="130"/>
      <c r="Q170" s="130"/>
      <c r="R170" s="130"/>
      <c r="S170" s="130"/>
      <c r="T170" s="130"/>
      <c r="U170" s="130"/>
      <c r="V170" s="130"/>
      <c r="W170" s="130"/>
      <c r="X170" s="130"/>
      <c r="Y170" s="130"/>
      <c r="Z170" s="130"/>
      <c r="AA170" s="130"/>
      <c r="AB170" s="130"/>
      <c r="AC170" s="130"/>
      <c r="AD170" s="130"/>
      <c r="AE170" s="130"/>
      <c r="AF170" s="129"/>
      <c r="AG170" s="64">
        <f t="shared" si="23"/>
        <v>0</v>
      </c>
    </row>
    <row r="171" spans="1:34" ht="19.5" thickBot="1" x14ac:dyDescent="0.3">
      <c r="A171" s="335" t="s">
        <v>57</v>
      </c>
      <c r="B171" s="270"/>
      <c r="C171" s="127"/>
      <c r="D171" s="127"/>
      <c r="E171" s="127">
        <v>1</v>
      </c>
      <c r="F171" s="127"/>
      <c r="G171" s="127"/>
      <c r="H171" s="127"/>
      <c r="I171" s="127"/>
      <c r="J171" s="127"/>
      <c r="K171" s="127">
        <v>1</v>
      </c>
      <c r="L171" s="127"/>
      <c r="M171" s="127">
        <v>1</v>
      </c>
      <c r="N171" s="127"/>
      <c r="O171" s="127"/>
      <c r="P171" s="127"/>
      <c r="Q171" s="127">
        <v>1</v>
      </c>
      <c r="R171" s="127">
        <f>1+1</f>
        <v>2</v>
      </c>
      <c r="S171" s="127">
        <v>1</v>
      </c>
      <c r="T171" s="127">
        <v>1</v>
      </c>
      <c r="U171" s="127"/>
      <c r="V171" s="127"/>
      <c r="W171" s="127"/>
      <c r="X171" s="127"/>
      <c r="Y171" s="127"/>
      <c r="Z171" s="127">
        <v>1</v>
      </c>
      <c r="AA171" s="127"/>
      <c r="AB171" s="127"/>
      <c r="AC171" s="127"/>
      <c r="AD171" s="127">
        <v>1</v>
      </c>
      <c r="AE171" s="127">
        <v>1</v>
      </c>
      <c r="AF171" s="126">
        <f>1+1</f>
        <v>2</v>
      </c>
      <c r="AG171" s="10">
        <f t="shared" si="23"/>
        <v>13</v>
      </c>
    </row>
    <row r="172" spans="1:34" ht="19.5" thickBot="1" x14ac:dyDescent="0.3">
      <c r="A172" s="336" t="s">
        <v>56</v>
      </c>
      <c r="B172" s="273"/>
      <c r="C172" s="124"/>
      <c r="D172" s="124"/>
      <c r="E172" s="124"/>
      <c r="F172" s="124"/>
      <c r="G172" s="124"/>
      <c r="H172" s="124"/>
      <c r="I172" s="124"/>
      <c r="J172" s="124"/>
      <c r="K172" s="124"/>
      <c r="L172" s="124">
        <v>1</v>
      </c>
      <c r="M172" s="124"/>
      <c r="N172" s="124"/>
      <c r="O172" s="124"/>
      <c r="P172" s="124"/>
      <c r="Q172" s="124"/>
      <c r="R172" s="124"/>
      <c r="S172" s="124"/>
      <c r="T172" s="124"/>
      <c r="U172" s="124">
        <v>1</v>
      </c>
      <c r="V172" s="124"/>
      <c r="W172" s="124"/>
      <c r="X172" s="124"/>
      <c r="Y172" s="124"/>
      <c r="Z172" s="124"/>
      <c r="AA172" s="124"/>
      <c r="AB172" s="124"/>
      <c r="AC172" s="124"/>
      <c r="AD172" s="124"/>
      <c r="AE172" s="124"/>
      <c r="AF172" s="123"/>
      <c r="AG172" s="122">
        <f t="shared" si="23"/>
        <v>2</v>
      </c>
    </row>
    <row r="173" spans="1:34" ht="19.5" thickBot="1" x14ac:dyDescent="0.3">
      <c r="A173" s="299" t="s">
        <v>55</v>
      </c>
      <c r="B173" s="247">
        <f t="shared" ref="B173:AF173" si="27">SUM(B174:B175)</f>
        <v>0</v>
      </c>
      <c r="C173" s="120">
        <f t="shared" si="27"/>
        <v>3</v>
      </c>
      <c r="D173" s="120">
        <f t="shared" si="27"/>
        <v>4</v>
      </c>
      <c r="E173" s="120">
        <f t="shared" si="27"/>
        <v>1</v>
      </c>
      <c r="F173" s="120">
        <f t="shared" si="27"/>
        <v>3</v>
      </c>
      <c r="G173" s="120">
        <f t="shared" si="27"/>
        <v>4</v>
      </c>
      <c r="H173" s="120">
        <f t="shared" si="27"/>
        <v>2</v>
      </c>
      <c r="I173" s="120">
        <f t="shared" si="27"/>
        <v>1</v>
      </c>
      <c r="J173" s="120">
        <f t="shared" si="27"/>
        <v>0</v>
      </c>
      <c r="K173" s="120">
        <f t="shared" si="27"/>
        <v>0</v>
      </c>
      <c r="L173" s="120">
        <f t="shared" si="27"/>
        <v>1</v>
      </c>
      <c r="M173" s="120">
        <f t="shared" si="27"/>
        <v>3</v>
      </c>
      <c r="N173" s="120">
        <f t="shared" si="27"/>
        <v>0</v>
      </c>
      <c r="O173" s="120">
        <f t="shared" si="27"/>
        <v>3</v>
      </c>
      <c r="P173" s="120">
        <f t="shared" si="27"/>
        <v>4</v>
      </c>
      <c r="Q173" s="120">
        <f t="shared" si="27"/>
        <v>6</v>
      </c>
      <c r="R173" s="120">
        <f t="shared" si="27"/>
        <v>1</v>
      </c>
      <c r="S173" s="120">
        <f t="shared" si="27"/>
        <v>0</v>
      </c>
      <c r="T173" s="120">
        <f t="shared" si="27"/>
        <v>1</v>
      </c>
      <c r="U173" s="120">
        <f t="shared" si="27"/>
        <v>4</v>
      </c>
      <c r="V173" s="120">
        <f t="shared" si="27"/>
        <v>6</v>
      </c>
      <c r="W173" s="120">
        <f t="shared" si="27"/>
        <v>2</v>
      </c>
      <c r="X173" s="120">
        <f t="shared" si="27"/>
        <v>3</v>
      </c>
      <c r="Y173" s="120">
        <f t="shared" si="27"/>
        <v>0</v>
      </c>
      <c r="Z173" s="120">
        <f t="shared" si="27"/>
        <v>0</v>
      </c>
      <c r="AA173" s="120">
        <f t="shared" si="27"/>
        <v>3</v>
      </c>
      <c r="AB173" s="120">
        <f t="shared" si="27"/>
        <v>1</v>
      </c>
      <c r="AC173" s="120">
        <f t="shared" si="27"/>
        <v>1</v>
      </c>
      <c r="AD173" s="120">
        <f t="shared" si="27"/>
        <v>3</v>
      </c>
      <c r="AE173" s="120">
        <f t="shared" si="27"/>
        <v>1</v>
      </c>
      <c r="AF173" s="119">
        <f t="shared" si="27"/>
        <v>3</v>
      </c>
      <c r="AG173" s="118">
        <f t="shared" si="23"/>
        <v>64</v>
      </c>
      <c r="AH173" s="98" t="s">
        <v>54</v>
      </c>
    </row>
    <row r="174" spans="1:34" ht="18.75" x14ac:dyDescent="0.25">
      <c r="A174" s="337" t="s">
        <v>53</v>
      </c>
      <c r="B174" s="274">
        <v>0</v>
      </c>
      <c r="C174" s="116">
        <v>3</v>
      </c>
      <c r="D174" s="116">
        <v>4</v>
      </c>
      <c r="E174" s="116">
        <v>1</v>
      </c>
      <c r="F174" s="116">
        <v>1</v>
      </c>
      <c r="G174" s="116">
        <v>4</v>
      </c>
      <c r="H174" s="116">
        <v>2</v>
      </c>
      <c r="I174" s="116">
        <v>1</v>
      </c>
      <c r="J174" s="116">
        <v>0</v>
      </c>
      <c r="K174" s="116">
        <v>0</v>
      </c>
      <c r="L174" s="116">
        <v>1</v>
      </c>
      <c r="M174" s="116">
        <v>3</v>
      </c>
      <c r="N174" s="116">
        <v>0</v>
      </c>
      <c r="O174" s="116">
        <v>2</v>
      </c>
      <c r="P174" s="116">
        <v>4</v>
      </c>
      <c r="Q174" s="116">
        <v>6</v>
      </c>
      <c r="R174" s="116">
        <v>1</v>
      </c>
      <c r="S174" s="116">
        <v>0</v>
      </c>
      <c r="T174" s="116">
        <v>1</v>
      </c>
      <c r="U174" s="116">
        <v>4</v>
      </c>
      <c r="V174" s="116">
        <v>6</v>
      </c>
      <c r="W174" s="116">
        <v>2</v>
      </c>
      <c r="X174" s="116">
        <v>3</v>
      </c>
      <c r="Y174" s="116">
        <v>0</v>
      </c>
      <c r="Z174" s="116">
        <v>0</v>
      </c>
      <c r="AA174" s="116">
        <v>0</v>
      </c>
      <c r="AB174" s="116">
        <v>0</v>
      </c>
      <c r="AC174" s="116">
        <v>1</v>
      </c>
      <c r="AD174" s="116">
        <v>3</v>
      </c>
      <c r="AE174" s="116">
        <v>1</v>
      </c>
      <c r="AF174" s="115">
        <v>3</v>
      </c>
      <c r="AG174" s="114">
        <f t="shared" si="23"/>
        <v>57</v>
      </c>
      <c r="AH174" s="98"/>
    </row>
    <row r="175" spans="1:34" ht="18.75" x14ac:dyDescent="0.25">
      <c r="A175" s="338" t="s">
        <v>52</v>
      </c>
      <c r="B175" s="275">
        <v>0</v>
      </c>
      <c r="C175" s="112">
        <v>0</v>
      </c>
      <c r="D175" s="112">
        <v>0</v>
      </c>
      <c r="E175" s="112">
        <v>0</v>
      </c>
      <c r="F175" s="112">
        <v>2</v>
      </c>
      <c r="G175" s="112">
        <v>0</v>
      </c>
      <c r="H175" s="112">
        <v>0</v>
      </c>
      <c r="I175" s="112">
        <v>0</v>
      </c>
      <c r="J175" s="112">
        <v>0</v>
      </c>
      <c r="K175" s="112">
        <v>0</v>
      </c>
      <c r="L175" s="112">
        <v>0</v>
      </c>
      <c r="M175" s="112">
        <v>0</v>
      </c>
      <c r="N175" s="112">
        <v>0</v>
      </c>
      <c r="O175" s="112">
        <v>1</v>
      </c>
      <c r="P175" s="112">
        <v>0</v>
      </c>
      <c r="Q175" s="112">
        <v>0</v>
      </c>
      <c r="R175" s="112">
        <v>0</v>
      </c>
      <c r="S175" s="112">
        <v>0</v>
      </c>
      <c r="T175" s="112">
        <v>0</v>
      </c>
      <c r="U175" s="112">
        <v>0</v>
      </c>
      <c r="V175" s="112">
        <v>0</v>
      </c>
      <c r="W175" s="112">
        <v>0</v>
      </c>
      <c r="X175" s="112">
        <v>0</v>
      </c>
      <c r="Y175" s="112">
        <v>0</v>
      </c>
      <c r="Z175" s="112">
        <v>0</v>
      </c>
      <c r="AA175" s="112">
        <v>3</v>
      </c>
      <c r="AB175" s="112">
        <v>1</v>
      </c>
      <c r="AC175" s="112">
        <v>0</v>
      </c>
      <c r="AD175" s="112">
        <v>0</v>
      </c>
      <c r="AE175" s="112">
        <v>0</v>
      </c>
      <c r="AF175" s="111">
        <v>0</v>
      </c>
      <c r="AG175" s="110">
        <f t="shared" si="23"/>
        <v>7</v>
      </c>
      <c r="AH175" s="98"/>
    </row>
    <row r="176" spans="1:34" ht="19.5" thickBot="1" x14ac:dyDescent="0.3">
      <c r="A176" s="339" t="s">
        <v>51</v>
      </c>
      <c r="B176" s="276">
        <f t="shared" ref="B176:AF176" si="28">SUM(B177:B178)</f>
        <v>2</v>
      </c>
      <c r="C176" s="109">
        <f t="shared" si="28"/>
        <v>4</v>
      </c>
      <c r="D176" s="109">
        <f t="shared" si="28"/>
        <v>5</v>
      </c>
      <c r="E176" s="109">
        <f t="shared" si="28"/>
        <v>0</v>
      </c>
      <c r="F176" s="109">
        <f t="shared" si="28"/>
        <v>3</v>
      </c>
      <c r="G176" s="109">
        <f t="shared" si="28"/>
        <v>1</v>
      </c>
      <c r="H176" s="109">
        <f t="shared" si="28"/>
        <v>2</v>
      </c>
      <c r="I176" s="109">
        <f t="shared" si="28"/>
        <v>4</v>
      </c>
      <c r="J176" s="109">
        <f t="shared" si="28"/>
        <v>3</v>
      </c>
      <c r="K176" s="109">
        <f t="shared" si="28"/>
        <v>2</v>
      </c>
      <c r="L176" s="109">
        <f t="shared" si="28"/>
        <v>0</v>
      </c>
      <c r="M176" s="109">
        <f t="shared" si="28"/>
        <v>2</v>
      </c>
      <c r="N176" s="109">
        <f t="shared" si="28"/>
        <v>1</v>
      </c>
      <c r="O176" s="109">
        <f t="shared" si="28"/>
        <v>2</v>
      </c>
      <c r="P176" s="109">
        <f t="shared" si="28"/>
        <v>3</v>
      </c>
      <c r="Q176" s="109">
        <f t="shared" si="28"/>
        <v>4</v>
      </c>
      <c r="R176" s="109">
        <f t="shared" si="28"/>
        <v>4</v>
      </c>
      <c r="S176" s="109">
        <f t="shared" si="28"/>
        <v>1</v>
      </c>
      <c r="T176" s="109">
        <f t="shared" si="28"/>
        <v>3</v>
      </c>
      <c r="U176" s="109">
        <f t="shared" si="28"/>
        <v>3</v>
      </c>
      <c r="V176" s="109">
        <f t="shared" si="28"/>
        <v>2</v>
      </c>
      <c r="W176" s="109">
        <f t="shared" si="28"/>
        <v>2</v>
      </c>
      <c r="X176" s="109">
        <f t="shared" si="28"/>
        <v>0</v>
      </c>
      <c r="Y176" s="109">
        <f t="shared" si="28"/>
        <v>2</v>
      </c>
      <c r="Z176" s="109">
        <f t="shared" si="28"/>
        <v>0</v>
      </c>
      <c r="AA176" s="109">
        <f t="shared" si="28"/>
        <v>1</v>
      </c>
      <c r="AB176" s="109">
        <f t="shared" si="28"/>
        <v>1</v>
      </c>
      <c r="AC176" s="109">
        <f t="shared" si="28"/>
        <v>3</v>
      </c>
      <c r="AD176" s="109">
        <f t="shared" si="28"/>
        <v>0</v>
      </c>
      <c r="AE176" s="109">
        <f t="shared" si="28"/>
        <v>3</v>
      </c>
      <c r="AF176" s="108">
        <f t="shared" si="28"/>
        <v>3</v>
      </c>
      <c r="AG176" s="107">
        <f t="shared" si="23"/>
        <v>66</v>
      </c>
      <c r="AH176" s="98" t="s">
        <v>48</v>
      </c>
    </row>
    <row r="177" spans="1:34" ht="18.75" x14ac:dyDescent="0.25">
      <c r="A177" s="340" t="s">
        <v>50</v>
      </c>
      <c r="B177" s="277">
        <v>0</v>
      </c>
      <c r="C177" s="105">
        <v>1</v>
      </c>
      <c r="D177" s="105">
        <v>0</v>
      </c>
      <c r="E177" s="105">
        <v>0</v>
      </c>
      <c r="F177" s="105">
        <v>0</v>
      </c>
      <c r="G177" s="105">
        <v>0</v>
      </c>
      <c r="H177" s="105">
        <v>0</v>
      </c>
      <c r="I177" s="105">
        <v>0</v>
      </c>
      <c r="J177" s="105">
        <v>0</v>
      </c>
      <c r="K177" s="105">
        <v>0</v>
      </c>
      <c r="L177" s="105">
        <v>0</v>
      </c>
      <c r="M177" s="105">
        <v>0</v>
      </c>
      <c r="N177" s="105">
        <v>0</v>
      </c>
      <c r="O177" s="105">
        <v>0</v>
      </c>
      <c r="P177" s="105">
        <v>0</v>
      </c>
      <c r="Q177" s="105">
        <v>1</v>
      </c>
      <c r="R177" s="105">
        <v>0</v>
      </c>
      <c r="S177" s="105">
        <v>0</v>
      </c>
      <c r="T177" s="105">
        <v>0</v>
      </c>
      <c r="U177" s="105">
        <v>0</v>
      </c>
      <c r="V177" s="105">
        <v>0</v>
      </c>
      <c r="W177" s="105">
        <v>0</v>
      </c>
      <c r="X177" s="105">
        <v>0</v>
      </c>
      <c r="Y177" s="105">
        <v>0</v>
      </c>
      <c r="Z177" s="105">
        <v>0</v>
      </c>
      <c r="AA177" s="105">
        <v>0</v>
      </c>
      <c r="AB177" s="105">
        <v>0</v>
      </c>
      <c r="AC177" s="105">
        <v>0</v>
      </c>
      <c r="AD177" s="105">
        <v>0</v>
      </c>
      <c r="AE177" s="105">
        <v>0</v>
      </c>
      <c r="AF177" s="104">
        <v>0</v>
      </c>
      <c r="AG177" s="103">
        <f t="shared" si="23"/>
        <v>2</v>
      </c>
      <c r="AH177" s="98" t="s">
        <v>48</v>
      </c>
    </row>
    <row r="178" spans="1:34" ht="19.5" thickBot="1" x14ac:dyDescent="0.3">
      <c r="A178" s="313" t="s">
        <v>49</v>
      </c>
      <c r="B178" s="278">
        <v>2</v>
      </c>
      <c r="C178" s="101">
        <v>3</v>
      </c>
      <c r="D178" s="101">
        <v>5</v>
      </c>
      <c r="E178" s="101">
        <v>0</v>
      </c>
      <c r="F178" s="101">
        <v>3</v>
      </c>
      <c r="G178" s="101">
        <v>1</v>
      </c>
      <c r="H178" s="101">
        <v>2</v>
      </c>
      <c r="I178" s="101">
        <v>4</v>
      </c>
      <c r="J178" s="101">
        <v>3</v>
      </c>
      <c r="K178" s="101">
        <v>2</v>
      </c>
      <c r="L178" s="101">
        <v>0</v>
      </c>
      <c r="M178" s="101">
        <v>2</v>
      </c>
      <c r="N178" s="101">
        <v>1</v>
      </c>
      <c r="O178" s="101">
        <v>2</v>
      </c>
      <c r="P178" s="101">
        <v>3</v>
      </c>
      <c r="Q178" s="101">
        <v>3</v>
      </c>
      <c r="R178" s="101">
        <v>4</v>
      </c>
      <c r="S178" s="101">
        <v>1</v>
      </c>
      <c r="T178" s="101">
        <v>3</v>
      </c>
      <c r="U178" s="101">
        <v>3</v>
      </c>
      <c r="V178" s="101">
        <v>2</v>
      </c>
      <c r="W178" s="101">
        <v>2</v>
      </c>
      <c r="X178" s="101">
        <v>0</v>
      </c>
      <c r="Y178" s="101">
        <v>2</v>
      </c>
      <c r="Z178" s="101">
        <v>0</v>
      </c>
      <c r="AA178" s="101">
        <v>1</v>
      </c>
      <c r="AB178" s="101">
        <v>1</v>
      </c>
      <c r="AC178" s="101">
        <v>3</v>
      </c>
      <c r="AD178" s="101">
        <v>0</v>
      </c>
      <c r="AE178" s="101">
        <v>3</v>
      </c>
      <c r="AF178" s="100">
        <v>3</v>
      </c>
      <c r="AG178" s="99">
        <f t="shared" si="23"/>
        <v>64</v>
      </c>
      <c r="AH178" s="98" t="s">
        <v>48</v>
      </c>
    </row>
    <row r="179" spans="1:34" ht="18.75" x14ac:dyDescent="0.25">
      <c r="A179" s="341" t="s">
        <v>47</v>
      </c>
      <c r="B179" s="279"/>
      <c r="C179" s="96"/>
      <c r="D179" s="96"/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  <c r="AA179" s="96"/>
      <c r="AB179" s="96"/>
      <c r="AC179" s="96"/>
      <c r="AD179" s="96"/>
      <c r="AE179" s="96"/>
      <c r="AF179" s="95"/>
      <c r="AG179" s="94">
        <f t="shared" ref="AG179:AG210" si="29">SUM(B179:AF179)</f>
        <v>0</v>
      </c>
    </row>
    <row r="180" spans="1:34" ht="19.5" thickBot="1" x14ac:dyDescent="0.3">
      <c r="A180" s="342" t="s">
        <v>46</v>
      </c>
      <c r="B180" s="280"/>
      <c r="C180" s="92"/>
      <c r="D180" s="92"/>
      <c r="E180" s="92"/>
      <c r="F180" s="92"/>
      <c r="G180" s="92"/>
      <c r="H180" s="92"/>
      <c r="I180" s="92"/>
      <c r="J180" s="92"/>
      <c r="K180" s="92"/>
      <c r="L180" s="92"/>
      <c r="M180" s="92"/>
      <c r="N180" s="92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92"/>
      <c r="AA180" s="92"/>
      <c r="AB180" s="92"/>
      <c r="AC180" s="92"/>
      <c r="AD180" s="92"/>
      <c r="AE180" s="92"/>
      <c r="AF180" s="91"/>
      <c r="AG180" s="90">
        <f t="shared" si="29"/>
        <v>0</v>
      </c>
    </row>
    <row r="181" spans="1:34" ht="19.5" thickBot="1" x14ac:dyDescent="0.3">
      <c r="A181" s="343" t="s">
        <v>45</v>
      </c>
      <c r="B181" s="281">
        <f t="shared" ref="B181:AF181" si="30">SUM(B182:B207)</f>
        <v>47</v>
      </c>
      <c r="C181" s="88">
        <f t="shared" si="30"/>
        <v>50</v>
      </c>
      <c r="D181" s="88">
        <f t="shared" si="30"/>
        <v>74</v>
      </c>
      <c r="E181" s="88">
        <f t="shared" si="30"/>
        <v>77</v>
      </c>
      <c r="F181" s="88">
        <f t="shared" si="30"/>
        <v>54</v>
      </c>
      <c r="G181" s="88">
        <f t="shared" si="30"/>
        <v>75</v>
      </c>
      <c r="H181" s="88">
        <f t="shared" si="30"/>
        <v>57</v>
      </c>
      <c r="I181" s="88">
        <f t="shared" si="30"/>
        <v>56</v>
      </c>
      <c r="J181" s="88">
        <f t="shared" si="30"/>
        <v>41</v>
      </c>
      <c r="K181" s="88">
        <f t="shared" si="30"/>
        <v>80</v>
      </c>
      <c r="L181" s="88">
        <f t="shared" si="30"/>
        <v>73</v>
      </c>
      <c r="M181" s="88">
        <f t="shared" si="30"/>
        <v>67</v>
      </c>
      <c r="N181" s="88">
        <f t="shared" si="30"/>
        <v>95</v>
      </c>
      <c r="O181" s="88">
        <f t="shared" si="30"/>
        <v>81</v>
      </c>
      <c r="P181" s="88">
        <f t="shared" si="30"/>
        <v>56</v>
      </c>
      <c r="Q181" s="88">
        <f t="shared" si="30"/>
        <v>55</v>
      </c>
      <c r="R181" s="88">
        <f t="shared" si="30"/>
        <v>112</v>
      </c>
      <c r="S181" s="88">
        <f t="shared" si="30"/>
        <v>87</v>
      </c>
      <c r="T181" s="88">
        <f t="shared" si="30"/>
        <v>90</v>
      </c>
      <c r="U181" s="88">
        <f t="shared" si="30"/>
        <v>109</v>
      </c>
      <c r="V181" s="88">
        <f t="shared" si="30"/>
        <v>69</v>
      </c>
      <c r="W181" s="88">
        <f t="shared" si="30"/>
        <v>75</v>
      </c>
      <c r="X181" s="88">
        <f t="shared" si="30"/>
        <v>97</v>
      </c>
      <c r="Y181" s="88">
        <f t="shared" si="30"/>
        <v>124</v>
      </c>
      <c r="Z181" s="88">
        <f t="shared" si="30"/>
        <v>100</v>
      </c>
      <c r="AA181" s="88">
        <f t="shared" si="30"/>
        <v>107</v>
      </c>
      <c r="AB181" s="88">
        <f t="shared" si="30"/>
        <v>93</v>
      </c>
      <c r="AC181" s="88">
        <f t="shared" si="30"/>
        <v>82</v>
      </c>
      <c r="AD181" s="88">
        <f t="shared" si="30"/>
        <v>69</v>
      </c>
      <c r="AE181" s="88">
        <f t="shared" si="30"/>
        <v>81</v>
      </c>
      <c r="AF181" s="87">
        <f t="shared" si="30"/>
        <v>104</v>
      </c>
      <c r="AG181" s="86">
        <f t="shared" si="29"/>
        <v>2437</v>
      </c>
      <c r="AH181" s="85"/>
    </row>
    <row r="182" spans="1:34" ht="18.75" x14ac:dyDescent="0.25">
      <c r="A182" s="76" t="s">
        <v>44</v>
      </c>
      <c r="B182" s="282">
        <v>6</v>
      </c>
      <c r="C182" s="84">
        <v>7</v>
      </c>
      <c r="D182" s="84"/>
      <c r="E182" s="84">
        <v>5</v>
      </c>
      <c r="F182" s="84"/>
      <c r="G182" s="84">
        <v>2</v>
      </c>
      <c r="H182" s="84">
        <v>3</v>
      </c>
      <c r="I182" s="84">
        <v>3</v>
      </c>
      <c r="J182" s="84">
        <v>1</v>
      </c>
      <c r="K182" s="84">
        <v>5</v>
      </c>
      <c r="L182" s="84">
        <v>7</v>
      </c>
      <c r="M182" s="84">
        <v>2</v>
      </c>
      <c r="N182" s="83">
        <v>2</v>
      </c>
      <c r="O182" s="83">
        <v>5</v>
      </c>
      <c r="P182" s="83">
        <v>4</v>
      </c>
      <c r="Q182" s="83">
        <v>3</v>
      </c>
      <c r="R182" s="83">
        <v>6</v>
      </c>
      <c r="S182" s="83">
        <v>4</v>
      </c>
      <c r="T182" s="83">
        <v>7</v>
      </c>
      <c r="U182" s="83">
        <v>2</v>
      </c>
      <c r="V182" s="83">
        <v>12</v>
      </c>
      <c r="W182" s="83">
        <v>6</v>
      </c>
      <c r="X182" s="83">
        <v>7</v>
      </c>
      <c r="Y182" s="83">
        <v>8</v>
      </c>
      <c r="Z182" s="83">
        <v>8</v>
      </c>
      <c r="AA182" s="83">
        <v>2</v>
      </c>
      <c r="AB182" s="83">
        <v>5</v>
      </c>
      <c r="AC182" s="83">
        <v>2</v>
      </c>
      <c r="AD182" s="83">
        <v>4</v>
      </c>
      <c r="AE182" s="83">
        <v>3</v>
      </c>
      <c r="AF182" s="82">
        <v>5</v>
      </c>
      <c r="AG182" s="11">
        <f t="shared" si="29"/>
        <v>136</v>
      </c>
    </row>
    <row r="183" spans="1:34" ht="18.75" x14ac:dyDescent="0.25">
      <c r="A183" s="76" t="s">
        <v>43</v>
      </c>
      <c r="B183" s="283"/>
      <c r="C183" s="69"/>
      <c r="D183" s="69"/>
      <c r="E183" s="69"/>
      <c r="F183" s="69"/>
      <c r="G183" s="69">
        <v>3</v>
      </c>
      <c r="H183" s="69"/>
      <c r="I183" s="69"/>
      <c r="J183" s="69"/>
      <c r="K183" s="69"/>
      <c r="L183" s="69"/>
      <c r="M183" s="69"/>
      <c r="N183" s="68"/>
      <c r="O183" s="68"/>
      <c r="P183" s="68"/>
      <c r="Q183" s="68"/>
      <c r="R183" s="68"/>
      <c r="S183" s="68"/>
      <c r="T183" s="68"/>
      <c r="U183" s="68">
        <v>3</v>
      </c>
      <c r="V183" s="68"/>
      <c r="W183" s="68"/>
      <c r="X183" s="68"/>
      <c r="Y183" s="68"/>
      <c r="Z183" s="68"/>
      <c r="AA183" s="68"/>
      <c r="AB183" s="68"/>
      <c r="AC183" s="68">
        <v>1</v>
      </c>
      <c r="AD183" s="68"/>
      <c r="AE183" s="68"/>
      <c r="AF183" s="67"/>
      <c r="AG183" s="64">
        <f t="shared" si="29"/>
        <v>7</v>
      </c>
    </row>
    <row r="184" spans="1:34" ht="18.75" x14ac:dyDescent="0.25">
      <c r="A184" s="76" t="s">
        <v>42</v>
      </c>
      <c r="B184" s="283"/>
      <c r="C184" s="69"/>
      <c r="D184" s="69">
        <v>1</v>
      </c>
      <c r="E184" s="69">
        <v>2</v>
      </c>
      <c r="F184" s="69"/>
      <c r="G184" s="69"/>
      <c r="H184" s="69">
        <v>1</v>
      </c>
      <c r="I184" s="69"/>
      <c r="J184" s="69"/>
      <c r="K184" s="69"/>
      <c r="L184" s="69">
        <v>3</v>
      </c>
      <c r="M184" s="69"/>
      <c r="N184" s="68"/>
      <c r="O184" s="68"/>
      <c r="P184" s="68"/>
      <c r="Q184" s="68"/>
      <c r="R184" s="68">
        <v>5</v>
      </c>
      <c r="S184" s="68">
        <v>5</v>
      </c>
      <c r="T184" s="68"/>
      <c r="U184" s="68"/>
      <c r="V184" s="68"/>
      <c r="W184" s="68"/>
      <c r="X184" s="68"/>
      <c r="Y184" s="68">
        <v>3</v>
      </c>
      <c r="Z184" s="68">
        <v>7</v>
      </c>
      <c r="AA184" s="68"/>
      <c r="AB184" s="68"/>
      <c r="AC184" s="68"/>
      <c r="AD184" s="68"/>
      <c r="AE184" s="68"/>
      <c r="AF184" s="67"/>
      <c r="AG184" s="64">
        <f t="shared" si="29"/>
        <v>27</v>
      </c>
    </row>
    <row r="185" spans="1:34" ht="18.75" x14ac:dyDescent="0.25">
      <c r="A185" s="76" t="s">
        <v>41</v>
      </c>
      <c r="B185" s="283"/>
      <c r="C185" s="69"/>
      <c r="D185" s="69"/>
      <c r="E185" s="69"/>
      <c r="F185" s="69"/>
      <c r="G185" s="69"/>
      <c r="H185" s="69">
        <v>1</v>
      </c>
      <c r="I185" s="69"/>
      <c r="J185" s="69"/>
      <c r="K185" s="69"/>
      <c r="L185" s="69"/>
      <c r="M185" s="69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  <c r="AB185" s="68"/>
      <c r="AC185" s="68"/>
      <c r="AD185" s="68"/>
      <c r="AE185" s="68"/>
      <c r="AF185" s="67"/>
      <c r="AG185" s="64">
        <f t="shared" si="29"/>
        <v>1</v>
      </c>
    </row>
    <row r="186" spans="1:34" s="77" customFormat="1" ht="18.75" x14ac:dyDescent="0.25">
      <c r="A186" s="81" t="s">
        <v>40</v>
      </c>
      <c r="B186" s="284">
        <v>37</v>
      </c>
      <c r="C186" s="80">
        <v>43</v>
      </c>
      <c r="D186" s="80">
        <v>70</v>
      </c>
      <c r="E186" s="80">
        <v>68</v>
      </c>
      <c r="F186" s="80">
        <v>54</v>
      </c>
      <c r="G186" s="80">
        <v>60</v>
      </c>
      <c r="H186" s="80">
        <v>48</v>
      </c>
      <c r="I186" s="80">
        <v>51</v>
      </c>
      <c r="J186" s="80">
        <v>38</v>
      </c>
      <c r="K186" s="80">
        <v>74</v>
      </c>
      <c r="L186" s="80">
        <v>58</v>
      </c>
      <c r="M186" s="80">
        <v>64</v>
      </c>
      <c r="N186" s="79">
        <v>84</v>
      </c>
      <c r="O186" s="79">
        <v>72</v>
      </c>
      <c r="P186" s="79">
        <v>51</v>
      </c>
      <c r="Q186" s="79">
        <v>52</v>
      </c>
      <c r="R186" s="79">
        <v>100</v>
      </c>
      <c r="S186" s="79">
        <v>78</v>
      </c>
      <c r="T186" s="79">
        <v>77</v>
      </c>
      <c r="U186" s="79">
        <v>96</v>
      </c>
      <c r="V186" s="79">
        <v>54</v>
      </c>
      <c r="W186" s="79">
        <v>68</v>
      </c>
      <c r="X186" s="79">
        <v>88</v>
      </c>
      <c r="Y186" s="79">
        <v>112</v>
      </c>
      <c r="Z186" s="79">
        <v>82</v>
      </c>
      <c r="AA186" s="79">
        <v>103</v>
      </c>
      <c r="AB186" s="79">
        <v>79</v>
      </c>
      <c r="AC186" s="79">
        <v>68</v>
      </c>
      <c r="AD186" s="79">
        <v>64</v>
      </c>
      <c r="AE186" s="79">
        <v>77</v>
      </c>
      <c r="AF186" s="78">
        <v>95</v>
      </c>
      <c r="AG186" s="21">
        <f t="shared" si="29"/>
        <v>2165</v>
      </c>
    </row>
    <row r="187" spans="1:34" ht="18.75" x14ac:dyDescent="0.25">
      <c r="A187" s="76" t="s">
        <v>39</v>
      </c>
      <c r="B187" s="283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8">
        <v>1</v>
      </c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  <c r="AA187" s="68"/>
      <c r="AB187" s="68"/>
      <c r="AC187" s="68">
        <v>1</v>
      </c>
      <c r="AD187" s="68"/>
      <c r="AE187" s="68"/>
      <c r="AF187" s="67"/>
      <c r="AG187" s="64">
        <f t="shared" si="29"/>
        <v>2</v>
      </c>
    </row>
    <row r="188" spans="1:34" ht="18.75" x14ac:dyDescent="0.25">
      <c r="A188" s="76" t="s">
        <v>38</v>
      </c>
      <c r="B188" s="283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  <c r="AA188" s="68"/>
      <c r="AB188" s="68">
        <v>1</v>
      </c>
      <c r="AC188" s="68"/>
      <c r="AD188" s="68"/>
      <c r="AE188" s="68"/>
      <c r="AF188" s="67"/>
      <c r="AG188" s="64">
        <f t="shared" si="29"/>
        <v>1</v>
      </c>
    </row>
    <row r="189" spans="1:34" ht="18.75" x14ac:dyDescent="0.25">
      <c r="A189" s="76" t="s">
        <v>37</v>
      </c>
      <c r="B189" s="283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  <c r="AA189" s="68"/>
      <c r="AB189" s="68"/>
      <c r="AC189" s="68"/>
      <c r="AD189" s="68"/>
      <c r="AE189" s="68"/>
      <c r="AF189" s="67"/>
      <c r="AG189" s="64">
        <f t="shared" si="29"/>
        <v>0</v>
      </c>
    </row>
    <row r="190" spans="1:34" ht="18.75" x14ac:dyDescent="0.25">
      <c r="A190" s="76" t="s">
        <v>36</v>
      </c>
      <c r="B190" s="283"/>
      <c r="C190" s="69"/>
      <c r="D190" s="69">
        <v>1</v>
      </c>
      <c r="E190" s="69"/>
      <c r="F190" s="69"/>
      <c r="G190" s="69">
        <v>3</v>
      </c>
      <c r="H190" s="69">
        <v>1</v>
      </c>
      <c r="I190" s="69"/>
      <c r="J190" s="69"/>
      <c r="K190" s="69"/>
      <c r="L190" s="69"/>
      <c r="M190" s="69"/>
      <c r="N190" s="68">
        <v>3</v>
      </c>
      <c r="O190" s="68">
        <v>2</v>
      </c>
      <c r="P190" s="68">
        <v>1</v>
      </c>
      <c r="Q190" s="68"/>
      <c r="R190" s="68"/>
      <c r="S190" s="68"/>
      <c r="T190" s="68"/>
      <c r="U190" s="68">
        <v>4</v>
      </c>
      <c r="V190" s="68"/>
      <c r="W190" s="68"/>
      <c r="X190" s="68"/>
      <c r="Y190" s="68">
        <v>1</v>
      </c>
      <c r="Z190" s="68"/>
      <c r="AA190" s="68"/>
      <c r="AB190" s="68">
        <v>7</v>
      </c>
      <c r="AC190" s="68">
        <v>5</v>
      </c>
      <c r="AD190" s="68"/>
      <c r="AE190" s="68"/>
      <c r="AF190" s="67"/>
      <c r="AG190" s="64">
        <f t="shared" si="29"/>
        <v>28</v>
      </c>
    </row>
    <row r="191" spans="1:34" ht="18.75" x14ac:dyDescent="0.25">
      <c r="A191" s="66" t="s">
        <v>35</v>
      </c>
      <c r="B191" s="283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  <c r="AA191" s="68"/>
      <c r="AB191" s="68"/>
      <c r="AC191" s="68"/>
      <c r="AD191" s="68"/>
      <c r="AE191" s="68"/>
      <c r="AF191" s="67"/>
      <c r="AG191" s="64">
        <f t="shared" si="29"/>
        <v>0</v>
      </c>
    </row>
    <row r="192" spans="1:34" ht="18.75" x14ac:dyDescent="0.25">
      <c r="A192" s="66" t="s">
        <v>34</v>
      </c>
      <c r="B192" s="283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  <c r="AA192" s="68"/>
      <c r="AB192" s="68"/>
      <c r="AC192" s="68"/>
      <c r="AD192" s="68"/>
      <c r="AE192" s="68"/>
      <c r="AF192" s="67"/>
      <c r="AG192" s="64">
        <f t="shared" si="29"/>
        <v>0</v>
      </c>
    </row>
    <row r="193" spans="1:34" ht="18.75" x14ac:dyDescent="0.25">
      <c r="A193" s="66" t="s">
        <v>33</v>
      </c>
      <c r="B193" s="283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  <c r="AA193" s="68"/>
      <c r="AB193" s="68"/>
      <c r="AC193" s="68"/>
      <c r="AD193" s="68"/>
      <c r="AE193" s="68"/>
      <c r="AF193" s="67"/>
      <c r="AG193" s="64">
        <f t="shared" si="29"/>
        <v>0</v>
      </c>
    </row>
    <row r="194" spans="1:34" ht="18.75" x14ac:dyDescent="0.25">
      <c r="A194" s="66" t="s">
        <v>32</v>
      </c>
      <c r="B194" s="283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  <c r="AA194" s="68"/>
      <c r="AB194" s="68"/>
      <c r="AC194" s="68"/>
      <c r="AD194" s="68"/>
      <c r="AE194" s="68"/>
      <c r="AF194" s="67"/>
      <c r="AG194" s="64">
        <f t="shared" si="29"/>
        <v>0</v>
      </c>
    </row>
    <row r="195" spans="1:34" ht="18.75" x14ac:dyDescent="0.25">
      <c r="A195" s="75" t="s">
        <v>31</v>
      </c>
      <c r="B195" s="285">
        <v>4</v>
      </c>
      <c r="C195" s="74"/>
      <c r="D195" s="74">
        <v>1</v>
      </c>
      <c r="E195" s="74">
        <v>1</v>
      </c>
      <c r="F195" s="74"/>
      <c r="G195" s="74">
        <v>7</v>
      </c>
      <c r="H195" s="74">
        <v>2</v>
      </c>
      <c r="I195" s="74">
        <v>1</v>
      </c>
      <c r="J195" s="74">
        <v>1</v>
      </c>
      <c r="K195" s="74">
        <v>1</v>
      </c>
      <c r="L195" s="74">
        <v>3</v>
      </c>
      <c r="M195" s="74">
        <v>1</v>
      </c>
      <c r="N195" s="73">
        <v>3</v>
      </c>
      <c r="O195" s="73">
        <v>2</v>
      </c>
      <c r="P195" s="73"/>
      <c r="Q195" s="73"/>
      <c r="R195" s="73">
        <v>1</v>
      </c>
      <c r="S195" s="73"/>
      <c r="T195" s="73">
        <v>4</v>
      </c>
      <c r="U195" s="73">
        <v>2</v>
      </c>
      <c r="V195" s="73">
        <v>3</v>
      </c>
      <c r="W195" s="73"/>
      <c r="X195" s="73">
        <v>2</v>
      </c>
      <c r="Y195" s="73"/>
      <c r="Z195" s="73">
        <v>3</v>
      </c>
      <c r="AA195" s="73">
        <v>1</v>
      </c>
      <c r="AB195" s="73"/>
      <c r="AC195" s="73">
        <v>3</v>
      </c>
      <c r="AD195" s="73"/>
      <c r="AE195" s="73">
        <v>1</v>
      </c>
      <c r="AF195" s="72">
        <v>1</v>
      </c>
      <c r="AG195" s="71">
        <f t="shared" si="29"/>
        <v>48</v>
      </c>
    </row>
    <row r="196" spans="1:34" ht="18.75" x14ac:dyDescent="0.25">
      <c r="A196" s="70" t="s">
        <v>30</v>
      </c>
      <c r="B196" s="283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  <c r="AB196" s="68"/>
      <c r="AC196" s="68"/>
      <c r="AD196" s="68"/>
      <c r="AE196" s="68"/>
      <c r="AF196" s="67"/>
      <c r="AG196" s="64">
        <f t="shared" si="29"/>
        <v>0</v>
      </c>
    </row>
    <row r="197" spans="1:34" ht="18.75" x14ac:dyDescent="0.25">
      <c r="A197" s="70" t="s">
        <v>29</v>
      </c>
      <c r="B197" s="283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  <c r="AA197" s="68"/>
      <c r="AB197" s="68"/>
      <c r="AC197" s="68"/>
      <c r="AD197" s="68"/>
      <c r="AE197" s="68"/>
      <c r="AF197" s="67"/>
      <c r="AG197" s="64">
        <f t="shared" si="29"/>
        <v>0</v>
      </c>
    </row>
    <row r="198" spans="1:34" ht="18.75" x14ac:dyDescent="0.25">
      <c r="A198" s="70" t="s">
        <v>28</v>
      </c>
      <c r="B198" s="283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  <c r="AA198" s="68"/>
      <c r="AB198" s="68"/>
      <c r="AC198" s="68"/>
      <c r="AD198" s="68"/>
      <c r="AE198" s="68"/>
      <c r="AF198" s="67"/>
      <c r="AG198" s="64">
        <f t="shared" si="29"/>
        <v>0</v>
      </c>
    </row>
    <row r="199" spans="1:34" ht="18.75" x14ac:dyDescent="0.25">
      <c r="A199" s="70" t="s">
        <v>27</v>
      </c>
      <c r="B199" s="283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  <c r="AA199" s="68"/>
      <c r="AB199" s="68"/>
      <c r="AC199" s="68"/>
      <c r="AD199" s="68"/>
      <c r="AE199" s="68"/>
      <c r="AF199" s="67"/>
      <c r="AG199" s="64">
        <f t="shared" si="29"/>
        <v>0</v>
      </c>
    </row>
    <row r="200" spans="1:34" ht="18.75" x14ac:dyDescent="0.25">
      <c r="A200" s="70" t="s">
        <v>26</v>
      </c>
      <c r="B200" s="283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  <c r="AA200" s="68"/>
      <c r="AB200" s="68"/>
      <c r="AC200" s="68"/>
      <c r="AD200" s="68"/>
      <c r="AE200" s="68"/>
      <c r="AF200" s="67"/>
      <c r="AG200" s="64">
        <f t="shared" si="29"/>
        <v>0</v>
      </c>
    </row>
    <row r="201" spans="1:34" ht="18.75" x14ac:dyDescent="0.25">
      <c r="A201" s="70" t="s">
        <v>25</v>
      </c>
      <c r="B201" s="283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8">
        <v>2</v>
      </c>
      <c r="O201" s="68"/>
      <c r="P201" s="68"/>
      <c r="Q201" s="68"/>
      <c r="R201" s="68"/>
      <c r="S201" s="68"/>
      <c r="T201" s="68"/>
      <c r="U201" s="68">
        <v>1</v>
      </c>
      <c r="V201" s="68"/>
      <c r="W201" s="68"/>
      <c r="X201" s="68"/>
      <c r="Y201" s="68"/>
      <c r="Z201" s="68"/>
      <c r="AA201" s="68"/>
      <c r="AB201" s="68"/>
      <c r="AC201" s="68"/>
      <c r="AD201" s="68"/>
      <c r="AE201" s="68"/>
      <c r="AF201" s="67"/>
      <c r="AG201" s="64">
        <f t="shared" si="29"/>
        <v>3</v>
      </c>
    </row>
    <row r="202" spans="1:34" ht="18.75" x14ac:dyDescent="0.25">
      <c r="A202" s="66" t="s">
        <v>24</v>
      </c>
      <c r="B202" s="283"/>
      <c r="C202" s="69"/>
      <c r="D202" s="69"/>
      <c r="E202" s="69"/>
      <c r="F202" s="69"/>
      <c r="G202" s="69"/>
      <c r="H202" s="69"/>
      <c r="I202" s="69"/>
      <c r="J202" s="69"/>
      <c r="K202" s="69"/>
      <c r="L202" s="69">
        <v>1</v>
      </c>
      <c r="M202" s="69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  <c r="AA202" s="68"/>
      <c r="AB202" s="68"/>
      <c r="AC202" s="68"/>
      <c r="AD202" s="68"/>
      <c r="AE202" s="68"/>
      <c r="AF202" s="67"/>
      <c r="AG202" s="64">
        <f t="shared" si="29"/>
        <v>1</v>
      </c>
    </row>
    <row r="203" spans="1:34" ht="18.75" x14ac:dyDescent="0.25">
      <c r="A203" s="66" t="s">
        <v>23</v>
      </c>
      <c r="B203" s="283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  <c r="AA203" s="68"/>
      <c r="AB203" s="68"/>
      <c r="AC203" s="68"/>
      <c r="AD203" s="68"/>
      <c r="AE203" s="68"/>
      <c r="AF203" s="67"/>
      <c r="AG203" s="64">
        <f t="shared" si="29"/>
        <v>0</v>
      </c>
    </row>
    <row r="204" spans="1:34" ht="18.75" x14ac:dyDescent="0.25">
      <c r="A204" s="66" t="s">
        <v>22</v>
      </c>
      <c r="B204" s="283"/>
      <c r="C204" s="69"/>
      <c r="D204" s="69">
        <v>1</v>
      </c>
      <c r="E204" s="69"/>
      <c r="F204" s="69"/>
      <c r="G204" s="69"/>
      <c r="H204" s="69"/>
      <c r="I204" s="69"/>
      <c r="J204" s="69">
        <v>1</v>
      </c>
      <c r="K204" s="69"/>
      <c r="L204" s="69"/>
      <c r="M204" s="69"/>
      <c r="N204" s="68"/>
      <c r="O204" s="68"/>
      <c r="P204" s="68"/>
      <c r="Q204" s="68"/>
      <c r="R204" s="68"/>
      <c r="S204" s="68"/>
      <c r="T204" s="68"/>
      <c r="U204" s="68"/>
      <c r="V204" s="68"/>
      <c r="W204" s="68">
        <v>1</v>
      </c>
      <c r="X204" s="68"/>
      <c r="Y204" s="68"/>
      <c r="Z204" s="68"/>
      <c r="AA204" s="68"/>
      <c r="AB204" s="68"/>
      <c r="AC204" s="68">
        <v>1</v>
      </c>
      <c r="AD204" s="68"/>
      <c r="AE204" s="68"/>
      <c r="AF204" s="67">
        <v>2</v>
      </c>
      <c r="AG204" s="64">
        <f t="shared" si="29"/>
        <v>6</v>
      </c>
    </row>
    <row r="205" spans="1:34" ht="18.75" x14ac:dyDescent="0.25">
      <c r="A205" s="66" t="s">
        <v>21</v>
      </c>
      <c r="B205" s="286"/>
      <c r="C205" s="62"/>
      <c r="D205" s="62"/>
      <c r="E205" s="62">
        <v>1</v>
      </c>
      <c r="F205" s="62"/>
      <c r="G205" s="62"/>
      <c r="H205" s="62">
        <v>1</v>
      </c>
      <c r="I205" s="62">
        <v>1</v>
      </c>
      <c r="J205" s="62"/>
      <c r="K205" s="62"/>
      <c r="L205" s="62"/>
      <c r="M205" s="62"/>
      <c r="N205" s="61"/>
      <c r="O205" s="61"/>
      <c r="P205" s="61"/>
      <c r="Q205" s="61"/>
      <c r="R205" s="61"/>
      <c r="S205" s="61"/>
      <c r="T205" s="61"/>
      <c r="U205" s="61">
        <v>1</v>
      </c>
      <c r="V205" s="61"/>
      <c r="W205" s="61"/>
      <c r="X205" s="61"/>
      <c r="Y205" s="61"/>
      <c r="Z205" s="61"/>
      <c r="AA205" s="61"/>
      <c r="AB205" s="61">
        <v>1</v>
      </c>
      <c r="AC205" s="61">
        <v>1</v>
      </c>
      <c r="AD205" s="61">
        <v>1</v>
      </c>
      <c r="AE205" s="61"/>
      <c r="AF205" s="60"/>
      <c r="AG205" s="64">
        <f t="shared" si="29"/>
        <v>7</v>
      </c>
    </row>
    <row r="206" spans="1:34" ht="18.75" x14ac:dyDescent="0.25">
      <c r="A206" s="65" t="s">
        <v>20</v>
      </c>
      <c r="B206" s="286"/>
      <c r="C206" s="62"/>
      <c r="D206" s="62"/>
      <c r="E206" s="62"/>
      <c r="F206" s="62"/>
      <c r="G206" s="62"/>
      <c r="H206" s="62"/>
      <c r="I206" s="62"/>
      <c r="J206" s="62"/>
      <c r="K206" s="62"/>
      <c r="L206" s="62">
        <v>1</v>
      </c>
      <c r="M206" s="62"/>
      <c r="N206" s="61"/>
      <c r="O206" s="61"/>
      <c r="P206" s="61"/>
      <c r="Q206" s="61"/>
      <c r="R206" s="61"/>
      <c r="S206" s="61"/>
      <c r="T206" s="61">
        <v>2</v>
      </c>
      <c r="U206" s="61"/>
      <c r="V206" s="61"/>
      <c r="W206" s="61"/>
      <c r="X206" s="61"/>
      <c r="Y206" s="61"/>
      <c r="Z206" s="61"/>
      <c r="AA206" s="61">
        <v>1</v>
      </c>
      <c r="AB206" s="61"/>
      <c r="AC206" s="61"/>
      <c r="AD206" s="61"/>
      <c r="AE206" s="61"/>
      <c r="AF206" s="60">
        <v>1</v>
      </c>
      <c r="AG206" s="64">
        <f t="shared" si="29"/>
        <v>5</v>
      </c>
    </row>
    <row r="207" spans="1:34" ht="19.5" thickBot="1" x14ac:dyDescent="0.3">
      <c r="A207" s="63" t="s">
        <v>19</v>
      </c>
      <c r="B207" s="286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  <c r="AB207" s="61"/>
      <c r="AC207" s="61"/>
      <c r="AD207" s="61"/>
      <c r="AE207" s="61"/>
      <c r="AF207" s="60"/>
      <c r="AG207" s="10">
        <f t="shared" si="29"/>
        <v>0</v>
      </c>
    </row>
    <row r="208" spans="1:34" ht="19.5" thickBot="1" x14ac:dyDescent="0.3">
      <c r="A208" s="59" t="s">
        <v>18</v>
      </c>
      <c r="B208" s="287">
        <f t="shared" ref="B208:AF208" si="31">SUM(B209:B213)</f>
        <v>114</v>
      </c>
      <c r="C208" s="57">
        <f t="shared" si="31"/>
        <v>110</v>
      </c>
      <c r="D208" s="57">
        <f t="shared" si="31"/>
        <v>127</v>
      </c>
      <c r="E208" s="57">
        <f t="shared" si="31"/>
        <v>137</v>
      </c>
      <c r="F208" s="57">
        <f t="shared" si="31"/>
        <v>110</v>
      </c>
      <c r="G208" s="57">
        <f t="shared" si="31"/>
        <v>132</v>
      </c>
      <c r="H208" s="57">
        <f t="shared" si="31"/>
        <v>103</v>
      </c>
      <c r="I208" s="57">
        <f t="shared" si="31"/>
        <v>136</v>
      </c>
      <c r="J208" s="57">
        <f t="shared" si="31"/>
        <v>120</v>
      </c>
      <c r="K208" s="57">
        <f t="shared" si="31"/>
        <v>129</v>
      </c>
      <c r="L208" s="57">
        <f t="shared" si="31"/>
        <v>114</v>
      </c>
      <c r="M208" s="57">
        <f t="shared" si="31"/>
        <v>122</v>
      </c>
      <c r="N208" s="56">
        <f t="shared" si="31"/>
        <v>141</v>
      </c>
      <c r="O208" s="56">
        <f t="shared" si="31"/>
        <v>125</v>
      </c>
      <c r="P208" s="56">
        <f t="shared" si="31"/>
        <v>135</v>
      </c>
      <c r="Q208" s="56">
        <f t="shared" si="31"/>
        <v>150</v>
      </c>
      <c r="R208" s="56">
        <f t="shared" si="31"/>
        <v>174</v>
      </c>
      <c r="S208" s="56">
        <f t="shared" si="31"/>
        <v>133</v>
      </c>
      <c r="T208" s="56">
        <f t="shared" si="31"/>
        <v>129</v>
      </c>
      <c r="U208" s="56">
        <f t="shared" si="31"/>
        <v>148</v>
      </c>
      <c r="V208" s="56">
        <f t="shared" si="31"/>
        <v>148</v>
      </c>
      <c r="W208" s="56">
        <f t="shared" si="31"/>
        <v>156</v>
      </c>
      <c r="X208" s="56">
        <f t="shared" si="31"/>
        <v>187</v>
      </c>
      <c r="Y208" s="56">
        <f t="shared" si="31"/>
        <v>190</v>
      </c>
      <c r="Z208" s="56">
        <f t="shared" si="31"/>
        <v>156</v>
      </c>
      <c r="AA208" s="56">
        <f t="shared" si="31"/>
        <v>176</v>
      </c>
      <c r="AB208" s="56">
        <f t="shared" si="31"/>
        <v>144</v>
      </c>
      <c r="AC208" s="56">
        <f t="shared" si="31"/>
        <v>148</v>
      </c>
      <c r="AD208" s="56">
        <f t="shared" si="31"/>
        <v>164</v>
      </c>
      <c r="AE208" s="56">
        <f t="shared" si="31"/>
        <v>148</v>
      </c>
      <c r="AF208" s="55">
        <f t="shared" si="31"/>
        <v>154</v>
      </c>
      <c r="AG208" s="54">
        <f t="shared" si="29"/>
        <v>4360</v>
      </c>
      <c r="AH208" s="53" t="str">
        <f>IF(AG208&lt;&gt;AG93,"X","")</f>
        <v/>
      </c>
    </row>
    <row r="209" spans="1:34" ht="18.75" x14ac:dyDescent="0.25">
      <c r="A209" s="344" t="s">
        <v>17</v>
      </c>
      <c r="B209" s="288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  <c r="AA209" s="50"/>
      <c r="AB209" s="50"/>
      <c r="AC209" s="50"/>
      <c r="AD209" s="50"/>
      <c r="AE209" s="50"/>
      <c r="AF209" s="49"/>
      <c r="AG209" s="48">
        <f t="shared" si="29"/>
        <v>0</v>
      </c>
    </row>
    <row r="210" spans="1:34" ht="18.75" x14ac:dyDescent="0.25">
      <c r="A210" s="345" t="s">
        <v>16</v>
      </c>
      <c r="B210" s="289">
        <v>4</v>
      </c>
      <c r="C210" s="46">
        <v>1</v>
      </c>
      <c r="D210" s="46">
        <v>5</v>
      </c>
      <c r="E210" s="46"/>
      <c r="F210" s="46">
        <v>1</v>
      </c>
      <c r="G210" s="46"/>
      <c r="H210" s="46">
        <v>1</v>
      </c>
      <c r="I210" s="46">
        <v>2</v>
      </c>
      <c r="J210" s="46">
        <v>4</v>
      </c>
      <c r="K210" s="46"/>
      <c r="L210" s="46"/>
      <c r="M210" s="46">
        <v>2</v>
      </c>
      <c r="N210" s="45">
        <v>2</v>
      </c>
      <c r="O210" s="45">
        <v>1</v>
      </c>
      <c r="P210" s="45"/>
      <c r="Q210" s="45">
        <v>1</v>
      </c>
      <c r="R210" s="45"/>
      <c r="S210" s="45"/>
      <c r="T210" s="45">
        <v>1</v>
      </c>
      <c r="U210" s="45">
        <v>1</v>
      </c>
      <c r="V210" s="45">
        <v>1</v>
      </c>
      <c r="W210" s="45"/>
      <c r="X210" s="45"/>
      <c r="Y210" s="45">
        <v>1</v>
      </c>
      <c r="Z210" s="45"/>
      <c r="AA210" s="45"/>
      <c r="AB210" s="45">
        <v>1</v>
      </c>
      <c r="AC210" s="45">
        <v>1</v>
      </c>
      <c r="AD210" s="45">
        <v>5</v>
      </c>
      <c r="AE210" s="45"/>
      <c r="AF210" s="44"/>
      <c r="AG210" s="43">
        <f t="shared" si="29"/>
        <v>35</v>
      </c>
    </row>
    <row r="211" spans="1:34" ht="18.75" x14ac:dyDescent="0.25">
      <c r="A211" s="345" t="s">
        <v>15</v>
      </c>
      <c r="B211" s="289">
        <v>17</v>
      </c>
      <c r="C211" s="46">
        <v>25</v>
      </c>
      <c r="D211" s="46">
        <v>5</v>
      </c>
      <c r="E211" s="46">
        <v>19</v>
      </c>
      <c r="F211" s="46">
        <v>11</v>
      </c>
      <c r="G211" s="46">
        <v>15</v>
      </c>
      <c r="H211" s="46">
        <v>16</v>
      </c>
      <c r="I211" s="46">
        <v>19</v>
      </c>
      <c r="J211" s="46">
        <v>9</v>
      </c>
      <c r="K211" s="46">
        <v>13</v>
      </c>
      <c r="L211" s="46">
        <v>16</v>
      </c>
      <c r="M211" s="46">
        <v>10</v>
      </c>
      <c r="N211" s="45">
        <v>10</v>
      </c>
      <c r="O211" s="45">
        <v>15</v>
      </c>
      <c r="P211" s="45">
        <v>12</v>
      </c>
      <c r="Q211" s="45">
        <v>15</v>
      </c>
      <c r="R211" s="45">
        <v>14</v>
      </c>
      <c r="S211" s="45">
        <v>7</v>
      </c>
      <c r="T211" s="45">
        <v>21</v>
      </c>
      <c r="U211" s="45">
        <v>11</v>
      </c>
      <c r="V211" s="45">
        <v>33</v>
      </c>
      <c r="W211" s="45">
        <v>13</v>
      </c>
      <c r="X211" s="45">
        <v>20</v>
      </c>
      <c r="Y211" s="45">
        <v>11</v>
      </c>
      <c r="Z211" s="45">
        <v>16</v>
      </c>
      <c r="AA211" s="45">
        <v>10</v>
      </c>
      <c r="AB211" s="45">
        <v>10</v>
      </c>
      <c r="AC211" s="45">
        <v>18</v>
      </c>
      <c r="AD211" s="45">
        <v>17</v>
      </c>
      <c r="AE211" s="45">
        <v>11</v>
      </c>
      <c r="AF211" s="44">
        <v>14</v>
      </c>
      <c r="AG211" s="43">
        <f t="shared" ref="AG211:AG221" si="32">SUM(B211:AF211)</f>
        <v>453</v>
      </c>
    </row>
    <row r="212" spans="1:34" ht="18.75" x14ac:dyDescent="0.25">
      <c r="A212" s="345" t="s">
        <v>14</v>
      </c>
      <c r="B212" s="289">
        <v>67</v>
      </c>
      <c r="C212" s="46">
        <v>74</v>
      </c>
      <c r="D212" s="46">
        <v>96</v>
      </c>
      <c r="E212" s="46">
        <v>79</v>
      </c>
      <c r="F212" s="46">
        <v>83</v>
      </c>
      <c r="G212" s="46">
        <v>98</v>
      </c>
      <c r="H212" s="46">
        <v>66</v>
      </c>
      <c r="I212" s="46">
        <v>64</v>
      </c>
      <c r="J212" s="46">
        <v>83</v>
      </c>
      <c r="K212" s="46">
        <v>96</v>
      </c>
      <c r="L212" s="46">
        <v>81</v>
      </c>
      <c r="M212" s="46">
        <v>87</v>
      </c>
      <c r="N212" s="45">
        <v>105</v>
      </c>
      <c r="O212" s="45">
        <v>93</v>
      </c>
      <c r="P212" s="45">
        <v>94</v>
      </c>
      <c r="Q212" s="45">
        <v>95</v>
      </c>
      <c r="R212" s="45">
        <v>143</v>
      </c>
      <c r="S212" s="45">
        <v>108</v>
      </c>
      <c r="T212" s="45">
        <v>87</v>
      </c>
      <c r="U212" s="45">
        <v>103</v>
      </c>
      <c r="V212" s="45">
        <v>91</v>
      </c>
      <c r="W212" s="45">
        <v>119</v>
      </c>
      <c r="X212" s="45">
        <v>142</v>
      </c>
      <c r="Y212" s="45">
        <v>152</v>
      </c>
      <c r="Z212" s="45">
        <v>121</v>
      </c>
      <c r="AA212" s="45">
        <v>142</v>
      </c>
      <c r="AB212" s="45">
        <v>104</v>
      </c>
      <c r="AC212" s="45">
        <v>111</v>
      </c>
      <c r="AD212" s="45">
        <v>117</v>
      </c>
      <c r="AE212" s="45">
        <v>106</v>
      </c>
      <c r="AF212" s="44">
        <v>127</v>
      </c>
      <c r="AG212" s="43">
        <f t="shared" si="32"/>
        <v>3134</v>
      </c>
    </row>
    <row r="213" spans="1:34" ht="19.5" thickBot="1" x14ac:dyDescent="0.3">
      <c r="A213" s="346" t="s">
        <v>13</v>
      </c>
      <c r="B213" s="290">
        <v>26</v>
      </c>
      <c r="C213" s="41">
        <v>10</v>
      </c>
      <c r="D213" s="41">
        <v>21</v>
      </c>
      <c r="E213" s="41">
        <v>39</v>
      </c>
      <c r="F213" s="41">
        <v>15</v>
      </c>
      <c r="G213" s="41">
        <v>19</v>
      </c>
      <c r="H213" s="41">
        <v>20</v>
      </c>
      <c r="I213" s="41">
        <v>51</v>
      </c>
      <c r="J213" s="41">
        <v>24</v>
      </c>
      <c r="K213" s="41">
        <v>20</v>
      </c>
      <c r="L213" s="41">
        <v>17</v>
      </c>
      <c r="M213" s="41">
        <v>23</v>
      </c>
      <c r="N213" s="40">
        <v>24</v>
      </c>
      <c r="O213" s="40">
        <v>16</v>
      </c>
      <c r="P213" s="40">
        <v>29</v>
      </c>
      <c r="Q213" s="40">
        <v>39</v>
      </c>
      <c r="R213" s="40">
        <v>17</v>
      </c>
      <c r="S213" s="40">
        <v>18</v>
      </c>
      <c r="T213" s="40">
        <v>20</v>
      </c>
      <c r="U213" s="40">
        <v>33</v>
      </c>
      <c r="V213" s="40">
        <v>23</v>
      </c>
      <c r="W213" s="40">
        <v>24</v>
      </c>
      <c r="X213" s="40">
        <v>25</v>
      </c>
      <c r="Y213" s="40">
        <v>26</v>
      </c>
      <c r="Z213" s="40">
        <v>19</v>
      </c>
      <c r="AA213" s="40">
        <v>24</v>
      </c>
      <c r="AB213" s="40">
        <v>29</v>
      </c>
      <c r="AC213" s="40">
        <v>18</v>
      </c>
      <c r="AD213" s="40">
        <v>25</v>
      </c>
      <c r="AE213" s="40">
        <v>31</v>
      </c>
      <c r="AF213" s="39">
        <v>13</v>
      </c>
      <c r="AG213" s="38">
        <f t="shared" si="32"/>
        <v>738</v>
      </c>
    </row>
    <row r="214" spans="1:34" ht="19.5" thickBot="1" x14ac:dyDescent="0.3">
      <c r="A214" s="333" t="s">
        <v>12</v>
      </c>
      <c r="B214" s="291">
        <f t="shared" ref="B214:AF214" si="33">SUM(B215:B217)</f>
        <v>23</v>
      </c>
      <c r="C214" s="36">
        <f t="shared" si="33"/>
        <v>24</v>
      </c>
      <c r="D214" s="36">
        <f t="shared" si="33"/>
        <v>37</v>
      </c>
      <c r="E214" s="36">
        <f t="shared" si="33"/>
        <v>34</v>
      </c>
      <c r="F214" s="36">
        <f t="shared" si="33"/>
        <v>20</v>
      </c>
      <c r="G214" s="36">
        <f t="shared" si="33"/>
        <v>20</v>
      </c>
      <c r="H214" s="36">
        <f t="shared" si="33"/>
        <v>22</v>
      </c>
      <c r="I214" s="36">
        <f t="shared" si="33"/>
        <v>33</v>
      </c>
      <c r="J214" s="36">
        <f t="shared" si="33"/>
        <v>31</v>
      </c>
      <c r="K214" s="36">
        <f t="shared" si="33"/>
        <v>30</v>
      </c>
      <c r="L214" s="36">
        <f t="shared" si="33"/>
        <v>27</v>
      </c>
      <c r="M214" s="36">
        <f t="shared" si="33"/>
        <v>21</v>
      </c>
      <c r="N214" s="35">
        <f t="shared" si="33"/>
        <v>34</v>
      </c>
      <c r="O214" s="35">
        <f t="shared" si="33"/>
        <v>37</v>
      </c>
      <c r="P214" s="35">
        <f t="shared" si="33"/>
        <v>44</v>
      </c>
      <c r="Q214" s="35">
        <f t="shared" si="33"/>
        <v>43</v>
      </c>
      <c r="R214" s="35">
        <f t="shared" si="33"/>
        <v>47</v>
      </c>
      <c r="S214" s="35">
        <f t="shared" si="33"/>
        <v>27</v>
      </c>
      <c r="T214" s="35">
        <f t="shared" si="33"/>
        <v>23</v>
      </c>
      <c r="U214" s="35">
        <f t="shared" si="33"/>
        <v>33</v>
      </c>
      <c r="V214" s="35">
        <f t="shared" si="33"/>
        <v>37</v>
      </c>
      <c r="W214" s="35">
        <f t="shared" si="33"/>
        <v>55</v>
      </c>
      <c r="X214" s="35">
        <f t="shared" si="33"/>
        <v>66</v>
      </c>
      <c r="Y214" s="35">
        <f t="shared" si="33"/>
        <v>41</v>
      </c>
      <c r="Z214" s="35">
        <f t="shared" si="33"/>
        <v>32</v>
      </c>
      <c r="AA214" s="35">
        <f t="shared" si="33"/>
        <v>37</v>
      </c>
      <c r="AB214" s="35">
        <f t="shared" si="33"/>
        <v>31</v>
      </c>
      <c r="AC214" s="35">
        <f t="shared" si="33"/>
        <v>31</v>
      </c>
      <c r="AD214" s="35">
        <f t="shared" si="33"/>
        <v>52</v>
      </c>
      <c r="AE214" s="35">
        <f t="shared" si="33"/>
        <v>60</v>
      </c>
      <c r="AF214" s="34">
        <f t="shared" si="33"/>
        <v>49</v>
      </c>
      <c r="AG214" s="33">
        <f t="shared" si="32"/>
        <v>1101</v>
      </c>
    </row>
    <row r="215" spans="1:34" ht="18.75" x14ac:dyDescent="0.25">
      <c r="A215" s="81" t="s">
        <v>7</v>
      </c>
      <c r="B215" s="292">
        <v>5</v>
      </c>
      <c r="C215" s="31">
        <v>7</v>
      </c>
      <c r="D215" s="31"/>
      <c r="E215" s="31">
        <v>3</v>
      </c>
      <c r="F215" s="31">
        <v>2</v>
      </c>
      <c r="G215" s="31">
        <v>5</v>
      </c>
      <c r="H215" s="31">
        <v>4</v>
      </c>
      <c r="I215" s="31">
        <v>8</v>
      </c>
      <c r="J215" s="31">
        <v>9</v>
      </c>
      <c r="K215" s="31">
        <v>3</v>
      </c>
      <c r="L215" s="31">
        <v>2</v>
      </c>
      <c r="M215" s="31">
        <v>5</v>
      </c>
      <c r="N215" s="30">
        <v>3</v>
      </c>
      <c r="O215" s="30">
        <v>10</v>
      </c>
      <c r="P215" s="30">
        <v>9</v>
      </c>
      <c r="Q215" s="30">
        <v>5</v>
      </c>
      <c r="R215" s="30">
        <v>13</v>
      </c>
      <c r="S215" s="30">
        <v>4</v>
      </c>
      <c r="T215" s="30">
        <v>2</v>
      </c>
      <c r="U215" s="30">
        <v>5</v>
      </c>
      <c r="V215" s="30">
        <v>11</v>
      </c>
      <c r="W215" s="30">
        <v>15</v>
      </c>
      <c r="X215" s="30">
        <v>12</v>
      </c>
      <c r="Y215" s="30">
        <v>6</v>
      </c>
      <c r="Z215" s="30">
        <v>9</v>
      </c>
      <c r="AA215" s="30">
        <v>3</v>
      </c>
      <c r="AB215" s="30">
        <v>4</v>
      </c>
      <c r="AC215" s="30">
        <v>6</v>
      </c>
      <c r="AD215" s="30">
        <v>13</v>
      </c>
      <c r="AE215" s="30">
        <v>10</v>
      </c>
      <c r="AF215" s="29">
        <v>8</v>
      </c>
      <c r="AG215" s="28">
        <f t="shared" si="32"/>
        <v>201</v>
      </c>
    </row>
    <row r="216" spans="1:34" ht="18.75" x14ac:dyDescent="0.25">
      <c r="A216" s="347" t="s">
        <v>11</v>
      </c>
      <c r="B216" s="293">
        <v>18</v>
      </c>
      <c r="C216" s="25">
        <v>16</v>
      </c>
      <c r="D216" s="25">
        <v>2</v>
      </c>
      <c r="E216" s="25">
        <v>25</v>
      </c>
      <c r="F216" s="25">
        <v>18</v>
      </c>
      <c r="G216" s="25">
        <v>14</v>
      </c>
      <c r="H216" s="25">
        <v>18</v>
      </c>
      <c r="I216" s="25">
        <v>24</v>
      </c>
      <c r="J216" s="25">
        <v>22</v>
      </c>
      <c r="K216" s="25">
        <v>26</v>
      </c>
      <c r="L216" s="25">
        <v>25</v>
      </c>
      <c r="M216" s="25">
        <v>16</v>
      </c>
      <c r="N216" s="24">
        <v>27</v>
      </c>
      <c r="O216" s="24">
        <v>26</v>
      </c>
      <c r="P216" s="24">
        <v>35</v>
      </c>
      <c r="Q216" s="24">
        <v>30</v>
      </c>
      <c r="R216" s="24">
        <v>30</v>
      </c>
      <c r="S216" s="24">
        <v>23</v>
      </c>
      <c r="T216" s="24">
        <v>21</v>
      </c>
      <c r="U216" s="24">
        <v>28</v>
      </c>
      <c r="V216" s="24">
        <v>26</v>
      </c>
      <c r="W216" s="24">
        <v>38</v>
      </c>
      <c r="X216" s="24">
        <v>46</v>
      </c>
      <c r="Y216" s="24">
        <v>28</v>
      </c>
      <c r="Z216" s="24">
        <v>22</v>
      </c>
      <c r="AA216" s="24">
        <v>30</v>
      </c>
      <c r="AB216" s="24">
        <v>25</v>
      </c>
      <c r="AC216" s="24">
        <v>25</v>
      </c>
      <c r="AD216" s="24">
        <v>37</v>
      </c>
      <c r="AE216" s="24">
        <v>49</v>
      </c>
      <c r="AF216" s="23">
        <v>32</v>
      </c>
      <c r="AG216" s="21">
        <f t="shared" si="32"/>
        <v>802</v>
      </c>
    </row>
    <row r="217" spans="1:34" ht="19.5" thickBot="1" x14ac:dyDescent="0.3">
      <c r="A217" s="348" t="s">
        <v>8</v>
      </c>
      <c r="B217" s="293">
        <v>0</v>
      </c>
      <c r="C217" s="25">
        <v>1</v>
      </c>
      <c r="D217" s="25">
        <v>35</v>
      </c>
      <c r="E217" s="25">
        <v>6</v>
      </c>
      <c r="F217" s="25">
        <v>0</v>
      </c>
      <c r="G217" s="25">
        <v>1</v>
      </c>
      <c r="H217" s="25">
        <v>0</v>
      </c>
      <c r="I217" s="25">
        <v>1</v>
      </c>
      <c r="J217" s="25">
        <v>0</v>
      </c>
      <c r="K217" s="25">
        <v>1</v>
      </c>
      <c r="L217" s="25">
        <v>0</v>
      </c>
      <c r="M217" s="25">
        <v>0</v>
      </c>
      <c r="N217" s="24">
        <v>4</v>
      </c>
      <c r="O217" s="24">
        <v>1</v>
      </c>
      <c r="P217" s="24">
        <v>0</v>
      </c>
      <c r="Q217" s="24">
        <v>8</v>
      </c>
      <c r="R217" s="24">
        <v>4</v>
      </c>
      <c r="S217" s="24">
        <v>0</v>
      </c>
      <c r="T217" s="24">
        <v>0</v>
      </c>
      <c r="U217" s="24">
        <v>0</v>
      </c>
      <c r="V217" s="24">
        <v>0</v>
      </c>
      <c r="W217" s="24">
        <v>2</v>
      </c>
      <c r="X217" s="24">
        <v>8</v>
      </c>
      <c r="Y217" s="24">
        <v>7</v>
      </c>
      <c r="Z217" s="24">
        <v>1</v>
      </c>
      <c r="AA217" s="24">
        <v>4</v>
      </c>
      <c r="AB217" s="24">
        <v>2</v>
      </c>
      <c r="AC217" s="24">
        <v>0</v>
      </c>
      <c r="AD217" s="24">
        <v>2</v>
      </c>
      <c r="AE217" s="24">
        <v>1</v>
      </c>
      <c r="AF217" s="23">
        <v>9</v>
      </c>
      <c r="AG217" s="21">
        <f t="shared" si="32"/>
        <v>98</v>
      </c>
    </row>
    <row r="218" spans="1:34" ht="19.5" thickBot="1" x14ac:dyDescent="0.3">
      <c r="A218" s="327" t="s">
        <v>164</v>
      </c>
      <c r="B218" s="266">
        <f t="shared" ref="B218:AF218" si="34">SUM(B219:B221)</f>
        <v>5</v>
      </c>
      <c r="C218" s="143">
        <f t="shared" si="34"/>
        <v>0</v>
      </c>
      <c r="D218" s="143">
        <f t="shared" si="34"/>
        <v>42</v>
      </c>
      <c r="E218" s="143">
        <f t="shared" si="34"/>
        <v>33</v>
      </c>
      <c r="F218" s="143">
        <f t="shared" si="34"/>
        <v>28</v>
      </c>
      <c r="G218" s="143">
        <f t="shared" si="34"/>
        <v>31</v>
      </c>
      <c r="H218" s="143">
        <f t="shared" si="34"/>
        <v>26</v>
      </c>
      <c r="I218" s="143">
        <f t="shared" si="34"/>
        <v>5</v>
      </c>
      <c r="J218" s="143">
        <f t="shared" si="34"/>
        <v>0</v>
      </c>
      <c r="K218" s="143">
        <f t="shared" si="34"/>
        <v>37</v>
      </c>
      <c r="L218" s="143">
        <f t="shared" si="34"/>
        <v>40</v>
      </c>
      <c r="M218" s="143">
        <f t="shared" si="34"/>
        <v>39</v>
      </c>
      <c r="N218" s="143">
        <f t="shared" si="34"/>
        <v>38</v>
      </c>
      <c r="O218" s="143">
        <f t="shared" si="34"/>
        <v>32</v>
      </c>
      <c r="P218" s="143">
        <f t="shared" si="34"/>
        <v>0</v>
      </c>
      <c r="Q218" s="143">
        <f t="shared" si="34"/>
        <v>4</v>
      </c>
      <c r="R218" s="143">
        <f t="shared" si="34"/>
        <v>53</v>
      </c>
      <c r="S218" s="143">
        <f t="shared" si="34"/>
        <v>45</v>
      </c>
      <c r="T218" s="143">
        <f t="shared" si="34"/>
        <v>55</v>
      </c>
      <c r="U218" s="143">
        <f t="shared" si="34"/>
        <v>46</v>
      </c>
      <c r="V218" s="143">
        <f t="shared" si="34"/>
        <v>8</v>
      </c>
      <c r="W218" s="143">
        <f t="shared" si="34"/>
        <v>7</v>
      </c>
      <c r="X218" s="143">
        <f t="shared" si="34"/>
        <v>11</v>
      </c>
      <c r="Y218" s="143">
        <f t="shared" si="34"/>
        <v>66</v>
      </c>
      <c r="Z218" s="143">
        <f t="shared" si="34"/>
        <v>41</v>
      </c>
      <c r="AA218" s="143">
        <f t="shared" si="34"/>
        <v>51</v>
      </c>
      <c r="AB218" s="143">
        <f t="shared" si="34"/>
        <v>36</v>
      </c>
      <c r="AC218" s="143">
        <f t="shared" si="34"/>
        <v>36</v>
      </c>
      <c r="AD218" s="143">
        <f t="shared" si="34"/>
        <v>3</v>
      </c>
      <c r="AE218" s="143">
        <f t="shared" si="34"/>
        <v>7</v>
      </c>
      <c r="AF218" s="143">
        <f t="shared" si="34"/>
        <v>42</v>
      </c>
      <c r="AG218" s="86">
        <f t="shared" si="32"/>
        <v>867</v>
      </c>
    </row>
    <row r="219" spans="1:34" ht="18.75" x14ac:dyDescent="0.25">
      <c r="A219" s="349" t="s">
        <v>165</v>
      </c>
      <c r="B219" s="355">
        <v>0</v>
      </c>
      <c r="C219" s="218"/>
      <c r="D219" s="218">
        <v>9</v>
      </c>
      <c r="E219" s="218">
        <v>6</v>
      </c>
      <c r="F219" s="218">
        <v>5</v>
      </c>
      <c r="G219" s="218">
        <v>7</v>
      </c>
      <c r="H219" s="218">
        <v>5</v>
      </c>
      <c r="I219" s="218">
        <v>3</v>
      </c>
      <c r="J219" s="218">
        <v>0</v>
      </c>
      <c r="K219" s="218">
        <v>7</v>
      </c>
      <c r="L219" s="218">
        <v>6</v>
      </c>
      <c r="M219" s="218">
        <v>8</v>
      </c>
      <c r="N219" s="218">
        <v>10</v>
      </c>
      <c r="O219" s="218">
        <v>5</v>
      </c>
      <c r="P219" s="218">
        <v>0</v>
      </c>
      <c r="Q219" s="218">
        <v>1</v>
      </c>
      <c r="R219" s="218">
        <v>15</v>
      </c>
      <c r="S219" s="218">
        <v>10</v>
      </c>
      <c r="T219" s="218">
        <v>6</v>
      </c>
      <c r="U219" s="218">
        <v>13</v>
      </c>
      <c r="V219" s="218">
        <v>0</v>
      </c>
      <c r="W219" s="218">
        <v>0</v>
      </c>
      <c r="X219" s="218">
        <v>3</v>
      </c>
      <c r="Y219" s="218">
        <v>9</v>
      </c>
      <c r="Z219" s="218">
        <v>10</v>
      </c>
      <c r="AA219" s="218">
        <v>8</v>
      </c>
      <c r="AB219" s="218">
        <v>3</v>
      </c>
      <c r="AC219" s="218">
        <v>4</v>
      </c>
      <c r="AD219" s="218">
        <v>1</v>
      </c>
      <c r="AE219" s="218">
        <v>1</v>
      </c>
      <c r="AF219" s="218">
        <v>7</v>
      </c>
      <c r="AG219" s="225">
        <f t="shared" si="32"/>
        <v>162</v>
      </c>
    </row>
    <row r="220" spans="1:34" ht="18.75" x14ac:dyDescent="0.25">
      <c r="A220" s="350" t="s">
        <v>166</v>
      </c>
      <c r="B220" s="273">
        <v>5</v>
      </c>
      <c r="C220" s="124"/>
      <c r="D220" s="124">
        <v>33</v>
      </c>
      <c r="E220" s="124">
        <v>27</v>
      </c>
      <c r="F220" s="124">
        <v>23</v>
      </c>
      <c r="G220" s="124">
        <v>24</v>
      </c>
      <c r="H220" s="124">
        <v>21</v>
      </c>
      <c r="I220" s="124">
        <v>2</v>
      </c>
      <c r="J220" s="124">
        <v>0</v>
      </c>
      <c r="K220" s="124">
        <v>30</v>
      </c>
      <c r="L220" s="124">
        <v>34</v>
      </c>
      <c r="M220" s="124">
        <v>31</v>
      </c>
      <c r="N220" s="124">
        <v>28</v>
      </c>
      <c r="O220" s="124">
        <v>27</v>
      </c>
      <c r="P220" s="124">
        <v>0</v>
      </c>
      <c r="Q220" s="124">
        <v>3</v>
      </c>
      <c r="R220" s="124">
        <v>38</v>
      </c>
      <c r="S220" s="124">
        <v>35</v>
      </c>
      <c r="T220" s="124">
        <v>49</v>
      </c>
      <c r="U220" s="124">
        <v>33</v>
      </c>
      <c r="V220" s="124">
        <v>8</v>
      </c>
      <c r="W220" s="124">
        <v>7</v>
      </c>
      <c r="X220" s="124">
        <v>8</v>
      </c>
      <c r="Y220" s="124">
        <v>57</v>
      </c>
      <c r="Z220" s="124">
        <v>31</v>
      </c>
      <c r="AA220" s="124">
        <v>43</v>
      </c>
      <c r="AB220" s="124">
        <v>32</v>
      </c>
      <c r="AC220" s="124">
        <v>31</v>
      </c>
      <c r="AD220" s="124">
        <v>2</v>
      </c>
      <c r="AE220" s="124">
        <v>6</v>
      </c>
      <c r="AF220" s="124">
        <v>35</v>
      </c>
      <c r="AG220" s="122">
        <f t="shared" si="32"/>
        <v>703</v>
      </c>
    </row>
    <row r="221" spans="1:34" ht="19.5" thickBot="1" x14ac:dyDescent="0.3">
      <c r="A221" s="324" t="s">
        <v>167</v>
      </c>
      <c r="B221" s="263">
        <v>0</v>
      </c>
      <c r="C221" s="140"/>
      <c r="D221" s="140">
        <v>0</v>
      </c>
      <c r="E221" s="140">
        <v>0</v>
      </c>
      <c r="F221" s="140">
        <v>0</v>
      </c>
      <c r="G221" s="140">
        <v>0</v>
      </c>
      <c r="H221" s="140">
        <v>0</v>
      </c>
      <c r="I221" s="140">
        <v>0</v>
      </c>
      <c r="J221" s="140">
        <v>0</v>
      </c>
      <c r="K221" s="140">
        <v>0</v>
      </c>
      <c r="L221" s="140">
        <v>0</v>
      </c>
      <c r="M221" s="140">
        <v>0</v>
      </c>
      <c r="N221" s="140">
        <v>0</v>
      </c>
      <c r="O221" s="140">
        <v>0</v>
      </c>
      <c r="P221" s="140">
        <v>0</v>
      </c>
      <c r="Q221" s="140">
        <v>0</v>
      </c>
      <c r="R221" s="140">
        <v>0</v>
      </c>
      <c r="S221" s="140">
        <v>0</v>
      </c>
      <c r="T221" s="140">
        <v>0</v>
      </c>
      <c r="U221" s="140">
        <v>0</v>
      </c>
      <c r="V221" s="140">
        <v>0</v>
      </c>
      <c r="W221" s="140">
        <v>0</v>
      </c>
      <c r="X221" s="140">
        <v>0</v>
      </c>
      <c r="Y221" s="140">
        <v>0</v>
      </c>
      <c r="Z221" s="140">
        <v>0</v>
      </c>
      <c r="AA221" s="140">
        <v>0</v>
      </c>
      <c r="AB221" s="140">
        <v>1</v>
      </c>
      <c r="AC221" s="140">
        <v>1</v>
      </c>
      <c r="AD221" s="140">
        <v>0</v>
      </c>
      <c r="AE221" s="140">
        <v>0</v>
      </c>
      <c r="AF221" s="140">
        <v>0</v>
      </c>
      <c r="AG221" s="138">
        <f t="shared" si="32"/>
        <v>2</v>
      </c>
    </row>
    <row r="222" spans="1:34" ht="19.5" thickBot="1" x14ac:dyDescent="0.3">
      <c r="A222" s="369" t="s">
        <v>4</v>
      </c>
      <c r="B222" s="265">
        <f t="shared" ref="B222:AF222" si="35">SUM(B223:B225)</f>
        <v>7</v>
      </c>
      <c r="C222" s="8">
        <f t="shared" si="35"/>
        <v>4</v>
      </c>
      <c r="D222" s="8">
        <f t="shared" si="35"/>
        <v>11</v>
      </c>
      <c r="E222" s="8">
        <f t="shared" si="35"/>
        <v>6</v>
      </c>
      <c r="F222" s="8">
        <f t="shared" si="35"/>
        <v>5</v>
      </c>
      <c r="G222" s="8">
        <f t="shared" si="35"/>
        <v>10</v>
      </c>
      <c r="H222" s="8">
        <f t="shared" si="35"/>
        <v>5</v>
      </c>
      <c r="I222" s="8">
        <f t="shared" si="35"/>
        <v>0</v>
      </c>
      <c r="J222" s="8">
        <f t="shared" si="35"/>
        <v>11</v>
      </c>
      <c r="K222" s="8">
        <f t="shared" si="35"/>
        <v>6</v>
      </c>
      <c r="L222" s="8">
        <f t="shared" si="35"/>
        <v>7</v>
      </c>
      <c r="M222" s="8">
        <f t="shared" si="35"/>
        <v>15</v>
      </c>
      <c r="N222" s="8">
        <f t="shared" si="35"/>
        <v>5</v>
      </c>
      <c r="O222" s="8">
        <f t="shared" si="35"/>
        <v>8</v>
      </c>
      <c r="P222" s="8">
        <f t="shared" si="35"/>
        <v>9</v>
      </c>
      <c r="Q222" s="8">
        <f t="shared" si="35"/>
        <v>8</v>
      </c>
      <c r="R222" s="8">
        <f t="shared" si="35"/>
        <v>0</v>
      </c>
      <c r="S222" s="8">
        <f t="shared" si="35"/>
        <v>10</v>
      </c>
      <c r="T222" s="8">
        <f t="shared" si="35"/>
        <v>9</v>
      </c>
      <c r="U222" s="8">
        <f t="shared" si="35"/>
        <v>9</v>
      </c>
      <c r="V222" s="8">
        <f t="shared" si="35"/>
        <v>0</v>
      </c>
      <c r="W222" s="8">
        <f t="shared" si="35"/>
        <v>0</v>
      </c>
      <c r="X222" s="8">
        <f t="shared" si="35"/>
        <v>0</v>
      </c>
      <c r="Y222" s="8">
        <f t="shared" si="35"/>
        <v>10</v>
      </c>
      <c r="Z222" s="8">
        <f t="shared" si="35"/>
        <v>6</v>
      </c>
      <c r="AA222" s="8">
        <f t="shared" si="35"/>
        <v>0</v>
      </c>
      <c r="AB222" s="8">
        <f t="shared" si="35"/>
        <v>8</v>
      </c>
      <c r="AC222" s="8">
        <f t="shared" si="35"/>
        <v>9</v>
      </c>
      <c r="AD222" s="8">
        <f t="shared" si="35"/>
        <v>0</v>
      </c>
      <c r="AE222" s="8">
        <f t="shared" si="35"/>
        <v>4</v>
      </c>
      <c r="AF222" s="8">
        <f t="shared" si="35"/>
        <v>8</v>
      </c>
      <c r="AG222" s="149">
        <f t="shared" ref="AG222:AG225" si="36">SUM(B222:AF222)</f>
        <v>190</v>
      </c>
      <c r="AH222" s="406" t="s">
        <v>3</v>
      </c>
    </row>
    <row r="223" spans="1:34" ht="18.75" x14ac:dyDescent="0.25">
      <c r="A223" s="370" t="s">
        <v>2</v>
      </c>
      <c r="B223" s="235">
        <v>4</v>
      </c>
      <c r="C223" s="234">
        <v>1</v>
      </c>
      <c r="D223" s="234">
        <v>3</v>
      </c>
      <c r="E223" s="234">
        <v>5</v>
      </c>
      <c r="F223" s="234">
        <v>5</v>
      </c>
      <c r="G223" s="234">
        <v>5</v>
      </c>
      <c r="H223" s="234">
        <v>3</v>
      </c>
      <c r="I223" s="234">
        <v>0</v>
      </c>
      <c r="J223" s="234">
        <v>7</v>
      </c>
      <c r="K223" s="234">
        <v>4</v>
      </c>
      <c r="L223" s="234">
        <v>5</v>
      </c>
      <c r="M223" s="234">
        <v>9</v>
      </c>
      <c r="N223" s="235">
        <v>3</v>
      </c>
      <c r="O223" s="234">
        <v>6</v>
      </c>
      <c r="P223" s="234">
        <v>4</v>
      </c>
      <c r="Q223" s="234">
        <v>0</v>
      </c>
      <c r="R223" s="234"/>
      <c r="S223" s="234">
        <v>6</v>
      </c>
      <c r="T223" s="234">
        <v>4</v>
      </c>
      <c r="U223" s="234">
        <v>4</v>
      </c>
      <c r="V223" s="234">
        <v>0</v>
      </c>
      <c r="W223" s="234">
        <v>0</v>
      </c>
      <c r="X223" s="234"/>
      <c r="Y223" s="234">
        <v>4</v>
      </c>
      <c r="Z223" s="236">
        <v>4</v>
      </c>
      <c r="AA223" s="234"/>
      <c r="AB223" s="234">
        <v>6</v>
      </c>
      <c r="AC223" s="234">
        <v>6</v>
      </c>
      <c r="AD223" s="234"/>
      <c r="AE223" s="234">
        <v>1</v>
      </c>
      <c r="AF223" s="237">
        <v>5</v>
      </c>
      <c r="AG223" s="238">
        <f t="shared" si="36"/>
        <v>104</v>
      </c>
      <c r="AH223" s="407"/>
    </row>
    <row r="224" spans="1:34" ht="18.75" x14ac:dyDescent="0.25">
      <c r="A224" s="352" t="s">
        <v>1</v>
      </c>
      <c r="B224" s="5">
        <v>3</v>
      </c>
      <c r="C224" s="3">
        <v>3</v>
      </c>
      <c r="D224" s="3">
        <v>8</v>
      </c>
      <c r="E224" s="3">
        <v>1</v>
      </c>
      <c r="F224" s="3"/>
      <c r="G224" s="3">
        <v>5</v>
      </c>
      <c r="H224" s="3">
        <v>2</v>
      </c>
      <c r="I224" s="3">
        <v>0</v>
      </c>
      <c r="J224" s="3">
        <v>4</v>
      </c>
      <c r="K224" s="3">
        <v>2</v>
      </c>
      <c r="L224" s="3">
        <v>2</v>
      </c>
      <c r="M224" s="3">
        <v>6</v>
      </c>
      <c r="N224" s="5">
        <v>2</v>
      </c>
      <c r="O224" s="3">
        <v>2</v>
      </c>
      <c r="P224" s="3">
        <v>5</v>
      </c>
      <c r="Q224" s="3">
        <v>8</v>
      </c>
      <c r="R224" s="3"/>
      <c r="S224" s="3">
        <v>4</v>
      </c>
      <c r="T224" s="3">
        <v>5</v>
      </c>
      <c r="U224" s="3">
        <v>5</v>
      </c>
      <c r="V224" s="3">
        <v>0</v>
      </c>
      <c r="W224" s="3">
        <v>0</v>
      </c>
      <c r="X224" s="3"/>
      <c r="Y224" s="3">
        <v>6</v>
      </c>
      <c r="Z224" s="4">
        <v>2</v>
      </c>
      <c r="AA224" s="3"/>
      <c r="AB224" s="3">
        <v>2</v>
      </c>
      <c r="AC224" s="3">
        <v>3</v>
      </c>
      <c r="AD224" s="3"/>
      <c r="AE224" s="3">
        <v>3</v>
      </c>
      <c r="AF224" s="2">
        <v>3</v>
      </c>
      <c r="AG224" s="1">
        <f t="shared" si="36"/>
        <v>86</v>
      </c>
      <c r="AH224" s="407"/>
    </row>
    <row r="225" spans="1:34" ht="19.5" thickBot="1" x14ac:dyDescent="0.3">
      <c r="A225" s="353" t="s">
        <v>0</v>
      </c>
      <c r="B225" s="297"/>
      <c r="C225" s="240"/>
      <c r="D225" s="240"/>
      <c r="E225" s="240"/>
      <c r="F225" s="240"/>
      <c r="G225" s="240"/>
      <c r="H225" s="240"/>
      <c r="I225" s="240"/>
      <c r="J225" s="240"/>
      <c r="K225" s="241"/>
      <c r="L225" s="241"/>
      <c r="M225" s="241"/>
      <c r="N225" s="242"/>
      <c r="O225" s="243"/>
      <c r="P225" s="243"/>
      <c r="Q225" s="243"/>
      <c r="R225" s="243"/>
      <c r="S225" s="243"/>
      <c r="T225" s="243"/>
      <c r="U225" s="243"/>
      <c r="V225" s="243"/>
      <c r="W225" s="243"/>
      <c r="X225" s="243"/>
      <c r="Y225" s="243"/>
      <c r="Z225" s="243"/>
      <c r="AA225" s="243"/>
      <c r="AB225" s="243"/>
      <c r="AC225" s="243"/>
      <c r="AD225" s="243"/>
      <c r="AE225" s="243"/>
      <c r="AF225" s="244"/>
      <c r="AG225" s="10">
        <f t="shared" si="36"/>
        <v>0</v>
      </c>
      <c r="AH225" s="408"/>
    </row>
    <row r="245" ht="18.75" customHeight="1" x14ac:dyDescent="0.25"/>
    <row r="246" ht="18.75" customHeight="1" x14ac:dyDescent="0.25"/>
    <row r="247" ht="18.75" customHeight="1" x14ac:dyDescent="0.25"/>
    <row r="248" ht="18.75" customHeight="1" x14ac:dyDescent="0.25"/>
    <row r="249" ht="18.75" customHeight="1" x14ac:dyDescent="0.25"/>
    <row r="250" ht="18.75" customHeight="1" x14ac:dyDescent="0.25"/>
    <row r="251" ht="18.75" customHeight="1" x14ac:dyDescent="0.25"/>
    <row r="252" ht="18.75" customHeight="1" x14ac:dyDescent="0.25"/>
    <row r="253" ht="18.75" customHeight="1" x14ac:dyDescent="0.25"/>
    <row r="254" ht="18.75" customHeight="1" x14ac:dyDescent="0.25"/>
    <row r="255" ht="18.75" customHeight="1" x14ac:dyDescent="0.25"/>
    <row r="256" ht="19.5" customHeight="1" x14ac:dyDescent="0.25"/>
    <row r="258" ht="18.75" customHeight="1" x14ac:dyDescent="0.25"/>
    <row r="261" ht="18.75" customHeight="1" x14ac:dyDescent="0.25"/>
  </sheetData>
  <dataConsolidate link="1"/>
  <mergeCells count="3">
    <mergeCell ref="A1:AG1"/>
    <mergeCell ref="AI84:AI86"/>
    <mergeCell ref="AH222:AH225"/>
  </mergeCells>
  <conditionalFormatting sqref="B29:AF52">
    <cfRule type="cellIs" dxfId="79" priority="6" operator="lessThan">
      <formula>0</formula>
    </cfRule>
  </conditionalFormatting>
  <conditionalFormatting sqref="D54:D77">
    <cfRule type="cellIs" dxfId="78" priority="2" operator="lessThan">
      <formula>0</formula>
    </cfRule>
  </conditionalFormatting>
  <conditionalFormatting sqref="G54:G77">
    <cfRule type="cellIs" dxfId="77" priority="1" operator="lessThan">
      <formula>0</formula>
    </cfRule>
  </conditionalFormatting>
  <conditionalFormatting sqref="AH81">
    <cfRule type="cellIs" dxfId="76" priority="4" operator="equal">
      <formula>"*"</formula>
    </cfRule>
  </conditionalFormatting>
  <conditionalFormatting sqref="AH84 AH87">
    <cfRule type="cellIs" dxfId="75" priority="5" operator="equal">
      <formula>"*"</formula>
    </cfRule>
  </conditionalFormatting>
  <conditionalFormatting sqref="AH93">
    <cfRule type="cellIs" dxfId="74" priority="10" operator="equal">
      <formula>"*"</formula>
    </cfRule>
  </conditionalFormatting>
  <conditionalFormatting sqref="AH130">
    <cfRule type="cellIs" dxfId="73" priority="8" operator="equal">
      <formula>"*"</formula>
    </cfRule>
  </conditionalFormatting>
  <conditionalFormatting sqref="AH144:AH145">
    <cfRule type="cellIs" dxfId="72" priority="9" operator="equal">
      <formula>"*"</formula>
    </cfRule>
  </conditionalFormatting>
  <conditionalFormatting sqref="AH181">
    <cfRule type="cellIs" dxfId="71" priority="7" operator="equal">
      <formula>"*"</formula>
    </cfRule>
  </conditionalFormatting>
  <conditionalFormatting sqref="AH208">
    <cfRule type="cellIs" dxfId="70" priority="3" operator="equal">
      <formula>"X"</formula>
    </cfRule>
  </conditionalFormatting>
  <dataValidations disablePrompts="1" count="1">
    <dataValidation type="whole" allowBlank="1" showInputMessage="1" showErrorMessage="1" errorTitle="ERROR" error="Por favor ingrese solo Números" sqref="A98:A99 A101:A115" xr:uid="{20541160-8703-4573-B2B2-817A34B45D69}">
      <formula1>0</formula1>
      <formula2>1000000000</formula2>
    </dataValidation>
  </dataValidations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729F6-A72F-4379-B8B3-5B4C4D267086}">
  <sheetPr codeName="Hoja8"/>
  <dimension ref="A1:AI262"/>
  <sheetViews>
    <sheetView zoomScale="80" zoomScaleNormal="80" workbookViewId="0">
      <pane xSplit="1" ySplit="3" topLeftCell="B4" activePane="bottomRight" state="frozen"/>
      <selection activeCell="AG3" sqref="AG3"/>
      <selection pane="topRight" activeCell="AG3" sqref="AG3"/>
      <selection pane="bottomLeft" activeCell="AG3" sqref="AG3"/>
      <selection pane="bottomRight" activeCell="B4" sqref="B4"/>
    </sheetView>
  </sheetViews>
  <sheetFormatPr baseColWidth="10" defaultRowHeight="15" x14ac:dyDescent="0.25"/>
  <cols>
    <col min="1" max="1" width="34.7109375" customWidth="1"/>
    <col min="2" max="13" width="8.28515625" customWidth="1"/>
    <col min="14" max="14" width="10.140625" customWidth="1"/>
    <col min="15" max="27" width="8.28515625" customWidth="1"/>
    <col min="28" max="28" width="9.7109375" customWidth="1"/>
    <col min="29" max="32" width="8.28515625" customWidth="1"/>
    <col min="33" max="33" width="11.140625" customWidth="1"/>
    <col min="34" max="34" width="12.42578125" customWidth="1"/>
  </cols>
  <sheetData>
    <row r="1" spans="1:33" ht="21.75" thickBot="1" x14ac:dyDescent="0.3">
      <c r="A1" s="400"/>
      <c r="B1" s="401"/>
      <c r="C1" s="401"/>
      <c r="D1" s="401"/>
      <c r="E1" s="401"/>
      <c r="F1" s="401"/>
      <c r="G1" s="401"/>
      <c r="H1" s="401"/>
      <c r="I1" s="401"/>
      <c r="J1" s="401"/>
      <c r="K1" s="401"/>
      <c r="L1" s="401"/>
      <c r="M1" s="401"/>
      <c r="N1" s="401"/>
      <c r="O1" s="401"/>
      <c r="P1" s="401"/>
      <c r="Q1" s="401"/>
      <c r="R1" s="401"/>
      <c r="S1" s="401"/>
      <c r="T1" s="401"/>
      <c r="U1" s="401"/>
      <c r="V1" s="401"/>
      <c r="W1" s="401"/>
      <c r="X1" s="401"/>
      <c r="Y1" s="401"/>
      <c r="Z1" s="401"/>
      <c r="AA1" s="401"/>
      <c r="AB1" s="401"/>
      <c r="AC1" s="401"/>
      <c r="AD1" s="401"/>
      <c r="AE1" s="401"/>
      <c r="AF1" s="401"/>
      <c r="AG1" s="402"/>
    </row>
    <row r="2" spans="1:33" ht="21.75" thickBot="1" x14ac:dyDescent="0.3">
      <c r="A2" s="298" t="s">
        <v>157</v>
      </c>
      <c r="B2" s="246">
        <v>1</v>
      </c>
      <c r="C2" s="215">
        <f t="shared" ref="C2:AA2" si="0">+B2+1</f>
        <v>2</v>
      </c>
      <c r="D2" s="215">
        <f t="shared" si="0"/>
        <v>3</v>
      </c>
      <c r="E2" s="215">
        <f t="shared" si="0"/>
        <v>4</v>
      </c>
      <c r="F2" s="217">
        <f t="shared" si="0"/>
        <v>5</v>
      </c>
      <c r="G2" s="217">
        <f t="shared" si="0"/>
        <v>6</v>
      </c>
      <c r="H2" s="215">
        <f t="shared" si="0"/>
        <v>7</v>
      </c>
      <c r="I2" s="215">
        <f t="shared" si="0"/>
        <v>8</v>
      </c>
      <c r="J2" s="215">
        <f t="shared" si="0"/>
        <v>9</v>
      </c>
      <c r="K2" s="215">
        <f t="shared" si="0"/>
        <v>10</v>
      </c>
      <c r="L2" s="215">
        <f t="shared" si="0"/>
        <v>11</v>
      </c>
      <c r="M2" s="217">
        <f t="shared" si="0"/>
        <v>12</v>
      </c>
      <c r="N2" s="217">
        <f t="shared" si="0"/>
        <v>13</v>
      </c>
      <c r="O2" s="215">
        <f t="shared" si="0"/>
        <v>14</v>
      </c>
      <c r="P2" s="215">
        <f t="shared" si="0"/>
        <v>15</v>
      </c>
      <c r="Q2" s="215">
        <f t="shared" si="0"/>
        <v>16</v>
      </c>
      <c r="R2" s="215">
        <f t="shared" si="0"/>
        <v>17</v>
      </c>
      <c r="S2" s="215">
        <f t="shared" si="0"/>
        <v>18</v>
      </c>
      <c r="T2" s="217">
        <f t="shared" si="0"/>
        <v>19</v>
      </c>
      <c r="U2" s="217">
        <f t="shared" si="0"/>
        <v>20</v>
      </c>
      <c r="V2" s="215">
        <f t="shared" si="0"/>
        <v>21</v>
      </c>
      <c r="W2" s="215">
        <f t="shared" si="0"/>
        <v>22</v>
      </c>
      <c r="X2" s="215">
        <f t="shared" si="0"/>
        <v>23</v>
      </c>
      <c r="Y2" s="215">
        <f t="shared" si="0"/>
        <v>24</v>
      </c>
      <c r="Z2" s="215">
        <f t="shared" si="0"/>
        <v>25</v>
      </c>
      <c r="AA2" s="217">
        <f t="shared" si="0"/>
        <v>26</v>
      </c>
      <c r="AB2" s="217">
        <v>27</v>
      </c>
      <c r="AC2" s="217">
        <f>+AB2+1</f>
        <v>28</v>
      </c>
      <c r="AD2" s="215">
        <v>29</v>
      </c>
      <c r="AE2" s="215">
        <v>30</v>
      </c>
      <c r="AF2" s="215">
        <v>31</v>
      </c>
      <c r="AG2" s="214" t="s">
        <v>148</v>
      </c>
    </row>
    <row r="3" spans="1:33" ht="19.5" thickBot="1" x14ac:dyDescent="0.3">
      <c r="A3" s="299" t="s">
        <v>147</v>
      </c>
      <c r="B3" s="247">
        <f t="shared" ref="B3:AF3" si="1">SUM(B4:B27)</f>
        <v>152</v>
      </c>
      <c r="C3" s="120">
        <f t="shared" si="1"/>
        <v>144</v>
      </c>
      <c r="D3" s="120">
        <f t="shared" si="1"/>
        <v>172</v>
      </c>
      <c r="E3" s="120">
        <f t="shared" si="1"/>
        <v>177</v>
      </c>
      <c r="F3" s="120">
        <f t="shared" si="1"/>
        <v>149</v>
      </c>
      <c r="G3" s="120">
        <f t="shared" si="1"/>
        <v>153</v>
      </c>
      <c r="H3" s="120">
        <f t="shared" si="1"/>
        <v>179</v>
      </c>
      <c r="I3" s="120">
        <f t="shared" si="1"/>
        <v>149</v>
      </c>
      <c r="J3" s="120">
        <f t="shared" si="1"/>
        <v>143</v>
      </c>
      <c r="K3" s="120">
        <f t="shared" si="1"/>
        <v>150</v>
      </c>
      <c r="L3" s="120">
        <f t="shared" si="1"/>
        <v>142</v>
      </c>
      <c r="M3" s="120">
        <f t="shared" si="1"/>
        <v>178</v>
      </c>
      <c r="N3" s="120">
        <f t="shared" si="1"/>
        <v>157</v>
      </c>
      <c r="O3" s="120">
        <f t="shared" si="1"/>
        <v>178</v>
      </c>
      <c r="P3" s="120">
        <f t="shared" si="1"/>
        <v>118</v>
      </c>
      <c r="Q3" s="120">
        <f t="shared" si="1"/>
        <v>152</v>
      </c>
      <c r="R3" s="120">
        <f t="shared" si="1"/>
        <v>137</v>
      </c>
      <c r="S3" s="120">
        <f t="shared" si="1"/>
        <v>127</v>
      </c>
      <c r="T3" s="120">
        <f t="shared" si="1"/>
        <v>152</v>
      </c>
      <c r="U3" s="120">
        <f t="shared" si="1"/>
        <v>132</v>
      </c>
      <c r="V3" s="120">
        <f t="shared" si="1"/>
        <v>159</v>
      </c>
      <c r="W3" s="120">
        <f t="shared" si="1"/>
        <v>187</v>
      </c>
      <c r="X3" s="120">
        <f t="shared" si="1"/>
        <v>157</v>
      </c>
      <c r="Y3" s="120">
        <f t="shared" si="1"/>
        <v>130</v>
      </c>
      <c r="Z3" s="120">
        <f t="shared" si="1"/>
        <v>149</v>
      </c>
      <c r="AA3" s="120">
        <f t="shared" si="1"/>
        <v>147</v>
      </c>
      <c r="AB3" s="120">
        <f t="shared" si="1"/>
        <v>125</v>
      </c>
      <c r="AC3" s="120">
        <f t="shared" si="1"/>
        <v>146</v>
      </c>
      <c r="AD3" s="120">
        <f t="shared" si="1"/>
        <v>162</v>
      </c>
      <c r="AE3" s="120">
        <f t="shared" si="1"/>
        <v>127</v>
      </c>
      <c r="AF3" s="120">
        <f t="shared" si="1"/>
        <v>0</v>
      </c>
      <c r="AG3" s="118">
        <f t="shared" ref="AG3:AG66" si="2">SUM(B3:AF3)</f>
        <v>4530</v>
      </c>
    </row>
    <row r="4" spans="1:33" ht="18.75" x14ac:dyDescent="0.25">
      <c r="A4" s="300" t="s">
        <v>144</v>
      </c>
      <c r="B4" s="248">
        <v>4</v>
      </c>
      <c r="C4" s="199">
        <v>1</v>
      </c>
      <c r="D4" s="199">
        <v>9</v>
      </c>
      <c r="E4" s="199">
        <v>4</v>
      </c>
      <c r="F4" s="199">
        <v>5</v>
      </c>
      <c r="G4" s="199">
        <v>6</v>
      </c>
      <c r="H4" s="199">
        <v>4</v>
      </c>
      <c r="I4" s="199">
        <v>4</v>
      </c>
      <c r="J4" s="199">
        <v>4</v>
      </c>
      <c r="K4" s="199">
        <v>4</v>
      </c>
      <c r="L4" s="199">
        <v>3</v>
      </c>
      <c r="M4" s="199">
        <v>4</v>
      </c>
      <c r="N4" s="199">
        <v>6</v>
      </c>
      <c r="O4" s="199">
        <v>5</v>
      </c>
      <c r="P4" s="199">
        <v>5</v>
      </c>
      <c r="Q4" s="199">
        <v>6</v>
      </c>
      <c r="R4" s="199">
        <v>3</v>
      </c>
      <c r="S4" s="199">
        <v>6</v>
      </c>
      <c r="T4" s="199">
        <v>4</v>
      </c>
      <c r="U4" s="199">
        <v>4</v>
      </c>
      <c r="V4" s="199">
        <v>2</v>
      </c>
      <c r="W4" s="199">
        <v>9</v>
      </c>
      <c r="X4" s="199">
        <v>9</v>
      </c>
      <c r="Y4" s="199">
        <v>3</v>
      </c>
      <c r="Z4" s="199">
        <v>7</v>
      </c>
      <c r="AA4" s="199">
        <v>3</v>
      </c>
      <c r="AB4" s="199">
        <v>5</v>
      </c>
      <c r="AC4" s="199">
        <v>4</v>
      </c>
      <c r="AD4" s="199">
        <v>3</v>
      </c>
      <c r="AE4" s="199">
        <v>2</v>
      </c>
      <c r="AF4" s="206"/>
      <c r="AG4" s="134">
        <f t="shared" si="2"/>
        <v>138</v>
      </c>
    </row>
    <row r="5" spans="1:33" ht="18.75" x14ac:dyDescent="0.25">
      <c r="A5" s="301" t="s">
        <v>143</v>
      </c>
      <c r="B5" s="249">
        <v>3</v>
      </c>
      <c r="C5" s="162">
        <v>3</v>
      </c>
      <c r="D5" s="162">
        <v>13</v>
      </c>
      <c r="E5" s="162">
        <v>6</v>
      </c>
      <c r="F5" s="162">
        <v>9</v>
      </c>
      <c r="G5" s="162">
        <v>9</v>
      </c>
      <c r="H5" s="162">
        <v>8</v>
      </c>
      <c r="I5" s="162">
        <v>6</v>
      </c>
      <c r="J5" s="162">
        <v>10</v>
      </c>
      <c r="K5" s="162">
        <v>4</v>
      </c>
      <c r="L5" s="162">
        <v>6</v>
      </c>
      <c r="M5" s="162">
        <v>7</v>
      </c>
      <c r="N5" s="162">
        <v>7</v>
      </c>
      <c r="O5" s="162">
        <v>5</v>
      </c>
      <c r="P5" s="162">
        <v>1</v>
      </c>
      <c r="Q5" s="162">
        <v>6</v>
      </c>
      <c r="R5" s="162">
        <v>6</v>
      </c>
      <c r="S5" s="162">
        <v>4</v>
      </c>
      <c r="T5" s="162">
        <v>6</v>
      </c>
      <c r="U5" s="162">
        <v>7</v>
      </c>
      <c r="V5" s="162">
        <v>8</v>
      </c>
      <c r="W5" s="162">
        <v>8</v>
      </c>
      <c r="X5" s="162">
        <v>1</v>
      </c>
      <c r="Y5" s="162">
        <v>6</v>
      </c>
      <c r="Z5" s="162">
        <v>2</v>
      </c>
      <c r="AA5" s="162">
        <v>4</v>
      </c>
      <c r="AB5" s="162">
        <v>8</v>
      </c>
      <c r="AC5" s="162">
        <v>7</v>
      </c>
      <c r="AD5" s="162">
        <v>7</v>
      </c>
      <c r="AE5" s="162">
        <v>7</v>
      </c>
      <c r="AF5" s="161"/>
      <c r="AG5" s="64">
        <f t="shared" si="2"/>
        <v>184</v>
      </c>
    </row>
    <row r="6" spans="1:33" ht="18.75" x14ac:dyDescent="0.25">
      <c r="A6" s="301" t="s">
        <v>142</v>
      </c>
      <c r="B6" s="249">
        <v>7</v>
      </c>
      <c r="C6" s="162">
        <v>3</v>
      </c>
      <c r="D6" s="162">
        <v>5</v>
      </c>
      <c r="E6" s="162">
        <v>6</v>
      </c>
      <c r="F6" s="162">
        <v>13</v>
      </c>
      <c r="G6" s="162">
        <v>8</v>
      </c>
      <c r="H6" s="162">
        <v>6</v>
      </c>
      <c r="I6" s="162">
        <v>5</v>
      </c>
      <c r="J6" s="162">
        <v>7</v>
      </c>
      <c r="K6" s="162">
        <v>6</v>
      </c>
      <c r="L6" s="162">
        <v>2</v>
      </c>
      <c r="M6" s="162">
        <v>15</v>
      </c>
      <c r="N6" s="162">
        <v>7</v>
      </c>
      <c r="O6" s="162">
        <v>7</v>
      </c>
      <c r="P6" s="162">
        <v>5</v>
      </c>
      <c r="Q6" s="162">
        <v>5</v>
      </c>
      <c r="R6" s="162">
        <v>2</v>
      </c>
      <c r="S6" s="162">
        <v>1</v>
      </c>
      <c r="T6" s="162">
        <v>11</v>
      </c>
      <c r="U6" s="162">
        <v>5</v>
      </c>
      <c r="V6" s="162">
        <v>11</v>
      </c>
      <c r="W6" s="162">
        <v>14</v>
      </c>
      <c r="X6" s="162">
        <v>7</v>
      </c>
      <c r="Y6" s="162">
        <v>6</v>
      </c>
      <c r="Z6" s="162">
        <v>5</v>
      </c>
      <c r="AA6" s="162">
        <v>11</v>
      </c>
      <c r="AB6" s="162">
        <v>3</v>
      </c>
      <c r="AC6" s="162">
        <v>5</v>
      </c>
      <c r="AD6" s="162">
        <v>6</v>
      </c>
      <c r="AE6" s="162">
        <v>8</v>
      </c>
      <c r="AF6" s="161"/>
      <c r="AG6" s="64">
        <f t="shared" si="2"/>
        <v>202</v>
      </c>
    </row>
    <row r="7" spans="1:33" ht="18.75" x14ac:dyDescent="0.25">
      <c r="A7" s="301" t="s">
        <v>141</v>
      </c>
      <c r="B7" s="249">
        <v>7</v>
      </c>
      <c r="C7" s="162">
        <v>4</v>
      </c>
      <c r="D7" s="162">
        <v>7</v>
      </c>
      <c r="E7" s="162">
        <v>7</v>
      </c>
      <c r="F7" s="162">
        <v>9</v>
      </c>
      <c r="G7" s="162">
        <v>10</v>
      </c>
      <c r="H7" s="162">
        <v>14</v>
      </c>
      <c r="I7" s="162">
        <v>8</v>
      </c>
      <c r="J7" s="162">
        <v>11</v>
      </c>
      <c r="K7" s="162">
        <v>6</v>
      </c>
      <c r="L7" s="162">
        <v>2</v>
      </c>
      <c r="M7" s="162">
        <v>13</v>
      </c>
      <c r="N7" s="162">
        <v>11</v>
      </c>
      <c r="O7" s="162">
        <v>2</v>
      </c>
      <c r="P7" s="162">
        <v>4</v>
      </c>
      <c r="Q7" s="162">
        <v>5</v>
      </c>
      <c r="R7" s="162">
        <v>3</v>
      </c>
      <c r="S7" s="162">
        <v>8</v>
      </c>
      <c r="T7" s="162">
        <v>8</v>
      </c>
      <c r="U7" s="162">
        <v>9</v>
      </c>
      <c r="V7" s="162">
        <v>5</v>
      </c>
      <c r="W7" s="162">
        <v>11</v>
      </c>
      <c r="X7" s="162">
        <v>12</v>
      </c>
      <c r="Y7" s="162">
        <v>4</v>
      </c>
      <c r="Z7" s="162">
        <v>9</v>
      </c>
      <c r="AA7" s="162">
        <v>5</v>
      </c>
      <c r="AB7" s="162">
        <v>9</v>
      </c>
      <c r="AC7" s="162">
        <v>7</v>
      </c>
      <c r="AD7" s="162">
        <v>9</v>
      </c>
      <c r="AE7" s="162">
        <v>7</v>
      </c>
      <c r="AF7" s="161"/>
      <c r="AG7" s="64">
        <f t="shared" si="2"/>
        <v>226</v>
      </c>
    </row>
    <row r="8" spans="1:33" ht="18.75" x14ac:dyDescent="0.25">
      <c r="A8" s="301" t="s">
        <v>140</v>
      </c>
      <c r="B8" s="249">
        <v>5</v>
      </c>
      <c r="C8" s="162">
        <v>9</v>
      </c>
      <c r="D8" s="162">
        <v>6</v>
      </c>
      <c r="E8" s="162">
        <v>8</v>
      </c>
      <c r="F8" s="162">
        <v>7</v>
      </c>
      <c r="G8" s="162">
        <v>12</v>
      </c>
      <c r="H8" s="162">
        <v>7</v>
      </c>
      <c r="I8" s="162">
        <v>8</v>
      </c>
      <c r="J8" s="162">
        <v>2</v>
      </c>
      <c r="K8" s="162">
        <v>13</v>
      </c>
      <c r="L8" s="162">
        <v>3</v>
      </c>
      <c r="M8" s="162">
        <v>13</v>
      </c>
      <c r="N8" s="162">
        <v>12</v>
      </c>
      <c r="O8" s="162">
        <v>14</v>
      </c>
      <c r="P8" s="162">
        <v>5</v>
      </c>
      <c r="Q8" s="162">
        <v>8</v>
      </c>
      <c r="R8" s="162">
        <v>7</v>
      </c>
      <c r="S8" s="162">
        <v>4</v>
      </c>
      <c r="T8" s="162">
        <v>18</v>
      </c>
      <c r="U8" s="162">
        <v>9</v>
      </c>
      <c r="V8" s="162">
        <v>11</v>
      </c>
      <c r="W8" s="162">
        <v>9</v>
      </c>
      <c r="X8" s="162">
        <v>9</v>
      </c>
      <c r="Y8" s="162">
        <v>10</v>
      </c>
      <c r="Z8" s="162">
        <v>6</v>
      </c>
      <c r="AA8" s="162">
        <v>10</v>
      </c>
      <c r="AB8" s="162">
        <v>7</v>
      </c>
      <c r="AC8" s="162">
        <v>7</v>
      </c>
      <c r="AD8" s="162">
        <v>4</v>
      </c>
      <c r="AE8" s="162">
        <v>6</v>
      </c>
      <c r="AF8" s="161"/>
      <c r="AG8" s="64">
        <f t="shared" si="2"/>
        <v>249</v>
      </c>
    </row>
    <row r="9" spans="1:33" ht="18.75" x14ac:dyDescent="0.25">
      <c r="A9" s="301" t="s">
        <v>139</v>
      </c>
      <c r="B9" s="249">
        <v>3</v>
      </c>
      <c r="C9" s="162">
        <v>7</v>
      </c>
      <c r="D9" s="162">
        <v>1</v>
      </c>
      <c r="E9" s="162">
        <v>5</v>
      </c>
      <c r="F9" s="162">
        <v>12</v>
      </c>
      <c r="G9" s="162">
        <v>9</v>
      </c>
      <c r="H9" s="162">
        <v>5</v>
      </c>
      <c r="I9" s="162">
        <v>4</v>
      </c>
      <c r="J9" s="162"/>
      <c r="K9" s="162">
        <v>4</v>
      </c>
      <c r="L9" s="162">
        <v>5</v>
      </c>
      <c r="M9" s="162">
        <v>21</v>
      </c>
      <c r="N9" s="162">
        <v>11</v>
      </c>
      <c r="O9" s="162">
        <v>3</v>
      </c>
      <c r="P9" s="162">
        <v>1</v>
      </c>
      <c r="Q9" s="162">
        <v>5</v>
      </c>
      <c r="R9" s="162">
        <v>7</v>
      </c>
      <c r="S9" s="162">
        <v>2</v>
      </c>
      <c r="T9" s="162">
        <v>8</v>
      </c>
      <c r="U9" s="162">
        <v>8</v>
      </c>
      <c r="V9" s="162">
        <v>11</v>
      </c>
      <c r="W9" s="162">
        <v>7</v>
      </c>
      <c r="X9" s="162">
        <v>3</v>
      </c>
      <c r="Y9" s="162">
        <v>7</v>
      </c>
      <c r="Z9" s="162">
        <v>5</v>
      </c>
      <c r="AA9" s="162">
        <v>10</v>
      </c>
      <c r="AB9" s="162">
        <v>10</v>
      </c>
      <c r="AC9" s="162">
        <v>5</v>
      </c>
      <c r="AD9" s="162">
        <v>5</v>
      </c>
      <c r="AE9" s="162">
        <v>2</v>
      </c>
      <c r="AF9" s="161"/>
      <c r="AG9" s="64">
        <f t="shared" si="2"/>
        <v>186</v>
      </c>
    </row>
    <row r="10" spans="1:33" ht="18.75" x14ac:dyDescent="0.25">
      <c r="A10" s="301" t="s">
        <v>138</v>
      </c>
      <c r="B10" s="249">
        <v>7</v>
      </c>
      <c r="C10" s="162">
        <v>10</v>
      </c>
      <c r="D10" s="162">
        <v>4</v>
      </c>
      <c r="E10" s="162">
        <v>5</v>
      </c>
      <c r="F10" s="162">
        <v>9</v>
      </c>
      <c r="G10" s="162">
        <v>8</v>
      </c>
      <c r="H10" s="162">
        <v>5</v>
      </c>
      <c r="I10" s="162">
        <v>7</v>
      </c>
      <c r="J10" s="162"/>
      <c r="K10" s="162">
        <v>2</v>
      </c>
      <c r="L10" s="162">
        <v>4</v>
      </c>
      <c r="M10" s="162">
        <v>9</v>
      </c>
      <c r="N10" s="162">
        <v>9</v>
      </c>
      <c r="O10" s="162">
        <v>11</v>
      </c>
      <c r="P10" s="162">
        <v>5</v>
      </c>
      <c r="Q10" s="162">
        <v>9</v>
      </c>
      <c r="R10" s="162">
        <v>7</v>
      </c>
      <c r="S10" s="162">
        <v>2</v>
      </c>
      <c r="T10" s="162">
        <v>8</v>
      </c>
      <c r="U10" s="162">
        <v>8</v>
      </c>
      <c r="V10" s="162">
        <v>12</v>
      </c>
      <c r="W10" s="162">
        <v>7</v>
      </c>
      <c r="X10" s="162">
        <v>4</v>
      </c>
      <c r="Y10" s="162">
        <v>1</v>
      </c>
      <c r="Z10" s="162">
        <v>2</v>
      </c>
      <c r="AA10" s="162">
        <v>7</v>
      </c>
      <c r="AB10" s="162">
        <v>6</v>
      </c>
      <c r="AC10" s="162">
        <v>12</v>
      </c>
      <c r="AD10" s="162">
        <v>2</v>
      </c>
      <c r="AE10" s="162">
        <v>2</v>
      </c>
      <c r="AF10" s="161"/>
      <c r="AG10" s="64">
        <f t="shared" si="2"/>
        <v>184</v>
      </c>
    </row>
    <row r="11" spans="1:33" ht="18.75" x14ac:dyDescent="0.25">
      <c r="A11" s="301" t="s">
        <v>137</v>
      </c>
      <c r="B11" s="249">
        <v>6</v>
      </c>
      <c r="C11" s="162">
        <v>4</v>
      </c>
      <c r="D11" s="162">
        <v>9</v>
      </c>
      <c r="E11" s="162">
        <v>6</v>
      </c>
      <c r="F11" s="162">
        <v>13</v>
      </c>
      <c r="G11" s="162">
        <v>10</v>
      </c>
      <c r="H11" s="162">
        <v>6</v>
      </c>
      <c r="I11" s="162">
        <v>5</v>
      </c>
      <c r="J11" s="162">
        <v>3</v>
      </c>
      <c r="K11" s="162">
        <v>9</v>
      </c>
      <c r="L11" s="162">
        <v>11</v>
      </c>
      <c r="M11" s="162">
        <v>12</v>
      </c>
      <c r="N11" s="162">
        <v>14</v>
      </c>
      <c r="O11" s="162">
        <v>6</v>
      </c>
      <c r="P11" s="162">
        <v>3</v>
      </c>
      <c r="Q11" s="162">
        <v>10</v>
      </c>
      <c r="R11" s="162">
        <v>3</v>
      </c>
      <c r="S11" s="162">
        <v>4</v>
      </c>
      <c r="T11" s="162">
        <v>8</v>
      </c>
      <c r="U11" s="162">
        <v>13</v>
      </c>
      <c r="V11" s="162">
        <v>17</v>
      </c>
      <c r="W11" s="162">
        <v>8</v>
      </c>
      <c r="X11" s="162">
        <v>7</v>
      </c>
      <c r="Y11" s="162">
        <v>4</v>
      </c>
      <c r="Z11" s="162">
        <v>5</v>
      </c>
      <c r="AA11" s="162">
        <v>20</v>
      </c>
      <c r="AB11" s="162">
        <v>14</v>
      </c>
      <c r="AC11" s="162">
        <v>15</v>
      </c>
      <c r="AD11" s="162">
        <v>7</v>
      </c>
      <c r="AE11" s="162">
        <v>4</v>
      </c>
      <c r="AF11" s="161"/>
      <c r="AG11" s="64">
        <f t="shared" si="2"/>
        <v>256</v>
      </c>
    </row>
    <row r="12" spans="1:33" ht="18.75" x14ac:dyDescent="0.25">
      <c r="A12" s="301" t="s">
        <v>136</v>
      </c>
      <c r="B12" s="249">
        <v>7</v>
      </c>
      <c r="C12" s="162">
        <v>11</v>
      </c>
      <c r="D12" s="162">
        <v>7</v>
      </c>
      <c r="E12" s="162">
        <v>8</v>
      </c>
      <c r="F12" s="162">
        <v>10</v>
      </c>
      <c r="G12" s="162">
        <v>11</v>
      </c>
      <c r="H12" s="162">
        <v>8</v>
      </c>
      <c r="I12" s="162">
        <v>15</v>
      </c>
      <c r="J12" s="162">
        <v>6</v>
      </c>
      <c r="K12" s="162">
        <v>4</v>
      </c>
      <c r="L12" s="162">
        <v>8</v>
      </c>
      <c r="M12" s="162">
        <v>12</v>
      </c>
      <c r="N12" s="162">
        <v>15</v>
      </c>
      <c r="O12" s="162">
        <v>6</v>
      </c>
      <c r="P12" s="162">
        <v>8</v>
      </c>
      <c r="Q12" s="162">
        <v>6</v>
      </c>
      <c r="R12" s="162">
        <v>5</v>
      </c>
      <c r="S12" s="162">
        <v>6</v>
      </c>
      <c r="T12" s="162">
        <v>14</v>
      </c>
      <c r="U12" s="162">
        <v>6</v>
      </c>
      <c r="V12" s="162">
        <v>16</v>
      </c>
      <c r="W12" s="162">
        <v>5</v>
      </c>
      <c r="X12" s="162">
        <v>7</v>
      </c>
      <c r="Y12" s="162">
        <v>7</v>
      </c>
      <c r="Z12" s="162">
        <v>4</v>
      </c>
      <c r="AA12" s="162">
        <v>11</v>
      </c>
      <c r="AB12" s="162">
        <v>8</v>
      </c>
      <c r="AC12" s="162">
        <v>17</v>
      </c>
      <c r="AD12" s="162">
        <v>9</v>
      </c>
      <c r="AE12" s="162">
        <v>6</v>
      </c>
      <c r="AF12" s="161"/>
      <c r="AG12" s="64">
        <f t="shared" si="2"/>
        <v>263</v>
      </c>
    </row>
    <row r="13" spans="1:33" ht="18.75" x14ac:dyDescent="0.25">
      <c r="A13" s="301" t="s">
        <v>135</v>
      </c>
      <c r="B13" s="249">
        <v>44</v>
      </c>
      <c r="C13" s="162">
        <v>27</v>
      </c>
      <c r="D13" s="162">
        <v>39</v>
      </c>
      <c r="E13" s="162">
        <v>44</v>
      </c>
      <c r="F13" s="162">
        <v>8</v>
      </c>
      <c r="G13" s="162">
        <v>14</v>
      </c>
      <c r="H13" s="162">
        <v>41</v>
      </c>
      <c r="I13" s="162">
        <v>47</v>
      </c>
      <c r="J13" s="162">
        <v>35</v>
      </c>
      <c r="K13" s="162">
        <v>47</v>
      </c>
      <c r="L13" s="162">
        <v>33</v>
      </c>
      <c r="M13" s="162">
        <v>15</v>
      </c>
      <c r="N13" s="162">
        <v>12</v>
      </c>
      <c r="O13" s="162">
        <v>51</v>
      </c>
      <c r="P13" s="162">
        <v>24</v>
      </c>
      <c r="Q13" s="162">
        <v>35</v>
      </c>
      <c r="R13" s="162">
        <v>36</v>
      </c>
      <c r="S13" s="162">
        <v>27</v>
      </c>
      <c r="T13" s="162">
        <v>14</v>
      </c>
      <c r="U13" s="162">
        <v>13</v>
      </c>
      <c r="V13" s="162">
        <v>13</v>
      </c>
      <c r="W13" s="162">
        <v>48</v>
      </c>
      <c r="X13" s="162">
        <v>33</v>
      </c>
      <c r="Y13" s="162">
        <v>27</v>
      </c>
      <c r="Z13" s="162">
        <v>59</v>
      </c>
      <c r="AA13" s="162">
        <v>10</v>
      </c>
      <c r="AB13" s="162">
        <v>13</v>
      </c>
      <c r="AC13" s="162">
        <v>9</v>
      </c>
      <c r="AD13" s="162">
        <v>42</v>
      </c>
      <c r="AE13" s="162">
        <v>30</v>
      </c>
      <c r="AF13" s="161"/>
      <c r="AG13" s="64">
        <f t="shared" si="2"/>
        <v>890</v>
      </c>
    </row>
    <row r="14" spans="1:33" ht="18.75" x14ac:dyDescent="0.25">
      <c r="A14" s="301" t="s">
        <v>134</v>
      </c>
      <c r="B14" s="249">
        <v>19</v>
      </c>
      <c r="C14" s="162">
        <v>13</v>
      </c>
      <c r="D14" s="162">
        <v>13</v>
      </c>
      <c r="E14" s="162">
        <v>10</v>
      </c>
      <c r="F14" s="162">
        <v>12</v>
      </c>
      <c r="G14" s="162">
        <v>18</v>
      </c>
      <c r="H14" s="162">
        <v>16</v>
      </c>
      <c r="I14" s="162">
        <v>5</v>
      </c>
      <c r="J14" s="162">
        <v>12</v>
      </c>
      <c r="K14" s="162">
        <v>11</v>
      </c>
      <c r="L14" s="162">
        <v>15</v>
      </c>
      <c r="M14" s="162">
        <v>9</v>
      </c>
      <c r="N14" s="162">
        <v>4</v>
      </c>
      <c r="O14" s="162">
        <v>20</v>
      </c>
      <c r="P14" s="162">
        <v>8</v>
      </c>
      <c r="Q14" s="162">
        <v>12</v>
      </c>
      <c r="R14" s="162">
        <v>13</v>
      </c>
      <c r="S14" s="162">
        <v>20</v>
      </c>
      <c r="T14" s="162">
        <v>10</v>
      </c>
      <c r="U14" s="162">
        <v>8</v>
      </c>
      <c r="V14" s="162">
        <v>13</v>
      </c>
      <c r="W14" s="162">
        <v>16</v>
      </c>
      <c r="X14" s="162">
        <v>16</v>
      </c>
      <c r="Y14" s="162">
        <v>16</v>
      </c>
      <c r="Z14" s="162">
        <v>9</v>
      </c>
      <c r="AA14" s="162">
        <v>17</v>
      </c>
      <c r="AB14" s="162">
        <v>11</v>
      </c>
      <c r="AC14" s="162">
        <v>17</v>
      </c>
      <c r="AD14" s="162">
        <v>11</v>
      </c>
      <c r="AE14" s="162">
        <v>14</v>
      </c>
      <c r="AF14" s="161"/>
      <c r="AG14" s="64">
        <f t="shared" si="2"/>
        <v>388</v>
      </c>
    </row>
    <row r="15" spans="1:33" ht="18.75" x14ac:dyDescent="0.25">
      <c r="A15" s="301" t="s">
        <v>133</v>
      </c>
      <c r="B15" s="249">
        <v>9</v>
      </c>
      <c r="C15" s="162">
        <v>11</v>
      </c>
      <c r="D15" s="162">
        <v>13</v>
      </c>
      <c r="E15" s="162">
        <v>13</v>
      </c>
      <c r="F15" s="162">
        <v>6</v>
      </c>
      <c r="G15" s="162">
        <v>7</v>
      </c>
      <c r="H15" s="162">
        <v>13</v>
      </c>
      <c r="I15" s="162">
        <v>9</v>
      </c>
      <c r="J15" s="162">
        <v>16</v>
      </c>
      <c r="K15" s="162">
        <v>8</v>
      </c>
      <c r="L15" s="162">
        <v>10</v>
      </c>
      <c r="M15" s="162">
        <v>9</v>
      </c>
      <c r="N15" s="162">
        <v>10</v>
      </c>
      <c r="O15" s="162">
        <v>14</v>
      </c>
      <c r="P15" s="162">
        <v>5</v>
      </c>
      <c r="Q15" s="162">
        <v>10</v>
      </c>
      <c r="R15" s="162">
        <v>12</v>
      </c>
      <c r="S15" s="162">
        <v>9</v>
      </c>
      <c r="T15" s="162">
        <v>6</v>
      </c>
      <c r="U15" s="162">
        <v>6</v>
      </c>
      <c r="V15" s="162">
        <v>12</v>
      </c>
      <c r="W15" s="162">
        <v>10</v>
      </c>
      <c r="X15" s="162">
        <v>19</v>
      </c>
      <c r="Y15" s="162">
        <v>7</v>
      </c>
      <c r="Z15" s="162">
        <v>8</v>
      </c>
      <c r="AA15" s="162">
        <v>12</v>
      </c>
      <c r="AB15" s="162">
        <v>6</v>
      </c>
      <c r="AC15" s="162">
        <v>7</v>
      </c>
      <c r="AD15" s="162">
        <v>14</v>
      </c>
      <c r="AE15" s="162">
        <v>12</v>
      </c>
      <c r="AF15" s="161"/>
      <c r="AG15" s="64">
        <f t="shared" si="2"/>
        <v>303</v>
      </c>
    </row>
    <row r="16" spans="1:33" ht="18.75" x14ac:dyDescent="0.25">
      <c r="A16" s="301" t="s">
        <v>132</v>
      </c>
      <c r="B16" s="249">
        <v>5</v>
      </c>
      <c r="C16" s="162">
        <v>11</v>
      </c>
      <c r="D16" s="162">
        <v>15</v>
      </c>
      <c r="E16" s="162">
        <v>9</v>
      </c>
      <c r="F16" s="162">
        <v>7</v>
      </c>
      <c r="G16" s="162">
        <v>10</v>
      </c>
      <c r="H16" s="162">
        <v>11</v>
      </c>
      <c r="I16" s="162">
        <v>4</v>
      </c>
      <c r="J16" s="162">
        <v>8</v>
      </c>
      <c r="K16" s="162">
        <v>13</v>
      </c>
      <c r="L16" s="162">
        <v>3</v>
      </c>
      <c r="M16" s="162">
        <v>13</v>
      </c>
      <c r="N16" s="162">
        <v>17</v>
      </c>
      <c r="O16" s="162">
        <v>7</v>
      </c>
      <c r="P16" s="162">
        <v>9</v>
      </c>
      <c r="Q16" s="162">
        <v>12</v>
      </c>
      <c r="R16" s="162">
        <v>8</v>
      </c>
      <c r="S16" s="162">
        <v>12</v>
      </c>
      <c r="T16" s="162">
        <v>8</v>
      </c>
      <c r="U16" s="162">
        <v>8</v>
      </c>
      <c r="V16" s="162">
        <v>7</v>
      </c>
      <c r="W16" s="162">
        <v>8</v>
      </c>
      <c r="X16" s="162">
        <v>9</v>
      </c>
      <c r="Y16" s="162">
        <v>6</v>
      </c>
      <c r="Z16" s="162">
        <v>12</v>
      </c>
      <c r="AA16" s="162">
        <v>7</v>
      </c>
      <c r="AB16" s="162">
        <v>5</v>
      </c>
      <c r="AC16" s="162">
        <v>9</v>
      </c>
      <c r="AD16" s="162">
        <v>10</v>
      </c>
      <c r="AE16" s="162">
        <v>6</v>
      </c>
      <c r="AF16" s="161"/>
      <c r="AG16" s="64">
        <f t="shared" si="2"/>
        <v>269</v>
      </c>
    </row>
    <row r="17" spans="1:33" ht="18.75" x14ac:dyDescent="0.25">
      <c r="A17" s="301" t="s">
        <v>131</v>
      </c>
      <c r="B17" s="249">
        <v>7</v>
      </c>
      <c r="C17" s="162">
        <v>6</v>
      </c>
      <c r="D17" s="162">
        <v>6</v>
      </c>
      <c r="E17" s="162">
        <v>11</v>
      </c>
      <c r="F17" s="162">
        <v>9</v>
      </c>
      <c r="G17" s="162">
        <v>4</v>
      </c>
      <c r="H17" s="162">
        <v>13</v>
      </c>
      <c r="I17" s="162">
        <v>5</v>
      </c>
      <c r="J17" s="162">
        <v>10</v>
      </c>
      <c r="K17" s="162">
        <v>2</v>
      </c>
      <c r="L17" s="162">
        <v>10</v>
      </c>
      <c r="M17" s="162">
        <v>4</v>
      </c>
      <c r="N17" s="162">
        <v>4</v>
      </c>
      <c r="O17" s="162">
        <v>12</v>
      </c>
      <c r="P17" s="162">
        <v>15</v>
      </c>
      <c r="Q17" s="162">
        <v>5</v>
      </c>
      <c r="R17" s="162">
        <v>8</v>
      </c>
      <c r="S17" s="162">
        <v>15</v>
      </c>
      <c r="T17" s="162">
        <v>7</v>
      </c>
      <c r="U17" s="162">
        <v>3</v>
      </c>
      <c r="V17" s="162">
        <v>6</v>
      </c>
      <c r="W17" s="162">
        <v>10</v>
      </c>
      <c r="X17" s="162">
        <v>8</v>
      </c>
      <c r="Y17" s="162">
        <v>4</v>
      </c>
      <c r="Z17" s="162">
        <v>2</v>
      </c>
      <c r="AA17" s="162">
        <v>6</v>
      </c>
      <c r="AB17" s="162">
        <v>10</v>
      </c>
      <c r="AC17" s="162">
        <v>7</v>
      </c>
      <c r="AD17" s="162">
        <v>10</v>
      </c>
      <c r="AE17" s="162">
        <v>8</v>
      </c>
      <c r="AF17" s="161"/>
      <c r="AG17" s="64">
        <f t="shared" si="2"/>
        <v>227</v>
      </c>
    </row>
    <row r="18" spans="1:33" ht="18.75" x14ac:dyDescent="0.25">
      <c r="A18" s="301" t="s">
        <v>130</v>
      </c>
      <c r="B18" s="249">
        <v>3</v>
      </c>
      <c r="C18" s="162">
        <v>9</v>
      </c>
      <c r="D18" s="162">
        <v>6</v>
      </c>
      <c r="E18" s="162">
        <v>11</v>
      </c>
      <c r="F18" s="162">
        <v>11</v>
      </c>
      <c r="G18" s="162">
        <v>5</v>
      </c>
      <c r="H18" s="162">
        <v>8</v>
      </c>
      <c r="I18" s="162">
        <v>6</v>
      </c>
      <c r="J18" s="162">
        <v>11</v>
      </c>
      <c r="K18" s="162">
        <v>4</v>
      </c>
      <c r="L18" s="162">
        <v>6</v>
      </c>
      <c r="M18" s="162">
        <v>7</v>
      </c>
      <c r="N18" s="162">
        <v>4</v>
      </c>
      <c r="O18" s="162">
        <v>3</v>
      </c>
      <c r="P18" s="162">
        <v>8</v>
      </c>
      <c r="Q18" s="162">
        <v>5</v>
      </c>
      <c r="R18" s="162">
        <v>6</v>
      </c>
      <c r="S18" s="162">
        <v>2</v>
      </c>
      <c r="T18" s="162">
        <v>8</v>
      </c>
      <c r="U18" s="162">
        <v>6</v>
      </c>
      <c r="V18" s="162">
        <v>4</v>
      </c>
      <c r="W18" s="162">
        <v>5</v>
      </c>
      <c r="X18" s="162">
        <v>4</v>
      </c>
      <c r="Y18" s="162">
        <v>4</v>
      </c>
      <c r="Z18" s="162">
        <v>3</v>
      </c>
      <c r="AA18" s="162">
        <v>2</v>
      </c>
      <c r="AB18" s="162">
        <v>3</v>
      </c>
      <c r="AC18" s="162">
        <v>7</v>
      </c>
      <c r="AD18" s="162">
        <v>5</v>
      </c>
      <c r="AE18" s="162">
        <v>3</v>
      </c>
      <c r="AF18" s="161"/>
      <c r="AG18" s="64">
        <f t="shared" si="2"/>
        <v>169</v>
      </c>
    </row>
    <row r="19" spans="1:33" ht="18.75" x14ac:dyDescent="0.25">
      <c r="A19" s="301" t="s">
        <v>129</v>
      </c>
      <c r="B19" s="249">
        <v>5</v>
      </c>
      <c r="C19" s="162">
        <v>6</v>
      </c>
      <c r="D19" s="162">
        <v>5</v>
      </c>
      <c r="E19" s="162">
        <v>2</v>
      </c>
      <c r="F19" s="162">
        <v>1</v>
      </c>
      <c r="G19" s="162">
        <v>3</v>
      </c>
      <c r="H19" s="162">
        <v>4</v>
      </c>
      <c r="I19" s="162">
        <v>3</v>
      </c>
      <c r="J19" s="162">
        <v>5</v>
      </c>
      <c r="K19" s="162">
        <v>4</v>
      </c>
      <c r="L19" s="162">
        <v>6</v>
      </c>
      <c r="M19" s="162">
        <v>4</v>
      </c>
      <c r="N19" s="162">
        <v>1</v>
      </c>
      <c r="O19" s="162">
        <v>2</v>
      </c>
      <c r="P19" s="162">
        <v>3</v>
      </c>
      <c r="Q19" s="162">
        <v>4</v>
      </c>
      <c r="R19" s="162">
        <v>1</v>
      </c>
      <c r="S19" s="162">
        <v>2</v>
      </c>
      <c r="T19" s="162">
        <v>5</v>
      </c>
      <c r="U19" s="162">
        <v>6</v>
      </c>
      <c r="V19" s="162">
        <v>5</v>
      </c>
      <c r="W19" s="162">
        <v>7</v>
      </c>
      <c r="X19" s="162">
        <v>2</v>
      </c>
      <c r="Y19" s="162">
        <v>5</v>
      </c>
      <c r="Z19" s="162">
        <v>2</v>
      </c>
      <c r="AA19" s="162">
        <v>3</v>
      </c>
      <c r="AB19" s="162">
        <v>2</v>
      </c>
      <c r="AC19" s="162">
        <v>5</v>
      </c>
      <c r="AD19" s="162">
        <v>5</v>
      </c>
      <c r="AE19" s="162">
        <v>1</v>
      </c>
      <c r="AF19" s="161"/>
      <c r="AG19" s="64">
        <f t="shared" si="2"/>
        <v>109</v>
      </c>
    </row>
    <row r="20" spans="1:33" ht="18.75" x14ac:dyDescent="0.25">
      <c r="A20" s="301" t="s">
        <v>128</v>
      </c>
      <c r="B20" s="249">
        <v>3</v>
      </c>
      <c r="C20" s="162">
        <v>3</v>
      </c>
      <c r="D20" s="162">
        <v>2</v>
      </c>
      <c r="E20" s="162">
        <v>8</v>
      </c>
      <c r="F20" s="162">
        <v>5</v>
      </c>
      <c r="G20" s="162">
        <v>5</v>
      </c>
      <c r="H20" s="162">
        <v>4</v>
      </c>
      <c r="I20" s="162">
        <v>1</v>
      </c>
      <c r="J20" s="162">
        <v>2</v>
      </c>
      <c r="K20" s="162">
        <v>1</v>
      </c>
      <c r="L20" s="162">
        <v>1</v>
      </c>
      <c r="M20" s="162">
        <v>3</v>
      </c>
      <c r="N20" s="162">
        <v>7</v>
      </c>
      <c r="O20" s="162">
        <v>3</v>
      </c>
      <c r="P20" s="162">
        <v>5</v>
      </c>
      <c r="Q20" s="162">
        <v>4</v>
      </c>
      <c r="R20" s="162">
        <v>1</v>
      </c>
      <c r="S20" s="162"/>
      <c r="T20" s="162">
        <v>4</v>
      </c>
      <c r="U20" s="162">
        <v>1</v>
      </c>
      <c r="V20" s="162">
        <v>4</v>
      </c>
      <c r="W20" s="162"/>
      <c r="X20" s="162"/>
      <c r="Y20" s="162">
        <v>7</v>
      </c>
      <c r="Z20" s="162">
        <v>3</v>
      </c>
      <c r="AA20" s="162">
        <v>3</v>
      </c>
      <c r="AB20" s="162"/>
      <c r="AC20" s="162">
        <v>2</v>
      </c>
      <c r="AD20" s="162">
        <v>3</v>
      </c>
      <c r="AE20" s="162"/>
      <c r="AF20" s="161"/>
      <c r="AG20" s="64">
        <f t="shared" si="2"/>
        <v>85</v>
      </c>
    </row>
    <row r="21" spans="1:33" ht="18.75" x14ac:dyDescent="0.25">
      <c r="A21" s="301" t="s">
        <v>127</v>
      </c>
      <c r="B21" s="249">
        <v>3</v>
      </c>
      <c r="C21" s="162">
        <v>1</v>
      </c>
      <c r="D21" s="162">
        <v>2</v>
      </c>
      <c r="E21" s="162">
        <v>1</v>
      </c>
      <c r="F21" s="162">
        <v>1</v>
      </c>
      <c r="G21" s="162"/>
      <c r="H21" s="162">
        <v>2</v>
      </c>
      <c r="I21" s="162">
        <v>1</v>
      </c>
      <c r="J21" s="162">
        <v>1</v>
      </c>
      <c r="K21" s="162">
        <v>1</v>
      </c>
      <c r="L21" s="162">
        <v>3</v>
      </c>
      <c r="M21" s="162"/>
      <c r="N21" s="162">
        <v>1</v>
      </c>
      <c r="O21" s="162">
        <v>3</v>
      </c>
      <c r="P21" s="162">
        <v>3</v>
      </c>
      <c r="Q21" s="162">
        <v>2</v>
      </c>
      <c r="R21" s="162">
        <v>3</v>
      </c>
      <c r="S21" s="162">
        <v>1</v>
      </c>
      <c r="T21" s="162">
        <v>2</v>
      </c>
      <c r="U21" s="162"/>
      <c r="V21" s="162">
        <v>2</v>
      </c>
      <c r="W21" s="162">
        <v>1</v>
      </c>
      <c r="X21" s="162"/>
      <c r="Y21" s="162">
        <v>2</v>
      </c>
      <c r="Z21" s="162">
        <v>1</v>
      </c>
      <c r="AA21" s="162"/>
      <c r="AB21" s="162">
        <v>2</v>
      </c>
      <c r="AC21" s="162">
        <v>2</v>
      </c>
      <c r="AD21" s="162">
        <v>3</v>
      </c>
      <c r="AE21" s="162"/>
      <c r="AF21" s="161"/>
      <c r="AG21" s="64">
        <f t="shared" si="2"/>
        <v>44</v>
      </c>
    </row>
    <row r="22" spans="1:33" ht="18.75" x14ac:dyDescent="0.25">
      <c r="A22" s="301" t="s">
        <v>126</v>
      </c>
      <c r="B22" s="249">
        <v>1</v>
      </c>
      <c r="C22" s="162">
        <v>2</v>
      </c>
      <c r="D22" s="162">
        <v>1</v>
      </c>
      <c r="E22" s="162">
        <v>4</v>
      </c>
      <c r="F22" s="162"/>
      <c r="G22" s="162"/>
      <c r="H22" s="162">
        <v>1</v>
      </c>
      <c r="I22" s="162">
        <v>2</v>
      </c>
      <c r="J22" s="162"/>
      <c r="K22" s="162">
        <v>3</v>
      </c>
      <c r="L22" s="162">
        <v>2</v>
      </c>
      <c r="M22" s="162"/>
      <c r="N22" s="162">
        <v>2</v>
      </c>
      <c r="O22" s="162">
        <v>1</v>
      </c>
      <c r="P22" s="162"/>
      <c r="Q22" s="162">
        <v>2</v>
      </c>
      <c r="R22" s="162">
        <v>1</v>
      </c>
      <c r="S22" s="162"/>
      <c r="T22" s="162"/>
      <c r="U22" s="162">
        <v>3</v>
      </c>
      <c r="V22" s="162"/>
      <c r="W22" s="162"/>
      <c r="X22" s="162">
        <v>1</v>
      </c>
      <c r="Y22" s="162">
        <v>1</v>
      </c>
      <c r="Z22" s="162">
        <v>1</v>
      </c>
      <c r="AA22" s="162"/>
      <c r="AB22" s="162">
        <v>2</v>
      </c>
      <c r="AC22" s="162"/>
      <c r="AD22" s="162">
        <v>2</v>
      </c>
      <c r="AE22" s="162">
        <v>2</v>
      </c>
      <c r="AF22" s="161"/>
      <c r="AG22" s="64">
        <f t="shared" si="2"/>
        <v>34</v>
      </c>
    </row>
    <row r="23" spans="1:33" ht="18.75" x14ac:dyDescent="0.25">
      <c r="A23" s="301" t="s">
        <v>125</v>
      </c>
      <c r="B23" s="249"/>
      <c r="C23" s="162"/>
      <c r="D23" s="162">
        <v>3</v>
      </c>
      <c r="E23" s="162">
        <v>1</v>
      </c>
      <c r="F23" s="162"/>
      <c r="G23" s="162">
        <v>2</v>
      </c>
      <c r="H23" s="162">
        <v>1</v>
      </c>
      <c r="I23" s="162"/>
      <c r="J23" s="162"/>
      <c r="K23" s="162">
        <v>2</v>
      </c>
      <c r="L23" s="162">
        <v>2</v>
      </c>
      <c r="M23" s="162">
        <v>1</v>
      </c>
      <c r="N23" s="162"/>
      <c r="O23" s="162">
        <v>1</v>
      </c>
      <c r="P23" s="162"/>
      <c r="Q23" s="162"/>
      <c r="R23" s="162">
        <v>2</v>
      </c>
      <c r="S23" s="162">
        <v>1</v>
      </c>
      <c r="T23" s="162"/>
      <c r="U23" s="162">
        <v>3</v>
      </c>
      <c r="V23" s="162"/>
      <c r="W23" s="162">
        <v>1</v>
      </c>
      <c r="X23" s="162">
        <v>1</v>
      </c>
      <c r="Y23" s="162"/>
      <c r="Z23" s="162">
        <v>3</v>
      </c>
      <c r="AA23" s="162">
        <v>2</v>
      </c>
      <c r="AB23" s="162"/>
      <c r="AC23" s="162"/>
      <c r="AD23" s="162"/>
      <c r="AE23" s="162">
        <v>3</v>
      </c>
      <c r="AF23" s="161"/>
      <c r="AG23" s="64">
        <f t="shared" si="2"/>
        <v>29</v>
      </c>
    </row>
    <row r="24" spans="1:33" ht="18.75" x14ac:dyDescent="0.25">
      <c r="A24" s="301" t="s">
        <v>124</v>
      </c>
      <c r="B24" s="249"/>
      <c r="C24" s="162">
        <v>1</v>
      </c>
      <c r="D24" s="162"/>
      <c r="E24" s="162">
        <v>3</v>
      </c>
      <c r="F24" s="162"/>
      <c r="G24" s="162">
        <v>1</v>
      </c>
      <c r="H24" s="162"/>
      <c r="I24" s="162">
        <v>2</v>
      </c>
      <c r="J24" s="162"/>
      <c r="K24" s="162">
        <v>1</v>
      </c>
      <c r="L24" s="162"/>
      <c r="M24" s="162">
        <v>2</v>
      </c>
      <c r="N24" s="162">
        <v>1</v>
      </c>
      <c r="O24" s="162">
        <v>1</v>
      </c>
      <c r="P24" s="162">
        <v>1</v>
      </c>
      <c r="Q24" s="162">
        <v>1</v>
      </c>
      <c r="R24" s="162">
        <v>1</v>
      </c>
      <c r="S24" s="162"/>
      <c r="T24" s="162"/>
      <c r="U24" s="162">
        <v>1</v>
      </c>
      <c r="V24" s="162"/>
      <c r="W24" s="162">
        <v>2</v>
      </c>
      <c r="X24" s="162">
        <v>2</v>
      </c>
      <c r="Y24" s="162">
        <v>1</v>
      </c>
      <c r="Z24" s="162">
        <v>1</v>
      </c>
      <c r="AA24" s="162">
        <v>1</v>
      </c>
      <c r="AB24" s="162"/>
      <c r="AC24" s="162">
        <v>1</v>
      </c>
      <c r="AD24" s="162">
        <v>1</v>
      </c>
      <c r="AE24" s="162"/>
      <c r="AF24" s="161"/>
      <c r="AG24" s="64">
        <f t="shared" si="2"/>
        <v>25</v>
      </c>
    </row>
    <row r="25" spans="1:33" ht="18.75" x14ac:dyDescent="0.25">
      <c r="A25" s="301" t="s">
        <v>123</v>
      </c>
      <c r="B25" s="249">
        <v>1</v>
      </c>
      <c r="C25" s="162">
        <v>1</v>
      </c>
      <c r="D25" s="162">
        <v>2</v>
      </c>
      <c r="E25" s="162">
        <v>2</v>
      </c>
      <c r="F25" s="162"/>
      <c r="G25" s="162"/>
      <c r="H25" s="162">
        <v>1</v>
      </c>
      <c r="I25" s="162">
        <v>2</v>
      </c>
      <c r="J25" s="162"/>
      <c r="K25" s="162"/>
      <c r="L25" s="162">
        <v>2</v>
      </c>
      <c r="M25" s="162"/>
      <c r="N25" s="162"/>
      <c r="O25" s="162"/>
      <c r="P25" s="162"/>
      <c r="Q25" s="162"/>
      <c r="R25" s="162">
        <v>1</v>
      </c>
      <c r="S25" s="162"/>
      <c r="T25" s="162">
        <v>2</v>
      </c>
      <c r="U25" s="162">
        <v>2</v>
      </c>
      <c r="V25" s="162"/>
      <c r="W25" s="162">
        <v>1</v>
      </c>
      <c r="X25" s="162"/>
      <c r="Y25" s="162">
        <v>1</v>
      </c>
      <c r="Z25" s="162"/>
      <c r="AA25" s="162">
        <v>1</v>
      </c>
      <c r="AB25" s="162"/>
      <c r="AC25" s="162">
        <v>1</v>
      </c>
      <c r="AD25" s="162">
        <v>2</v>
      </c>
      <c r="AE25" s="162"/>
      <c r="AF25" s="161"/>
      <c r="AG25" s="64">
        <f t="shared" si="2"/>
        <v>22</v>
      </c>
    </row>
    <row r="26" spans="1:33" ht="18.75" x14ac:dyDescent="0.25">
      <c r="A26" s="301" t="s">
        <v>122</v>
      </c>
      <c r="B26" s="249">
        <v>1</v>
      </c>
      <c r="C26" s="162">
        <v>1</v>
      </c>
      <c r="D26" s="162">
        <v>3</v>
      </c>
      <c r="E26" s="162">
        <v>1</v>
      </c>
      <c r="F26" s="162"/>
      <c r="G26" s="162"/>
      <c r="H26" s="162"/>
      <c r="I26" s="162"/>
      <c r="J26" s="162"/>
      <c r="K26" s="162"/>
      <c r="L26" s="162">
        <v>2</v>
      </c>
      <c r="M26" s="162">
        <v>5</v>
      </c>
      <c r="N26" s="162">
        <v>1</v>
      </c>
      <c r="O26" s="162">
        <v>1</v>
      </c>
      <c r="P26" s="162"/>
      <c r="Q26" s="162"/>
      <c r="R26" s="162">
        <v>1</v>
      </c>
      <c r="S26" s="162">
        <v>1</v>
      </c>
      <c r="T26" s="162"/>
      <c r="U26" s="162">
        <v>2</v>
      </c>
      <c r="V26" s="162"/>
      <c r="W26" s="162"/>
      <c r="X26" s="162">
        <v>2</v>
      </c>
      <c r="Y26" s="162"/>
      <c r="Z26" s="162"/>
      <c r="AA26" s="162"/>
      <c r="AB26" s="162"/>
      <c r="AC26" s="162"/>
      <c r="AD26" s="162"/>
      <c r="AE26" s="162">
        <v>3</v>
      </c>
      <c r="AF26" s="161"/>
      <c r="AG26" s="64">
        <f t="shared" si="2"/>
        <v>24</v>
      </c>
    </row>
    <row r="27" spans="1:33" ht="19.5" thickBot="1" x14ac:dyDescent="0.3">
      <c r="A27" s="302" t="s">
        <v>121</v>
      </c>
      <c r="B27" s="250">
        <v>2</v>
      </c>
      <c r="C27" s="212"/>
      <c r="D27" s="212">
        <v>1</v>
      </c>
      <c r="E27" s="212">
        <v>2</v>
      </c>
      <c r="F27" s="212">
        <v>2</v>
      </c>
      <c r="G27" s="212">
        <v>1</v>
      </c>
      <c r="H27" s="212">
        <v>1</v>
      </c>
      <c r="I27" s="212"/>
      <c r="J27" s="212"/>
      <c r="K27" s="212">
        <v>1</v>
      </c>
      <c r="L27" s="212">
        <v>3</v>
      </c>
      <c r="M27" s="212"/>
      <c r="N27" s="212">
        <v>1</v>
      </c>
      <c r="O27" s="212"/>
      <c r="P27" s="212"/>
      <c r="Q27" s="212"/>
      <c r="R27" s="212"/>
      <c r="S27" s="212"/>
      <c r="T27" s="212">
        <v>1</v>
      </c>
      <c r="U27" s="212">
        <v>1</v>
      </c>
      <c r="V27" s="212"/>
      <c r="W27" s="212"/>
      <c r="X27" s="212">
        <v>1</v>
      </c>
      <c r="Y27" s="212">
        <v>1</v>
      </c>
      <c r="Z27" s="212"/>
      <c r="AA27" s="212">
        <v>2</v>
      </c>
      <c r="AB27" s="212">
        <v>1</v>
      </c>
      <c r="AC27" s="212"/>
      <c r="AD27" s="212">
        <v>2</v>
      </c>
      <c r="AE27" s="212">
        <v>1</v>
      </c>
      <c r="AF27" s="211"/>
      <c r="AG27" s="64">
        <f t="shared" si="2"/>
        <v>24</v>
      </c>
    </row>
    <row r="28" spans="1:33" ht="18.75" x14ac:dyDescent="0.25">
      <c r="A28" s="303" t="s">
        <v>146</v>
      </c>
      <c r="B28" s="251">
        <f t="shared" ref="B28:AF28" si="3">SUM(B29:B52)</f>
        <v>145</v>
      </c>
      <c r="C28" s="209">
        <f t="shared" si="3"/>
        <v>137</v>
      </c>
      <c r="D28" s="209">
        <f t="shared" si="3"/>
        <v>169</v>
      </c>
      <c r="E28" s="209">
        <f t="shared" si="3"/>
        <v>164</v>
      </c>
      <c r="F28" s="209">
        <f t="shared" si="3"/>
        <v>144</v>
      </c>
      <c r="G28" s="209">
        <f t="shared" si="3"/>
        <v>149</v>
      </c>
      <c r="H28" s="209">
        <f t="shared" si="3"/>
        <v>164</v>
      </c>
      <c r="I28" s="209">
        <f t="shared" si="3"/>
        <v>139</v>
      </c>
      <c r="J28" s="209">
        <f t="shared" si="3"/>
        <v>139</v>
      </c>
      <c r="K28" s="209">
        <f t="shared" si="3"/>
        <v>146</v>
      </c>
      <c r="L28" s="209">
        <f t="shared" si="3"/>
        <v>134</v>
      </c>
      <c r="M28" s="209">
        <f t="shared" si="3"/>
        <v>172</v>
      </c>
      <c r="N28" s="209">
        <f t="shared" si="3"/>
        <v>154</v>
      </c>
      <c r="O28" s="209">
        <f t="shared" si="3"/>
        <v>162</v>
      </c>
      <c r="P28" s="209">
        <f t="shared" si="3"/>
        <v>115</v>
      </c>
      <c r="Q28" s="209">
        <f t="shared" si="3"/>
        <v>146</v>
      </c>
      <c r="R28" s="209">
        <f t="shared" si="3"/>
        <v>132</v>
      </c>
      <c r="S28" s="209">
        <f t="shared" si="3"/>
        <v>124</v>
      </c>
      <c r="T28" s="209">
        <f t="shared" si="3"/>
        <v>151</v>
      </c>
      <c r="U28" s="209">
        <f t="shared" si="3"/>
        <v>130</v>
      </c>
      <c r="V28" s="209">
        <f t="shared" si="3"/>
        <v>155</v>
      </c>
      <c r="W28" s="209">
        <f t="shared" si="3"/>
        <v>172</v>
      </c>
      <c r="X28" s="209">
        <f t="shared" si="3"/>
        <v>150</v>
      </c>
      <c r="Y28" s="209">
        <f t="shared" si="3"/>
        <v>128</v>
      </c>
      <c r="Z28" s="209">
        <f t="shared" si="3"/>
        <v>137</v>
      </c>
      <c r="AA28" s="209">
        <f t="shared" si="3"/>
        <v>146</v>
      </c>
      <c r="AB28" s="209">
        <f t="shared" si="3"/>
        <v>123</v>
      </c>
      <c r="AC28" s="209">
        <f t="shared" si="3"/>
        <v>144</v>
      </c>
      <c r="AD28" s="209">
        <f t="shared" si="3"/>
        <v>154</v>
      </c>
      <c r="AE28" s="209">
        <f t="shared" si="3"/>
        <v>123</v>
      </c>
      <c r="AF28" s="209">
        <f t="shared" si="3"/>
        <v>0</v>
      </c>
      <c r="AG28" s="164">
        <f t="shared" si="2"/>
        <v>4348</v>
      </c>
    </row>
    <row r="29" spans="1:33" ht="18.75" x14ac:dyDescent="0.25">
      <c r="A29" s="301" t="s">
        <v>144</v>
      </c>
      <c r="B29" s="249">
        <v>2</v>
      </c>
      <c r="C29" s="162"/>
      <c r="D29" s="162">
        <v>3</v>
      </c>
      <c r="E29" s="162">
        <v>3</v>
      </c>
      <c r="F29" s="162">
        <v>4</v>
      </c>
      <c r="G29" s="162">
        <v>2</v>
      </c>
      <c r="H29" s="162">
        <v>1</v>
      </c>
      <c r="I29" s="162">
        <v>3</v>
      </c>
      <c r="J29" s="162">
        <v>1</v>
      </c>
      <c r="K29" s="162"/>
      <c r="L29" s="162">
        <v>3</v>
      </c>
      <c r="M29" s="162">
        <v>3</v>
      </c>
      <c r="N29" s="162">
        <v>3</v>
      </c>
      <c r="O29" s="162">
        <v>1</v>
      </c>
      <c r="P29" s="162">
        <v>4</v>
      </c>
      <c r="Q29" s="162"/>
      <c r="R29" s="162">
        <v>1</v>
      </c>
      <c r="S29" s="162"/>
      <c r="T29" s="162">
        <v>1</v>
      </c>
      <c r="U29" s="162">
        <v>1</v>
      </c>
      <c r="V29" s="162">
        <v>2</v>
      </c>
      <c r="W29" s="162">
        <v>4</v>
      </c>
      <c r="X29" s="162">
        <v>1</v>
      </c>
      <c r="Y29" s="162">
        <v>2</v>
      </c>
      <c r="Z29" s="162">
        <v>2</v>
      </c>
      <c r="AA29" s="162">
        <v>3</v>
      </c>
      <c r="AB29" s="162">
        <v>3</v>
      </c>
      <c r="AC29" s="162">
        <v>2</v>
      </c>
      <c r="AD29" s="162">
        <v>1</v>
      </c>
      <c r="AE29" s="162"/>
      <c r="AF29" s="161"/>
      <c r="AG29" s="64">
        <f t="shared" si="2"/>
        <v>56</v>
      </c>
    </row>
    <row r="30" spans="1:33" ht="18.75" x14ac:dyDescent="0.25">
      <c r="A30" s="301" t="s">
        <v>143</v>
      </c>
      <c r="B30" s="249">
        <v>4</v>
      </c>
      <c r="C30" s="162">
        <v>3</v>
      </c>
      <c r="D30" s="162">
        <v>9</v>
      </c>
      <c r="E30" s="162">
        <v>4</v>
      </c>
      <c r="F30" s="162">
        <v>6</v>
      </c>
      <c r="G30" s="162">
        <v>11</v>
      </c>
      <c r="H30" s="162">
        <v>7</v>
      </c>
      <c r="I30" s="162">
        <v>4</v>
      </c>
      <c r="J30" s="162">
        <v>7</v>
      </c>
      <c r="K30" s="162">
        <v>6</v>
      </c>
      <c r="L30" s="162">
        <v>4</v>
      </c>
      <c r="M30" s="162">
        <v>4</v>
      </c>
      <c r="N30" s="162">
        <v>3</v>
      </c>
      <c r="O30" s="162">
        <v>7</v>
      </c>
      <c r="P30" s="162">
        <v>1</v>
      </c>
      <c r="Q30" s="162">
        <v>8</v>
      </c>
      <c r="R30" s="162">
        <v>5</v>
      </c>
      <c r="S30" s="162">
        <v>6</v>
      </c>
      <c r="T30" s="162">
        <v>6</v>
      </c>
      <c r="U30" s="162">
        <v>6</v>
      </c>
      <c r="V30" s="162">
        <v>5</v>
      </c>
      <c r="W30" s="162">
        <v>8</v>
      </c>
      <c r="X30" s="162">
        <v>8</v>
      </c>
      <c r="Y30" s="162">
        <v>5</v>
      </c>
      <c r="Z30" s="162">
        <v>6</v>
      </c>
      <c r="AA30" s="162">
        <v>3</v>
      </c>
      <c r="AB30" s="162">
        <v>5</v>
      </c>
      <c r="AC30" s="162">
        <v>4</v>
      </c>
      <c r="AD30" s="162">
        <v>8</v>
      </c>
      <c r="AE30" s="162">
        <v>4</v>
      </c>
      <c r="AF30" s="161"/>
      <c r="AG30" s="64">
        <f t="shared" si="2"/>
        <v>167</v>
      </c>
    </row>
    <row r="31" spans="1:33" ht="18.75" x14ac:dyDescent="0.25">
      <c r="A31" s="301" t="s">
        <v>142</v>
      </c>
      <c r="B31" s="249">
        <v>4</v>
      </c>
      <c r="C31" s="162">
        <v>1</v>
      </c>
      <c r="D31" s="162">
        <v>14</v>
      </c>
      <c r="E31" s="162">
        <v>4</v>
      </c>
      <c r="F31" s="162">
        <v>8</v>
      </c>
      <c r="G31" s="162">
        <v>8</v>
      </c>
      <c r="H31" s="162">
        <v>5</v>
      </c>
      <c r="I31" s="162">
        <v>7</v>
      </c>
      <c r="J31" s="162">
        <v>10</v>
      </c>
      <c r="K31" s="162">
        <v>7</v>
      </c>
      <c r="L31" s="162">
        <v>3</v>
      </c>
      <c r="M31" s="162">
        <v>10</v>
      </c>
      <c r="N31" s="162">
        <v>12</v>
      </c>
      <c r="O31" s="162">
        <v>5</v>
      </c>
      <c r="P31" s="162">
        <v>3</v>
      </c>
      <c r="Q31" s="162">
        <v>4</v>
      </c>
      <c r="R31" s="162">
        <v>3</v>
      </c>
      <c r="S31" s="162">
        <v>2</v>
      </c>
      <c r="T31" s="162">
        <v>10</v>
      </c>
      <c r="U31" s="162">
        <v>5</v>
      </c>
      <c r="V31" s="162">
        <v>11</v>
      </c>
      <c r="W31" s="162">
        <v>6</v>
      </c>
      <c r="X31" s="162">
        <v>3</v>
      </c>
      <c r="Y31" s="162">
        <v>8</v>
      </c>
      <c r="Z31" s="162">
        <v>3</v>
      </c>
      <c r="AA31" s="162">
        <v>6</v>
      </c>
      <c r="AB31" s="162">
        <v>6</v>
      </c>
      <c r="AC31" s="162">
        <v>7</v>
      </c>
      <c r="AD31" s="162">
        <v>7</v>
      </c>
      <c r="AE31" s="162">
        <v>11</v>
      </c>
      <c r="AF31" s="161"/>
      <c r="AG31" s="64">
        <f t="shared" si="2"/>
        <v>193</v>
      </c>
    </row>
    <row r="32" spans="1:33" ht="18.75" x14ac:dyDescent="0.25">
      <c r="A32" s="301" t="s">
        <v>141</v>
      </c>
      <c r="B32" s="249">
        <v>6</v>
      </c>
      <c r="C32" s="162">
        <v>5</v>
      </c>
      <c r="D32" s="162">
        <v>3</v>
      </c>
      <c r="E32" s="162">
        <v>9</v>
      </c>
      <c r="F32" s="162">
        <v>10</v>
      </c>
      <c r="G32" s="162">
        <v>10</v>
      </c>
      <c r="H32" s="162">
        <v>7</v>
      </c>
      <c r="I32" s="162">
        <v>7</v>
      </c>
      <c r="J32" s="162">
        <v>5</v>
      </c>
      <c r="K32" s="162">
        <v>2</v>
      </c>
      <c r="L32" s="162"/>
      <c r="M32" s="162">
        <v>10</v>
      </c>
      <c r="N32" s="162">
        <v>8</v>
      </c>
      <c r="O32" s="162">
        <v>4</v>
      </c>
      <c r="P32" s="162">
        <v>6</v>
      </c>
      <c r="Q32" s="162">
        <v>6</v>
      </c>
      <c r="R32" s="162">
        <v>5</v>
      </c>
      <c r="S32" s="162">
        <v>8</v>
      </c>
      <c r="T32" s="162">
        <v>9</v>
      </c>
      <c r="U32" s="162">
        <v>8</v>
      </c>
      <c r="V32" s="162">
        <v>7</v>
      </c>
      <c r="W32" s="162">
        <v>8</v>
      </c>
      <c r="X32" s="162">
        <v>8</v>
      </c>
      <c r="Y32" s="162">
        <v>2</v>
      </c>
      <c r="Z32" s="162">
        <v>8</v>
      </c>
      <c r="AA32" s="162">
        <v>11</v>
      </c>
      <c r="AB32" s="162">
        <v>8</v>
      </c>
      <c r="AC32" s="162">
        <v>5</v>
      </c>
      <c r="AD32" s="162">
        <v>4</v>
      </c>
      <c r="AE32" s="162">
        <v>7</v>
      </c>
      <c r="AF32" s="161"/>
      <c r="AG32" s="64">
        <f t="shared" si="2"/>
        <v>196</v>
      </c>
    </row>
    <row r="33" spans="1:33" ht="18.75" x14ac:dyDescent="0.25">
      <c r="A33" s="301" t="s">
        <v>140</v>
      </c>
      <c r="B33" s="249">
        <v>8</v>
      </c>
      <c r="C33" s="162">
        <v>6</v>
      </c>
      <c r="D33" s="162">
        <v>8</v>
      </c>
      <c r="E33" s="162">
        <v>4</v>
      </c>
      <c r="F33" s="162">
        <v>7</v>
      </c>
      <c r="G33" s="162">
        <v>10</v>
      </c>
      <c r="H33" s="162">
        <v>7</v>
      </c>
      <c r="I33" s="162">
        <v>7</v>
      </c>
      <c r="J33" s="162">
        <v>7</v>
      </c>
      <c r="K33" s="162">
        <v>7</v>
      </c>
      <c r="L33" s="162">
        <v>5</v>
      </c>
      <c r="M33" s="162">
        <v>13</v>
      </c>
      <c r="N33" s="162">
        <v>15</v>
      </c>
      <c r="O33" s="162">
        <v>7</v>
      </c>
      <c r="P33" s="162">
        <v>6</v>
      </c>
      <c r="Q33" s="162">
        <v>6</v>
      </c>
      <c r="R33" s="162"/>
      <c r="S33" s="162">
        <v>5</v>
      </c>
      <c r="T33" s="162">
        <v>10</v>
      </c>
      <c r="U33" s="162">
        <v>9</v>
      </c>
      <c r="V33" s="162">
        <v>6</v>
      </c>
      <c r="W33" s="162">
        <v>6</v>
      </c>
      <c r="X33" s="162">
        <v>15</v>
      </c>
      <c r="Y33" s="162">
        <v>7</v>
      </c>
      <c r="Z33" s="162">
        <v>5</v>
      </c>
      <c r="AA33" s="162">
        <v>4</v>
      </c>
      <c r="AB33" s="162">
        <v>9</v>
      </c>
      <c r="AC33" s="162">
        <v>5</v>
      </c>
      <c r="AD33" s="162">
        <v>7</v>
      </c>
      <c r="AE33" s="162">
        <v>3</v>
      </c>
      <c r="AF33" s="161"/>
      <c r="AG33" s="64">
        <f t="shared" si="2"/>
        <v>214</v>
      </c>
    </row>
    <row r="34" spans="1:33" ht="18.75" x14ac:dyDescent="0.25">
      <c r="A34" s="301" t="s">
        <v>139</v>
      </c>
      <c r="B34" s="249">
        <v>5</v>
      </c>
      <c r="C34" s="162">
        <v>2</v>
      </c>
      <c r="D34" s="162">
        <v>4</v>
      </c>
      <c r="E34" s="162">
        <v>3</v>
      </c>
      <c r="F34" s="162">
        <v>15</v>
      </c>
      <c r="G34" s="162">
        <v>10</v>
      </c>
      <c r="H34" s="162"/>
      <c r="I34" s="162">
        <v>2</v>
      </c>
      <c r="J34" s="162">
        <v>4</v>
      </c>
      <c r="K34" s="162">
        <v>1</v>
      </c>
      <c r="L34" s="162">
        <v>2</v>
      </c>
      <c r="M34" s="162">
        <v>15</v>
      </c>
      <c r="N34" s="162">
        <v>9</v>
      </c>
      <c r="O34" s="162">
        <v>10</v>
      </c>
      <c r="P34" s="162"/>
      <c r="Q34" s="162">
        <v>5</v>
      </c>
      <c r="R34" s="162">
        <v>5</v>
      </c>
      <c r="S34" s="162">
        <v>2</v>
      </c>
      <c r="T34" s="162">
        <v>13</v>
      </c>
      <c r="U34" s="162">
        <v>10</v>
      </c>
      <c r="V34" s="162">
        <v>11</v>
      </c>
      <c r="W34" s="162">
        <v>4</v>
      </c>
      <c r="X34" s="162">
        <v>3</v>
      </c>
      <c r="Y34" s="162">
        <v>10</v>
      </c>
      <c r="Z34" s="162">
        <v>6</v>
      </c>
      <c r="AA34" s="162">
        <v>9</v>
      </c>
      <c r="AB34" s="162">
        <v>9</v>
      </c>
      <c r="AC34" s="162">
        <v>9</v>
      </c>
      <c r="AD34" s="162">
        <v>1</v>
      </c>
      <c r="AE34" s="162">
        <v>6</v>
      </c>
      <c r="AF34" s="161"/>
      <c r="AG34" s="64">
        <f t="shared" si="2"/>
        <v>185</v>
      </c>
    </row>
    <row r="35" spans="1:33" ht="18.75" x14ac:dyDescent="0.25">
      <c r="A35" s="301" t="s">
        <v>138</v>
      </c>
      <c r="B35" s="249">
        <v>2</v>
      </c>
      <c r="C35" s="162">
        <v>10</v>
      </c>
      <c r="D35" s="162">
        <v>3</v>
      </c>
      <c r="E35" s="162">
        <v>5</v>
      </c>
      <c r="F35" s="162">
        <v>9</v>
      </c>
      <c r="G35" s="162">
        <v>5</v>
      </c>
      <c r="H35" s="162">
        <v>7</v>
      </c>
      <c r="I35" s="162">
        <v>7</v>
      </c>
      <c r="J35" s="162"/>
      <c r="K35" s="162">
        <v>9</v>
      </c>
      <c r="L35" s="162">
        <v>3</v>
      </c>
      <c r="M35" s="162">
        <v>5</v>
      </c>
      <c r="N35" s="162">
        <v>8</v>
      </c>
      <c r="O35" s="162">
        <v>2</v>
      </c>
      <c r="P35" s="162">
        <v>3</v>
      </c>
      <c r="Q35" s="162">
        <v>6</v>
      </c>
      <c r="R35" s="162">
        <v>9</v>
      </c>
      <c r="S35" s="162">
        <v>3</v>
      </c>
      <c r="T35" s="162">
        <v>8</v>
      </c>
      <c r="U35" s="162">
        <v>3</v>
      </c>
      <c r="V35" s="162">
        <v>10</v>
      </c>
      <c r="W35" s="162">
        <v>8</v>
      </c>
      <c r="X35" s="162">
        <v>5</v>
      </c>
      <c r="Y35" s="162">
        <v>3</v>
      </c>
      <c r="Z35" s="162">
        <v>3</v>
      </c>
      <c r="AA35" s="162">
        <v>14</v>
      </c>
      <c r="AB35" s="162">
        <v>7</v>
      </c>
      <c r="AC35" s="162">
        <v>7</v>
      </c>
      <c r="AD35" s="162">
        <v>3</v>
      </c>
      <c r="AE35" s="162">
        <v>2</v>
      </c>
      <c r="AF35" s="161"/>
      <c r="AG35" s="64">
        <f t="shared" si="2"/>
        <v>169</v>
      </c>
    </row>
    <row r="36" spans="1:33" ht="18.75" x14ac:dyDescent="0.25">
      <c r="A36" s="301" t="s">
        <v>137</v>
      </c>
      <c r="B36" s="249">
        <v>8</v>
      </c>
      <c r="C36" s="162">
        <v>9</v>
      </c>
      <c r="D36" s="162">
        <v>4</v>
      </c>
      <c r="E36" s="162">
        <v>6</v>
      </c>
      <c r="F36" s="162">
        <v>5</v>
      </c>
      <c r="G36" s="162">
        <v>10</v>
      </c>
      <c r="H36" s="162">
        <v>5</v>
      </c>
      <c r="I36" s="162">
        <v>6</v>
      </c>
      <c r="J36" s="162">
        <v>2</v>
      </c>
      <c r="K36" s="162">
        <v>9</v>
      </c>
      <c r="L36" s="162">
        <v>9</v>
      </c>
      <c r="M36" s="162">
        <v>19</v>
      </c>
      <c r="N36" s="162">
        <v>16</v>
      </c>
      <c r="O36" s="162">
        <v>10</v>
      </c>
      <c r="P36" s="162">
        <v>4</v>
      </c>
      <c r="Q36" s="162">
        <v>10</v>
      </c>
      <c r="R36" s="162">
        <v>4</v>
      </c>
      <c r="S36" s="162">
        <v>4</v>
      </c>
      <c r="T36" s="162">
        <v>10</v>
      </c>
      <c r="U36" s="162">
        <v>13</v>
      </c>
      <c r="V36" s="162">
        <v>15</v>
      </c>
      <c r="W36" s="162">
        <v>11</v>
      </c>
      <c r="X36" s="162">
        <v>7</v>
      </c>
      <c r="Y36" s="162">
        <v>2</v>
      </c>
      <c r="Z36" s="162">
        <v>3</v>
      </c>
      <c r="AA36" s="162">
        <v>2</v>
      </c>
      <c r="AB36" s="162">
        <v>8</v>
      </c>
      <c r="AC36" s="162">
        <v>16</v>
      </c>
      <c r="AD36" s="162">
        <v>13</v>
      </c>
      <c r="AE36" s="162">
        <v>2</v>
      </c>
      <c r="AF36" s="161"/>
      <c r="AG36" s="64">
        <f t="shared" si="2"/>
        <v>242</v>
      </c>
    </row>
    <row r="37" spans="1:33" ht="18.75" x14ac:dyDescent="0.25">
      <c r="A37" s="301" t="s">
        <v>136</v>
      </c>
      <c r="B37" s="249">
        <v>8</v>
      </c>
      <c r="C37" s="162">
        <v>5</v>
      </c>
      <c r="D37" s="162">
        <v>8</v>
      </c>
      <c r="E37" s="162">
        <v>1</v>
      </c>
      <c r="F37" s="162">
        <v>12</v>
      </c>
      <c r="G37" s="162">
        <v>7</v>
      </c>
      <c r="H37" s="162">
        <v>7</v>
      </c>
      <c r="I37" s="162">
        <v>4</v>
      </c>
      <c r="J37" s="162">
        <v>3</v>
      </c>
      <c r="K37" s="162">
        <v>5</v>
      </c>
      <c r="L37" s="162">
        <v>7</v>
      </c>
      <c r="M37" s="162">
        <v>17</v>
      </c>
      <c r="N37" s="162">
        <v>11</v>
      </c>
      <c r="O37" s="162">
        <v>7</v>
      </c>
      <c r="P37" s="162">
        <v>3</v>
      </c>
      <c r="Q37" s="162">
        <v>10</v>
      </c>
      <c r="R37" s="162">
        <v>6</v>
      </c>
      <c r="S37" s="162">
        <v>4</v>
      </c>
      <c r="T37" s="162">
        <v>13</v>
      </c>
      <c r="U37" s="162">
        <v>10</v>
      </c>
      <c r="V37" s="162">
        <v>20</v>
      </c>
      <c r="W37" s="162">
        <v>5</v>
      </c>
      <c r="X37" s="162">
        <v>4</v>
      </c>
      <c r="Y37" s="162">
        <v>6</v>
      </c>
      <c r="Z37" s="162">
        <v>4</v>
      </c>
      <c r="AA37" s="162">
        <v>26</v>
      </c>
      <c r="AB37" s="162">
        <v>11</v>
      </c>
      <c r="AC37" s="162">
        <v>13</v>
      </c>
      <c r="AD37" s="162">
        <v>3</v>
      </c>
      <c r="AE37" s="162">
        <v>6</v>
      </c>
      <c r="AF37" s="161"/>
      <c r="AG37" s="64">
        <f t="shared" si="2"/>
        <v>246</v>
      </c>
    </row>
    <row r="38" spans="1:33" ht="18.75" x14ac:dyDescent="0.25">
      <c r="A38" s="301" t="s">
        <v>135</v>
      </c>
      <c r="B38" s="249">
        <v>6</v>
      </c>
      <c r="C38" s="162">
        <v>9</v>
      </c>
      <c r="D38" s="162">
        <v>7</v>
      </c>
      <c r="E38" s="162">
        <v>10</v>
      </c>
      <c r="F38" s="162">
        <v>13</v>
      </c>
      <c r="G38" s="162">
        <v>15</v>
      </c>
      <c r="H38" s="162">
        <v>8</v>
      </c>
      <c r="I38" s="162">
        <v>12</v>
      </c>
      <c r="J38" s="162">
        <v>7</v>
      </c>
      <c r="K38" s="162">
        <v>7</v>
      </c>
      <c r="L38" s="162">
        <v>9</v>
      </c>
      <c r="M38" s="162">
        <v>8</v>
      </c>
      <c r="N38" s="162">
        <v>14</v>
      </c>
      <c r="O38" s="162">
        <v>6</v>
      </c>
      <c r="P38" s="162">
        <v>10</v>
      </c>
      <c r="Q38" s="162">
        <v>3</v>
      </c>
      <c r="R38" s="162">
        <v>11</v>
      </c>
      <c r="S38" s="162">
        <v>10</v>
      </c>
      <c r="T38" s="162">
        <v>8</v>
      </c>
      <c r="U38" s="162">
        <v>10</v>
      </c>
      <c r="V38" s="162">
        <v>10</v>
      </c>
      <c r="W38" s="162">
        <v>7</v>
      </c>
      <c r="X38" s="162">
        <v>5</v>
      </c>
      <c r="Y38" s="162">
        <v>9</v>
      </c>
      <c r="Z38" s="162">
        <v>4</v>
      </c>
      <c r="AA38" s="162">
        <v>6</v>
      </c>
      <c r="AB38" s="162">
        <v>13</v>
      </c>
      <c r="AC38" s="162">
        <v>14</v>
      </c>
      <c r="AD38" s="162">
        <v>10</v>
      </c>
      <c r="AE38" s="162">
        <v>6</v>
      </c>
      <c r="AF38" s="161"/>
      <c r="AG38" s="64">
        <f t="shared" si="2"/>
        <v>267</v>
      </c>
    </row>
    <row r="39" spans="1:33" ht="18.75" x14ac:dyDescent="0.25">
      <c r="A39" s="301" t="s">
        <v>134</v>
      </c>
      <c r="B39" s="249">
        <v>15</v>
      </c>
      <c r="C39" s="162">
        <v>19</v>
      </c>
      <c r="D39" s="162">
        <v>25</v>
      </c>
      <c r="E39" s="162">
        <v>25</v>
      </c>
      <c r="F39" s="162">
        <v>10</v>
      </c>
      <c r="G39" s="162">
        <v>20</v>
      </c>
      <c r="H39" s="162">
        <v>22</v>
      </c>
      <c r="I39" s="162">
        <v>23</v>
      </c>
      <c r="J39" s="162">
        <v>14</v>
      </c>
      <c r="K39" s="162">
        <v>19</v>
      </c>
      <c r="L39" s="162">
        <v>13</v>
      </c>
      <c r="M39" s="162">
        <v>15</v>
      </c>
      <c r="N39" s="162">
        <v>8</v>
      </c>
      <c r="O39" s="162">
        <v>17</v>
      </c>
      <c r="P39" s="162">
        <v>21</v>
      </c>
      <c r="Q39" s="162">
        <v>16</v>
      </c>
      <c r="R39" s="162">
        <v>15</v>
      </c>
      <c r="S39" s="162">
        <v>19</v>
      </c>
      <c r="T39" s="162">
        <v>19</v>
      </c>
      <c r="U39" s="162">
        <v>11</v>
      </c>
      <c r="V39" s="162">
        <v>11</v>
      </c>
      <c r="W39" s="162">
        <v>20</v>
      </c>
      <c r="X39" s="162">
        <v>19</v>
      </c>
      <c r="Y39" s="162">
        <v>14</v>
      </c>
      <c r="Z39" s="162">
        <v>25</v>
      </c>
      <c r="AA39" s="162">
        <v>16</v>
      </c>
      <c r="AB39" s="162">
        <v>13</v>
      </c>
      <c r="AC39" s="162">
        <v>20</v>
      </c>
      <c r="AD39" s="162">
        <v>15</v>
      </c>
      <c r="AE39" s="162">
        <v>14</v>
      </c>
      <c r="AF39" s="161"/>
      <c r="AG39" s="64">
        <f t="shared" si="2"/>
        <v>513</v>
      </c>
    </row>
    <row r="40" spans="1:33" ht="18.75" x14ac:dyDescent="0.25">
      <c r="A40" s="301" t="s">
        <v>133</v>
      </c>
      <c r="B40" s="249">
        <v>24</v>
      </c>
      <c r="C40" s="162">
        <v>19</v>
      </c>
      <c r="D40" s="162">
        <v>17</v>
      </c>
      <c r="E40" s="162">
        <v>18</v>
      </c>
      <c r="F40" s="162">
        <v>5</v>
      </c>
      <c r="G40" s="162">
        <v>11</v>
      </c>
      <c r="H40" s="162">
        <v>23</v>
      </c>
      <c r="I40" s="162">
        <v>22</v>
      </c>
      <c r="J40" s="162">
        <v>22</v>
      </c>
      <c r="K40" s="162">
        <v>18</v>
      </c>
      <c r="L40" s="162">
        <v>17</v>
      </c>
      <c r="M40" s="162">
        <v>11</v>
      </c>
      <c r="N40" s="162">
        <v>9</v>
      </c>
      <c r="O40" s="162">
        <v>25</v>
      </c>
      <c r="P40" s="162">
        <v>9</v>
      </c>
      <c r="Q40" s="162">
        <v>24</v>
      </c>
      <c r="R40" s="162">
        <v>19</v>
      </c>
      <c r="S40" s="162">
        <v>21</v>
      </c>
      <c r="T40" s="162">
        <v>5</v>
      </c>
      <c r="U40" s="162">
        <v>4</v>
      </c>
      <c r="V40" s="162">
        <v>15</v>
      </c>
      <c r="W40" s="162">
        <v>25</v>
      </c>
      <c r="X40" s="162">
        <v>25</v>
      </c>
      <c r="Y40" s="162">
        <v>23</v>
      </c>
      <c r="Z40" s="162">
        <v>24</v>
      </c>
      <c r="AA40" s="162">
        <v>16</v>
      </c>
      <c r="AB40" s="162">
        <v>5</v>
      </c>
      <c r="AC40" s="162">
        <v>10</v>
      </c>
      <c r="AD40" s="162">
        <v>26</v>
      </c>
      <c r="AE40" s="162">
        <v>21</v>
      </c>
      <c r="AF40" s="161"/>
      <c r="AG40" s="64">
        <f t="shared" si="2"/>
        <v>513</v>
      </c>
    </row>
    <row r="41" spans="1:33" ht="18.75" x14ac:dyDescent="0.25">
      <c r="A41" s="301" t="s">
        <v>132</v>
      </c>
      <c r="B41" s="249">
        <v>17</v>
      </c>
      <c r="C41" s="162">
        <v>15</v>
      </c>
      <c r="D41" s="162">
        <v>21</v>
      </c>
      <c r="E41" s="162">
        <v>18</v>
      </c>
      <c r="F41" s="162">
        <v>11</v>
      </c>
      <c r="G41" s="162">
        <v>6</v>
      </c>
      <c r="H41" s="162">
        <v>16</v>
      </c>
      <c r="I41" s="162">
        <v>15</v>
      </c>
      <c r="J41" s="162">
        <v>18</v>
      </c>
      <c r="K41" s="162">
        <v>23</v>
      </c>
      <c r="L41" s="162">
        <v>14</v>
      </c>
      <c r="M41" s="162">
        <v>9</v>
      </c>
      <c r="N41" s="162">
        <v>8</v>
      </c>
      <c r="O41" s="162">
        <v>22</v>
      </c>
      <c r="P41" s="162">
        <v>9</v>
      </c>
      <c r="Q41" s="162">
        <v>19</v>
      </c>
      <c r="R41" s="162">
        <v>17</v>
      </c>
      <c r="S41" s="162">
        <v>16</v>
      </c>
      <c r="T41" s="162">
        <v>5</v>
      </c>
      <c r="U41" s="162">
        <v>9</v>
      </c>
      <c r="V41" s="162">
        <v>8</v>
      </c>
      <c r="W41" s="162">
        <v>21</v>
      </c>
      <c r="X41" s="162">
        <v>14</v>
      </c>
      <c r="Y41" s="162">
        <v>8</v>
      </c>
      <c r="Z41" s="162">
        <v>16</v>
      </c>
      <c r="AA41" s="162">
        <v>10</v>
      </c>
      <c r="AB41" s="162">
        <v>7</v>
      </c>
      <c r="AC41" s="162">
        <v>6</v>
      </c>
      <c r="AD41" s="162">
        <v>15</v>
      </c>
      <c r="AE41" s="162">
        <v>16</v>
      </c>
      <c r="AF41" s="161"/>
      <c r="AG41" s="64">
        <f t="shared" si="2"/>
        <v>409</v>
      </c>
    </row>
    <row r="42" spans="1:33" ht="18.75" x14ac:dyDescent="0.25">
      <c r="A42" s="301" t="s">
        <v>131</v>
      </c>
      <c r="B42" s="249">
        <v>12</v>
      </c>
      <c r="C42" s="162">
        <v>8</v>
      </c>
      <c r="D42" s="162">
        <v>15</v>
      </c>
      <c r="E42" s="162">
        <v>14</v>
      </c>
      <c r="F42" s="162">
        <v>4</v>
      </c>
      <c r="G42" s="162">
        <v>8</v>
      </c>
      <c r="H42" s="162">
        <v>18</v>
      </c>
      <c r="I42" s="162">
        <v>4</v>
      </c>
      <c r="J42" s="162">
        <v>14</v>
      </c>
      <c r="K42" s="162">
        <v>15</v>
      </c>
      <c r="L42" s="162">
        <v>15</v>
      </c>
      <c r="M42" s="162">
        <v>9</v>
      </c>
      <c r="N42" s="162">
        <v>13</v>
      </c>
      <c r="O42" s="162">
        <v>15</v>
      </c>
      <c r="P42" s="162">
        <v>7</v>
      </c>
      <c r="Q42" s="162">
        <v>9</v>
      </c>
      <c r="R42" s="162">
        <v>12</v>
      </c>
      <c r="S42" s="162">
        <v>11</v>
      </c>
      <c r="T42" s="162">
        <v>11</v>
      </c>
      <c r="U42" s="162">
        <v>6</v>
      </c>
      <c r="V42" s="162">
        <v>6</v>
      </c>
      <c r="W42" s="162">
        <v>17</v>
      </c>
      <c r="X42" s="162">
        <v>13</v>
      </c>
      <c r="Y42" s="162">
        <v>8</v>
      </c>
      <c r="Z42" s="162">
        <v>12</v>
      </c>
      <c r="AA42" s="162">
        <v>7</v>
      </c>
      <c r="AB42" s="162">
        <v>9</v>
      </c>
      <c r="AC42" s="162">
        <v>8</v>
      </c>
      <c r="AD42" s="162">
        <v>13</v>
      </c>
      <c r="AE42" s="162">
        <v>9</v>
      </c>
      <c r="AF42" s="161"/>
      <c r="AG42" s="64">
        <f t="shared" si="2"/>
        <v>322</v>
      </c>
    </row>
    <row r="43" spans="1:33" ht="18.75" x14ac:dyDescent="0.25">
      <c r="A43" s="301" t="s">
        <v>130</v>
      </c>
      <c r="B43" s="249">
        <v>7</v>
      </c>
      <c r="C43" s="162">
        <v>10</v>
      </c>
      <c r="D43" s="162">
        <v>6</v>
      </c>
      <c r="E43" s="162">
        <v>9</v>
      </c>
      <c r="F43" s="162">
        <v>10</v>
      </c>
      <c r="G43" s="162">
        <v>5</v>
      </c>
      <c r="H43" s="162">
        <v>15</v>
      </c>
      <c r="I43" s="162">
        <v>5</v>
      </c>
      <c r="J43" s="162">
        <v>11</v>
      </c>
      <c r="K43" s="162">
        <v>3</v>
      </c>
      <c r="L43" s="162">
        <v>7</v>
      </c>
      <c r="M43" s="162">
        <v>6</v>
      </c>
      <c r="N43" s="162">
        <v>3</v>
      </c>
      <c r="O43" s="162">
        <v>10</v>
      </c>
      <c r="P43" s="162">
        <v>12</v>
      </c>
      <c r="Q43" s="162">
        <v>7</v>
      </c>
      <c r="R43" s="162">
        <v>9</v>
      </c>
      <c r="S43" s="162">
        <v>7</v>
      </c>
      <c r="T43" s="162">
        <v>5</v>
      </c>
      <c r="U43" s="162">
        <v>5</v>
      </c>
      <c r="V43" s="162">
        <v>5</v>
      </c>
      <c r="W43" s="162">
        <v>9</v>
      </c>
      <c r="X43" s="162">
        <v>7</v>
      </c>
      <c r="Y43" s="162">
        <v>3</v>
      </c>
      <c r="Z43" s="162">
        <v>2</v>
      </c>
      <c r="AA43" s="162">
        <v>3</v>
      </c>
      <c r="AB43" s="162">
        <v>4</v>
      </c>
      <c r="AC43" s="162">
        <v>4</v>
      </c>
      <c r="AD43" s="162">
        <v>9</v>
      </c>
      <c r="AE43" s="162">
        <v>5</v>
      </c>
      <c r="AF43" s="161"/>
      <c r="AG43" s="64">
        <f t="shared" si="2"/>
        <v>203</v>
      </c>
    </row>
    <row r="44" spans="1:33" ht="18.75" x14ac:dyDescent="0.25">
      <c r="A44" s="301" t="s">
        <v>129</v>
      </c>
      <c r="B44" s="249">
        <v>5</v>
      </c>
      <c r="C44" s="162">
        <v>5</v>
      </c>
      <c r="D44" s="162">
        <v>7</v>
      </c>
      <c r="E44" s="162">
        <v>8</v>
      </c>
      <c r="F44" s="162">
        <v>8</v>
      </c>
      <c r="G44" s="162">
        <v>3</v>
      </c>
      <c r="H44" s="162">
        <v>3</v>
      </c>
      <c r="I44" s="162">
        <v>1</v>
      </c>
      <c r="J44" s="162">
        <v>8</v>
      </c>
      <c r="K44" s="162">
        <v>7</v>
      </c>
      <c r="L44" s="162">
        <v>6</v>
      </c>
      <c r="M44" s="162">
        <v>6</v>
      </c>
      <c r="N44" s="162">
        <v>3</v>
      </c>
      <c r="O44" s="162">
        <v>4</v>
      </c>
      <c r="P44" s="162">
        <v>6</v>
      </c>
      <c r="Q44" s="162">
        <v>3</v>
      </c>
      <c r="R44" s="162">
        <v>3</v>
      </c>
      <c r="S44" s="162">
        <v>4</v>
      </c>
      <c r="T44" s="162">
        <v>2</v>
      </c>
      <c r="U44" s="162">
        <v>4</v>
      </c>
      <c r="V44" s="162">
        <v>7</v>
      </c>
      <c r="W44" s="162">
        <v>6</v>
      </c>
      <c r="X44" s="162">
        <v>4</v>
      </c>
      <c r="Y44" s="162">
        <v>4</v>
      </c>
      <c r="Z44" s="162">
        <v>3</v>
      </c>
      <c r="AA44" s="162">
        <v>2</v>
      </c>
      <c r="AB44" s="162">
        <v>2</v>
      </c>
      <c r="AC44" s="162">
        <v>7</v>
      </c>
      <c r="AD44" s="162">
        <v>6</v>
      </c>
      <c r="AE44" s="162">
        <v>1</v>
      </c>
      <c r="AF44" s="161"/>
      <c r="AG44" s="64">
        <f t="shared" si="2"/>
        <v>138</v>
      </c>
    </row>
    <row r="45" spans="1:33" ht="18.75" x14ac:dyDescent="0.25">
      <c r="A45" s="301" t="s">
        <v>128</v>
      </c>
      <c r="B45" s="249">
        <v>2</v>
      </c>
      <c r="C45" s="162">
        <v>5</v>
      </c>
      <c r="D45" s="162">
        <v>2</v>
      </c>
      <c r="E45" s="162">
        <v>5</v>
      </c>
      <c r="F45" s="162">
        <v>4</v>
      </c>
      <c r="G45" s="162">
        <v>4</v>
      </c>
      <c r="H45" s="162">
        <v>7</v>
      </c>
      <c r="I45" s="162">
        <v>3</v>
      </c>
      <c r="J45" s="162">
        <v>4</v>
      </c>
      <c r="K45" s="162"/>
      <c r="L45" s="162">
        <v>5</v>
      </c>
      <c r="M45" s="162">
        <v>4</v>
      </c>
      <c r="N45" s="162">
        <v>4</v>
      </c>
      <c r="O45" s="162">
        <v>1</v>
      </c>
      <c r="P45" s="162">
        <v>6</v>
      </c>
      <c r="Q45" s="162">
        <v>3</v>
      </c>
      <c r="R45" s="162"/>
      <c r="S45" s="162"/>
      <c r="T45" s="162">
        <v>8</v>
      </c>
      <c r="U45" s="162">
        <v>3</v>
      </c>
      <c r="V45" s="162">
        <v>3</v>
      </c>
      <c r="W45" s="162">
        <v>3</v>
      </c>
      <c r="X45" s="162">
        <v>2</v>
      </c>
      <c r="Y45" s="162">
        <v>7</v>
      </c>
      <c r="Z45" s="162">
        <v>2</v>
      </c>
      <c r="AA45" s="162">
        <v>3</v>
      </c>
      <c r="AB45" s="162"/>
      <c r="AC45" s="162">
        <v>2</v>
      </c>
      <c r="AD45" s="162">
        <v>2</v>
      </c>
      <c r="AE45" s="162">
        <v>1</v>
      </c>
      <c r="AF45" s="161"/>
      <c r="AG45" s="64">
        <f t="shared" si="2"/>
        <v>95</v>
      </c>
    </row>
    <row r="46" spans="1:33" ht="18.75" x14ac:dyDescent="0.25">
      <c r="A46" s="301" t="s">
        <v>127</v>
      </c>
      <c r="B46" s="249">
        <v>4</v>
      </c>
      <c r="C46" s="162">
        <v>1</v>
      </c>
      <c r="D46" s="162">
        <v>2</v>
      </c>
      <c r="E46" s="162">
        <v>5</v>
      </c>
      <c r="F46" s="162">
        <v>3</v>
      </c>
      <c r="G46" s="162">
        <v>1</v>
      </c>
      <c r="H46" s="162">
        <v>2</v>
      </c>
      <c r="I46" s="162">
        <v>1</v>
      </c>
      <c r="J46" s="162">
        <v>2</v>
      </c>
      <c r="K46" s="162">
        <v>1</v>
      </c>
      <c r="L46" s="162">
        <v>1</v>
      </c>
      <c r="M46" s="162">
        <v>1</v>
      </c>
      <c r="N46" s="162">
        <v>4</v>
      </c>
      <c r="O46" s="162">
        <v>5</v>
      </c>
      <c r="P46" s="162">
        <v>4</v>
      </c>
      <c r="Q46" s="162">
        <v>4</v>
      </c>
      <c r="R46" s="162">
        <v>4</v>
      </c>
      <c r="S46" s="162">
        <v>1</v>
      </c>
      <c r="T46" s="162">
        <v>4</v>
      </c>
      <c r="U46" s="162">
        <v>1</v>
      </c>
      <c r="V46" s="162">
        <v>1</v>
      </c>
      <c r="W46" s="162">
        <v>1</v>
      </c>
      <c r="X46" s="162"/>
      <c r="Y46" s="162">
        <v>4</v>
      </c>
      <c r="Z46" s="162">
        <v>3</v>
      </c>
      <c r="AA46" s="162">
        <v>1</v>
      </c>
      <c r="AB46" s="162">
        <v>2</v>
      </c>
      <c r="AC46" s="162">
        <v>3</v>
      </c>
      <c r="AD46" s="162">
        <v>5</v>
      </c>
      <c r="AE46" s="162"/>
      <c r="AF46" s="161"/>
      <c r="AG46" s="64">
        <f t="shared" si="2"/>
        <v>71</v>
      </c>
    </row>
    <row r="47" spans="1:33" ht="18.75" x14ac:dyDescent="0.25">
      <c r="A47" s="301" t="s">
        <v>126</v>
      </c>
      <c r="B47" s="249">
        <v>2</v>
      </c>
      <c r="C47" s="162"/>
      <c r="D47" s="162">
        <v>2</v>
      </c>
      <c r="E47" s="162">
        <v>3</v>
      </c>
      <c r="F47" s="162"/>
      <c r="G47" s="162"/>
      <c r="H47" s="162">
        <v>1</v>
      </c>
      <c r="I47" s="162">
        <v>1</v>
      </c>
      <c r="J47" s="162"/>
      <c r="K47" s="162">
        <v>3</v>
      </c>
      <c r="L47" s="162">
        <v>4</v>
      </c>
      <c r="M47" s="162"/>
      <c r="N47" s="162">
        <v>1</v>
      </c>
      <c r="O47" s="162">
        <v>1</v>
      </c>
      <c r="P47" s="162"/>
      <c r="Q47" s="162">
        <v>1</v>
      </c>
      <c r="R47" s="162"/>
      <c r="S47" s="162"/>
      <c r="T47" s="162">
        <v>2</v>
      </c>
      <c r="U47" s="162">
        <v>1</v>
      </c>
      <c r="V47" s="162">
        <v>2</v>
      </c>
      <c r="W47" s="162"/>
      <c r="X47" s="162"/>
      <c r="Y47" s="162">
        <v>1</v>
      </c>
      <c r="Z47" s="162">
        <v>2</v>
      </c>
      <c r="AA47" s="162"/>
      <c r="AB47" s="162">
        <v>2</v>
      </c>
      <c r="AC47" s="162"/>
      <c r="AD47" s="162">
        <v>2</v>
      </c>
      <c r="AE47" s="162">
        <v>1</v>
      </c>
      <c r="AF47" s="161"/>
      <c r="AG47" s="64">
        <f t="shared" si="2"/>
        <v>32</v>
      </c>
    </row>
    <row r="48" spans="1:33" ht="18.75" x14ac:dyDescent="0.25">
      <c r="A48" s="301" t="s">
        <v>125</v>
      </c>
      <c r="B48" s="249"/>
      <c r="C48" s="162">
        <v>2</v>
      </c>
      <c r="D48" s="162">
        <v>3</v>
      </c>
      <c r="E48" s="162">
        <v>2</v>
      </c>
      <c r="F48" s="162"/>
      <c r="G48" s="162">
        <v>2</v>
      </c>
      <c r="H48" s="162"/>
      <c r="I48" s="162">
        <v>1</v>
      </c>
      <c r="J48" s="162"/>
      <c r="K48" s="162">
        <v>2</v>
      </c>
      <c r="L48" s="162"/>
      <c r="M48" s="162">
        <v>1</v>
      </c>
      <c r="N48" s="162"/>
      <c r="O48" s="162">
        <v>1</v>
      </c>
      <c r="P48" s="162"/>
      <c r="Q48" s="162">
        <v>1</v>
      </c>
      <c r="R48" s="162"/>
      <c r="S48" s="162"/>
      <c r="T48" s="162"/>
      <c r="U48" s="162">
        <v>3</v>
      </c>
      <c r="V48" s="162"/>
      <c r="W48" s="162"/>
      <c r="X48" s="162">
        <v>2</v>
      </c>
      <c r="Y48" s="162"/>
      <c r="Z48" s="162">
        <v>3</v>
      </c>
      <c r="AA48" s="162">
        <v>2</v>
      </c>
      <c r="AB48" s="162"/>
      <c r="AC48" s="162"/>
      <c r="AD48" s="162"/>
      <c r="AE48" s="162">
        <v>3</v>
      </c>
      <c r="AF48" s="161"/>
      <c r="AG48" s="64">
        <f t="shared" si="2"/>
        <v>28</v>
      </c>
    </row>
    <row r="49" spans="1:33" ht="18.75" x14ac:dyDescent="0.25">
      <c r="A49" s="301" t="s">
        <v>124</v>
      </c>
      <c r="B49" s="249"/>
      <c r="C49" s="162">
        <v>1</v>
      </c>
      <c r="D49" s="162"/>
      <c r="E49" s="162">
        <v>2</v>
      </c>
      <c r="F49" s="162"/>
      <c r="G49" s="162"/>
      <c r="H49" s="162">
        <v>1</v>
      </c>
      <c r="I49" s="162">
        <v>2</v>
      </c>
      <c r="J49" s="162"/>
      <c r="K49" s="162">
        <v>2</v>
      </c>
      <c r="L49" s="162">
        <v>2</v>
      </c>
      <c r="M49" s="162"/>
      <c r="N49" s="162">
        <v>1</v>
      </c>
      <c r="O49" s="162">
        <v>1</v>
      </c>
      <c r="P49" s="162">
        <v>1</v>
      </c>
      <c r="Q49" s="162">
        <v>1</v>
      </c>
      <c r="R49" s="162">
        <v>1</v>
      </c>
      <c r="S49" s="162"/>
      <c r="T49" s="162"/>
      <c r="U49" s="162">
        <v>3</v>
      </c>
      <c r="V49" s="162"/>
      <c r="W49" s="162">
        <v>2</v>
      </c>
      <c r="X49" s="162">
        <v>2</v>
      </c>
      <c r="Y49" s="162">
        <v>1</v>
      </c>
      <c r="Z49" s="162">
        <v>1</v>
      </c>
      <c r="AA49" s="162">
        <v>1</v>
      </c>
      <c r="AB49" s="162"/>
      <c r="AC49" s="162">
        <v>1</v>
      </c>
      <c r="AD49" s="162"/>
      <c r="AE49" s="162">
        <v>1</v>
      </c>
      <c r="AF49" s="161"/>
      <c r="AG49" s="64">
        <f t="shared" si="2"/>
        <v>27</v>
      </c>
    </row>
    <row r="50" spans="1:33" ht="18.75" x14ac:dyDescent="0.25">
      <c r="A50" s="301" t="s">
        <v>123</v>
      </c>
      <c r="B50" s="249">
        <v>1</v>
      </c>
      <c r="C50" s="162"/>
      <c r="D50" s="162">
        <v>1</v>
      </c>
      <c r="E50" s="162">
        <v>3</v>
      </c>
      <c r="F50" s="162"/>
      <c r="G50" s="162">
        <v>1</v>
      </c>
      <c r="H50" s="162">
        <v>1</v>
      </c>
      <c r="I50" s="162">
        <v>1</v>
      </c>
      <c r="J50" s="162"/>
      <c r="K50" s="162"/>
      <c r="L50" s="162"/>
      <c r="M50" s="162">
        <v>2</v>
      </c>
      <c r="N50" s="162"/>
      <c r="O50" s="162"/>
      <c r="P50" s="162"/>
      <c r="Q50" s="162"/>
      <c r="R50" s="162">
        <v>1</v>
      </c>
      <c r="S50" s="162"/>
      <c r="T50" s="162">
        <v>1</v>
      </c>
      <c r="U50" s="162">
        <v>1</v>
      </c>
      <c r="V50" s="162"/>
      <c r="W50" s="162"/>
      <c r="X50" s="162"/>
      <c r="Y50" s="162">
        <v>1</v>
      </c>
      <c r="Z50" s="162"/>
      <c r="AA50" s="162"/>
      <c r="AB50" s="162"/>
      <c r="AC50" s="162">
        <v>1</v>
      </c>
      <c r="AD50" s="162">
        <v>1</v>
      </c>
      <c r="AE50" s="162"/>
      <c r="AF50" s="161"/>
      <c r="AG50" s="64">
        <f t="shared" si="2"/>
        <v>16</v>
      </c>
    </row>
    <row r="51" spans="1:33" ht="18.75" x14ac:dyDescent="0.25">
      <c r="A51" s="301" t="s">
        <v>122</v>
      </c>
      <c r="B51" s="249"/>
      <c r="C51" s="162">
        <v>2</v>
      </c>
      <c r="D51" s="162">
        <v>4</v>
      </c>
      <c r="E51" s="162">
        <v>1</v>
      </c>
      <c r="F51" s="162"/>
      <c r="G51" s="162"/>
      <c r="H51" s="162"/>
      <c r="I51" s="162">
        <v>1</v>
      </c>
      <c r="J51" s="162"/>
      <c r="K51" s="162"/>
      <c r="L51" s="162">
        <v>3</v>
      </c>
      <c r="M51" s="162">
        <v>2</v>
      </c>
      <c r="N51" s="162">
        <v>1</v>
      </c>
      <c r="O51" s="162">
        <v>1</v>
      </c>
      <c r="P51" s="162"/>
      <c r="Q51" s="162"/>
      <c r="R51" s="162">
        <v>2</v>
      </c>
      <c r="S51" s="162">
        <v>1</v>
      </c>
      <c r="T51" s="162">
        <v>1</v>
      </c>
      <c r="U51" s="162">
        <v>3</v>
      </c>
      <c r="V51" s="162"/>
      <c r="W51" s="162">
        <v>1</v>
      </c>
      <c r="X51" s="162">
        <v>1</v>
      </c>
      <c r="Y51" s="162"/>
      <c r="Z51" s="162"/>
      <c r="AA51" s="162">
        <v>1</v>
      </c>
      <c r="AB51" s="162"/>
      <c r="AC51" s="162"/>
      <c r="AD51" s="162">
        <v>2</v>
      </c>
      <c r="AE51" s="162">
        <v>2</v>
      </c>
      <c r="AF51" s="161"/>
      <c r="AG51" s="64">
        <f t="shared" si="2"/>
        <v>29</v>
      </c>
    </row>
    <row r="52" spans="1:33" ht="19.5" thickBot="1" x14ac:dyDescent="0.3">
      <c r="A52" s="304" t="s">
        <v>121</v>
      </c>
      <c r="B52" s="252">
        <v>3</v>
      </c>
      <c r="C52" s="181"/>
      <c r="D52" s="181">
        <v>1</v>
      </c>
      <c r="E52" s="181">
        <v>2</v>
      </c>
      <c r="F52" s="181"/>
      <c r="G52" s="181"/>
      <c r="H52" s="181">
        <v>1</v>
      </c>
      <c r="I52" s="181"/>
      <c r="J52" s="181"/>
      <c r="K52" s="181"/>
      <c r="L52" s="181">
        <v>2</v>
      </c>
      <c r="M52" s="181">
        <v>2</v>
      </c>
      <c r="N52" s="181"/>
      <c r="O52" s="181"/>
      <c r="P52" s="181"/>
      <c r="Q52" s="181"/>
      <c r="R52" s="181"/>
      <c r="S52" s="181"/>
      <c r="T52" s="181"/>
      <c r="U52" s="181">
        <v>1</v>
      </c>
      <c r="V52" s="181"/>
      <c r="W52" s="181"/>
      <c r="X52" s="181">
        <v>2</v>
      </c>
      <c r="Y52" s="181"/>
      <c r="Z52" s="181"/>
      <c r="AA52" s="181"/>
      <c r="AB52" s="181"/>
      <c r="AC52" s="181"/>
      <c r="AD52" s="181">
        <v>1</v>
      </c>
      <c r="AE52" s="181">
        <v>2</v>
      </c>
      <c r="AF52" s="180"/>
      <c r="AG52" s="160">
        <f t="shared" si="2"/>
        <v>17</v>
      </c>
    </row>
    <row r="53" spans="1:33" ht="19.5" thickBot="1" x14ac:dyDescent="0.3">
      <c r="A53" s="299" t="s">
        <v>145</v>
      </c>
      <c r="B53" s="247">
        <f t="shared" ref="B53:AF53" si="4">SUM(B54:B77)</f>
        <v>7</v>
      </c>
      <c r="C53" s="120">
        <f t="shared" si="4"/>
        <v>7</v>
      </c>
      <c r="D53" s="120">
        <f t="shared" si="4"/>
        <v>3</v>
      </c>
      <c r="E53" s="120">
        <f t="shared" si="4"/>
        <v>13</v>
      </c>
      <c r="F53" s="120">
        <f t="shared" si="4"/>
        <v>5</v>
      </c>
      <c r="G53" s="120">
        <f t="shared" si="4"/>
        <v>4</v>
      </c>
      <c r="H53" s="120">
        <f t="shared" si="4"/>
        <v>15</v>
      </c>
      <c r="I53" s="120">
        <f t="shared" si="4"/>
        <v>10</v>
      </c>
      <c r="J53" s="120">
        <f t="shared" si="4"/>
        <v>4</v>
      </c>
      <c r="K53" s="120">
        <f t="shared" si="4"/>
        <v>4</v>
      </c>
      <c r="L53" s="120">
        <f t="shared" si="4"/>
        <v>8</v>
      </c>
      <c r="M53" s="120">
        <f t="shared" si="4"/>
        <v>6</v>
      </c>
      <c r="N53" s="120">
        <f t="shared" si="4"/>
        <v>3</v>
      </c>
      <c r="O53" s="120">
        <f t="shared" si="4"/>
        <v>16</v>
      </c>
      <c r="P53" s="120">
        <f t="shared" si="4"/>
        <v>3</v>
      </c>
      <c r="Q53" s="120">
        <f t="shared" si="4"/>
        <v>6</v>
      </c>
      <c r="R53" s="120">
        <f t="shared" si="4"/>
        <v>5</v>
      </c>
      <c r="S53" s="120">
        <f t="shared" si="4"/>
        <v>3</v>
      </c>
      <c r="T53" s="120">
        <f t="shared" si="4"/>
        <v>1</v>
      </c>
      <c r="U53" s="120">
        <f t="shared" si="4"/>
        <v>2</v>
      </c>
      <c r="V53" s="120">
        <f t="shared" si="4"/>
        <v>4</v>
      </c>
      <c r="W53" s="120">
        <f t="shared" si="4"/>
        <v>15</v>
      </c>
      <c r="X53" s="120">
        <f t="shared" si="4"/>
        <v>7</v>
      </c>
      <c r="Y53" s="120">
        <f t="shared" si="4"/>
        <v>2</v>
      </c>
      <c r="Z53" s="120">
        <f t="shared" si="4"/>
        <v>12</v>
      </c>
      <c r="AA53" s="120">
        <f t="shared" si="4"/>
        <v>1</v>
      </c>
      <c r="AB53" s="120">
        <f t="shared" si="4"/>
        <v>2</v>
      </c>
      <c r="AC53" s="120">
        <f t="shared" si="4"/>
        <v>2</v>
      </c>
      <c r="AD53" s="120">
        <f t="shared" si="4"/>
        <v>8</v>
      </c>
      <c r="AE53" s="120">
        <f t="shared" si="4"/>
        <v>4</v>
      </c>
      <c r="AF53" s="120">
        <f t="shared" si="4"/>
        <v>0</v>
      </c>
      <c r="AG53" s="157">
        <f t="shared" si="2"/>
        <v>182</v>
      </c>
    </row>
    <row r="54" spans="1:33" ht="18.75" x14ac:dyDescent="0.25">
      <c r="A54" s="300" t="s">
        <v>144</v>
      </c>
      <c r="B54" s="248"/>
      <c r="C54" s="199"/>
      <c r="D54" s="162"/>
      <c r="E54" s="199"/>
      <c r="F54" s="199"/>
      <c r="G54" s="162"/>
      <c r="H54" s="199">
        <v>1</v>
      </c>
      <c r="I54" s="199"/>
      <c r="J54" s="199"/>
      <c r="K54" s="199">
        <v>1</v>
      </c>
      <c r="L54" s="199"/>
      <c r="M54" s="199"/>
      <c r="N54" s="199"/>
      <c r="O54" s="199"/>
      <c r="P54" s="199"/>
      <c r="Q54" s="199"/>
      <c r="R54" s="199"/>
      <c r="S54" s="199"/>
      <c r="T54" s="199"/>
      <c r="U54" s="199"/>
      <c r="V54" s="199"/>
      <c r="W54" s="199"/>
      <c r="X54" s="199"/>
      <c r="Y54" s="199"/>
      <c r="Z54" s="199"/>
      <c r="AA54" s="199"/>
      <c r="AB54" s="199"/>
      <c r="AC54" s="199"/>
      <c r="AD54" s="199"/>
      <c r="AE54" s="199"/>
      <c r="AF54" s="206"/>
      <c r="AG54" s="134">
        <f t="shared" si="2"/>
        <v>2</v>
      </c>
    </row>
    <row r="55" spans="1:33" ht="18.75" x14ac:dyDescent="0.25">
      <c r="A55" s="301" t="s">
        <v>143</v>
      </c>
      <c r="B55" s="249"/>
      <c r="C55" s="162"/>
      <c r="D55" s="162"/>
      <c r="E55" s="162"/>
      <c r="F55" s="162"/>
      <c r="G55" s="162"/>
      <c r="H55" s="162"/>
      <c r="I55" s="162"/>
      <c r="J55" s="162"/>
      <c r="K55" s="162"/>
      <c r="L55" s="162">
        <v>3</v>
      </c>
      <c r="M55" s="162"/>
      <c r="N55" s="162"/>
      <c r="O55" s="162"/>
      <c r="P55" s="162"/>
      <c r="Q55" s="162">
        <v>1</v>
      </c>
      <c r="R55" s="162"/>
      <c r="S55" s="162"/>
      <c r="T55" s="162"/>
      <c r="U55" s="162"/>
      <c r="V55" s="162"/>
      <c r="W55" s="162"/>
      <c r="X55" s="162"/>
      <c r="Y55" s="162"/>
      <c r="Z55" s="162"/>
      <c r="AA55" s="162"/>
      <c r="AB55" s="162"/>
      <c r="AC55" s="162"/>
      <c r="AD55" s="162"/>
      <c r="AE55" s="162"/>
      <c r="AF55" s="161"/>
      <c r="AG55" s="64">
        <f t="shared" si="2"/>
        <v>4</v>
      </c>
    </row>
    <row r="56" spans="1:33" ht="18.75" x14ac:dyDescent="0.25">
      <c r="A56" s="301" t="s">
        <v>142</v>
      </c>
      <c r="B56" s="249"/>
      <c r="C56" s="162"/>
      <c r="D56" s="162"/>
      <c r="E56" s="162"/>
      <c r="F56" s="162"/>
      <c r="G56" s="162"/>
      <c r="H56" s="162"/>
      <c r="I56" s="162"/>
      <c r="J56" s="162"/>
      <c r="K56" s="162"/>
      <c r="L56" s="162"/>
      <c r="M56" s="162"/>
      <c r="N56" s="162"/>
      <c r="O56" s="162">
        <v>1</v>
      </c>
      <c r="P56" s="162"/>
      <c r="Q56" s="162"/>
      <c r="R56" s="162"/>
      <c r="S56" s="162"/>
      <c r="T56" s="162"/>
      <c r="U56" s="162"/>
      <c r="V56" s="162"/>
      <c r="W56" s="162"/>
      <c r="X56" s="162"/>
      <c r="Y56" s="162"/>
      <c r="Z56" s="162"/>
      <c r="AA56" s="162"/>
      <c r="AB56" s="162"/>
      <c r="AC56" s="162"/>
      <c r="AD56" s="162"/>
      <c r="AE56" s="162"/>
      <c r="AF56" s="161"/>
      <c r="AG56" s="64">
        <f t="shared" si="2"/>
        <v>1</v>
      </c>
    </row>
    <row r="57" spans="1:33" ht="18.75" x14ac:dyDescent="0.25">
      <c r="A57" s="301" t="s">
        <v>141</v>
      </c>
      <c r="B57" s="249"/>
      <c r="C57" s="162"/>
      <c r="D57" s="162"/>
      <c r="E57" s="162"/>
      <c r="F57" s="162"/>
      <c r="G57" s="162">
        <v>1</v>
      </c>
      <c r="H57" s="162">
        <v>1</v>
      </c>
      <c r="I57" s="162"/>
      <c r="J57" s="162"/>
      <c r="K57" s="162"/>
      <c r="L57" s="162"/>
      <c r="M57" s="162"/>
      <c r="N57" s="162"/>
      <c r="O57" s="162"/>
      <c r="P57" s="162"/>
      <c r="Q57" s="162"/>
      <c r="R57" s="162"/>
      <c r="S57" s="162"/>
      <c r="T57" s="162"/>
      <c r="U57" s="162"/>
      <c r="V57" s="162"/>
      <c r="W57" s="162"/>
      <c r="X57" s="162"/>
      <c r="Y57" s="162"/>
      <c r="Z57" s="162"/>
      <c r="AA57" s="162"/>
      <c r="AB57" s="162"/>
      <c r="AC57" s="162"/>
      <c r="AD57" s="162"/>
      <c r="AE57" s="162"/>
      <c r="AF57" s="161"/>
      <c r="AG57" s="64">
        <f t="shared" si="2"/>
        <v>2</v>
      </c>
    </row>
    <row r="58" spans="1:33" ht="18.75" x14ac:dyDescent="0.25">
      <c r="A58" s="301" t="s">
        <v>140</v>
      </c>
      <c r="B58" s="249"/>
      <c r="C58" s="162"/>
      <c r="D58" s="162"/>
      <c r="E58" s="162">
        <v>5</v>
      </c>
      <c r="F58" s="162">
        <v>1</v>
      </c>
      <c r="G58" s="162"/>
      <c r="H58" s="162"/>
      <c r="I58" s="162"/>
      <c r="J58" s="162"/>
      <c r="K58" s="162"/>
      <c r="L58" s="162"/>
      <c r="M58" s="162">
        <v>2</v>
      </c>
      <c r="N58" s="162"/>
      <c r="O58" s="162"/>
      <c r="P58" s="162"/>
      <c r="Q58" s="162"/>
      <c r="R58" s="162"/>
      <c r="S58" s="162"/>
      <c r="T58" s="162"/>
      <c r="U58" s="162">
        <v>1</v>
      </c>
      <c r="V58" s="162"/>
      <c r="W58" s="162">
        <v>1</v>
      </c>
      <c r="X58" s="162"/>
      <c r="Y58" s="162"/>
      <c r="Z58" s="162">
        <v>2</v>
      </c>
      <c r="AA58" s="162"/>
      <c r="AB58" s="162"/>
      <c r="AC58" s="162"/>
      <c r="AD58" s="162"/>
      <c r="AE58" s="162"/>
      <c r="AF58" s="161"/>
      <c r="AG58" s="64">
        <f t="shared" si="2"/>
        <v>12</v>
      </c>
    </row>
    <row r="59" spans="1:33" ht="18.75" x14ac:dyDescent="0.25">
      <c r="A59" s="301" t="s">
        <v>139</v>
      </c>
      <c r="B59" s="249"/>
      <c r="C59" s="162"/>
      <c r="D59" s="162"/>
      <c r="E59" s="162"/>
      <c r="F59" s="162">
        <v>1</v>
      </c>
      <c r="G59" s="162"/>
      <c r="H59" s="162"/>
      <c r="I59" s="162"/>
      <c r="J59" s="162"/>
      <c r="K59" s="162"/>
      <c r="L59" s="162"/>
      <c r="M59" s="162">
        <v>1</v>
      </c>
      <c r="N59" s="162"/>
      <c r="O59" s="162"/>
      <c r="P59" s="162"/>
      <c r="Q59" s="162">
        <v>1</v>
      </c>
      <c r="R59" s="162"/>
      <c r="S59" s="162"/>
      <c r="T59" s="162"/>
      <c r="U59" s="162"/>
      <c r="V59" s="162"/>
      <c r="W59" s="162">
        <v>1</v>
      </c>
      <c r="X59" s="162"/>
      <c r="Y59" s="162">
        <v>1</v>
      </c>
      <c r="Z59" s="162"/>
      <c r="AA59" s="162">
        <v>1</v>
      </c>
      <c r="AB59" s="162"/>
      <c r="AC59" s="162"/>
      <c r="AD59" s="162"/>
      <c r="AE59" s="162"/>
      <c r="AF59" s="161"/>
      <c r="AG59" s="64">
        <f t="shared" si="2"/>
        <v>6</v>
      </c>
    </row>
    <row r="60" spans="1:33" ht="18.75" x14ac:dyDescent="0.25">
      <c r="A60" s="301" t="s">
        <v>138</v>
      </c>
      <c r="B60" s="249"/>
      <c r="C60" s="162"/>
      <c r="D60" s="162"/>
      <c r="E60" s="162"/>
      <c r="F60" s="162">
        <v>1</v>
      </c>
      <c r="G60" s="162"/>
      <c r="H60" s="162"/>
      <c r="I60" s="162"/>
      <c r="J60" s="162"/>
      <c r="K60" s="162"/>
      <c r="L60" s="162"/>
      <c r="M60" s="162"/>
      <c r="N60" s="162"/>
      <c r="O60" s="162"/>
      <c r="P60" s="162">
        <v>1</v>
      </c>
      <c r="Q60" s="162"/>
      <c r="R60" s="162"/>
      <c r="S60" s="162"/>
      <c r="T60" s="162"/>
      <c r="U60" s="162"/>
      <c r="V60" s="162">
        <v>1</v>
      </c>
      <c r="W60" s="162"/>
      <c r="X60" s="162"/>
      <c r="Y60" s="162"/>
      <c r="Z60" s="162"/>
      <c r="AA60" s="162"/>
      <c r="AB60" s="162">
        <v>1</v>
      </c>
      <c r="AC60" s="162"/>
      <c r="AD60" s="162"/>
      <c r="AE60" s="162"/>
      <c r="AF60" s="161"/>
      <c r="AG60" s="64">
        <f t="shared" si="2"/>
        <v>4</v>
      </c>
    </row>
    <row r="61" spans="1:33" ht="18.75" x14ac:dyDescent="0.25">
      <c r="A61" s="301" t="s">
        <v>137</v>
      </c>
      <c r="B61" s="249"/>
      <c r="C61" s="162">
        <v>2</v>
      </c>
      <c r="D61" s="162">
        <v>2</v>
      </c>
      <c r="E61" s="162"/>
      <c r="F61" s="162">
        <v>1</v>
      </c>
      <c r="G61" s="162"/>
      <c r="H61" s="162">
        <v>4</v>
      </c>
      <c r="I61" s="162">
        <v>1</v>
      </c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>
        <v>1</v>
      </c>
      <c r="W61" s="162">
        <v>3</v>
      </c>
      <c r="X61" s="162"/>
      <c r="Y61" s="162"/>
      <c r="Z61" s="162"/>
      <c r="AA61" s="162"/>
      <c r="AB61" s="162"/>
      <c r="AC61" s="162"/>
      <c r="AD61" s="162"/>
      <c r="AE61" s="162"/>
      <c r="AF61" s="161"/>
      <c r="AG61" s="64">
        <f t="shared" si="2"/>
        <v>14</v>
      </c>
    </row>
    <row r="62" spans="1:33" ht="18.75" x14ac:dyDescent="0.25">
      <c r="A62" s="301" t="s">
        <v>136</v>
      </c>
      <c r="B62" s="249"/>
      <c r="C62" s="162">
        <v>1</v>
      </c>
      <c r="D62" s="162"/>
      <c r="E62" s="162"/>
      <c r="F62" s="162"/>
      <c r="G62" s="162"/>
      <c r="H62" s="162">
        <v>4</v>
      </c>
      <c r="I62" s="162">
        <v>1</v>
      </c>
      <c r="J62" s="162"/>
      <c r="K62" s="162"/>
      <c r="L62" s="162"/>
      <c r="M62" s="162">
        <v>2</v>
      </c>
      <c r="N62" s="162"/>
      <c r="O62" s="162"/>
      <c r="P62" s="162"/>
      <c r="Q62" s="162"/>
      <c r="R62" s="162"/>
      <c r="S62" s="162"/>
      <c r="T62" s="162"/>
      <c r="U62" s="162"/>
      <c r="V62" s="162">
        <v>1</v>
      </c>
      <c r="W62" s="162"/>
      <c r="X62" s="162"/>
      <c r="Y62" s="162"/>
      <c r="Z62" s="162"/>
      <c r="AA62" s="162"/>
      <c r="AB62" s="162"/>
      <c r="AC62" s="162"/>
      <c r="AD62" s="162"/>
      <c r="AE62" s="162">
        <v>1</v>
      </c>
      <c r="AF62" s="161"/>
      <c r="AG62" s="64">
        <f t="shared" si="2"/>
        <v>10</v>
      </c>
    </row>
    <row r="63" spans="1:33" ht="18.75" x14ac:dyDescent="0.25">
      <c r="A63" s="301" t="s">
        <v>135</v>
      </c>
      <c r="B63" s="249"/>
      <c r="C63" s="162"/>
      <c r="D63" s="162"/>
      <c r="E63" s="162">
        <v>1</v>
      </c>
      <c r="F63" s="162"/>
      <c r="G63" s="162">
        <v>1</v>
      </c>
      <c r="H63" s="162"/>
      <c r="I63" s="162">
        <v>1</v>
      </c>
      <c r="J63" s="162"/>
      <c r="K63" s="162"/>
      <c r="L63" s="162"/>
      <c r="M63" s="162"/>
      <c r="N63" s="162">
        <v>1</v>
      </c>
      <c r="O63" s="162"/>
      <c r="P63" s="162">
        <v>1</v>
      </c>
      <c r="Q63" s="162"/>
      <c r="R63" s="162"/>
      <c r="S63" s="162">
        <v>1</v>
      </c>
      <c r="T63" s="162"/>
      <c r="U63" s="162"/>
      <c r="V63" s="162">
        <v>1</v>
      </c>
      <c r="W63" s="162">
        <v>2</v>
      </c>
      <c r="X63" s="162"/>
      <c r="Y63" s="162"/>
      <c r="Z63" s="162">
        <v>1</v>
      </c>
      <c r="AA63" s="162"/>
      <c r="AB63" s="162"/>
      <c r="AC63" s="162"/>
      <c r="AD63" s="162"/>
      <c r="AE63" s="162"/>
      <c r="AF63" s="161"/>
      <c r="AG63" s="64">
        <f t="shared" si="2"/>
        <v>10</v>
      </c>
    </row>
    <row r="64" spans="1:33" ht="18.75" x14ac:dyDescent="0.25">
      <c r="A64" s="301" t="s">
        <v>134</v>
      </c>
      <c r="B64" s="249"/>
      <c r="C64" s="162">
        <v>2</v>
      </c>
      <c r="D64" s="162"/>
      <c r="E64" s="162">
        <v>1</v>
      </c>
      <c r="F64" s="162"/>
      <c r="G64" s="162">
        <v>1</v>
      </c>
      <c r="H64" s="162"/>
      <c r="I64" s="162">
        <v>2</v>
      </c>
      <c r="J64" s="162">
        <v>1</v>
      </c>
      <c r="K64" s="162"/>
      <c r="L64" s="162">
        <v>1</v>
      </c>
      <c r="M64" s="162"/>
      <c r="N64" s="162"/>
      <c r="O64" s="162">
        <v>1</v>
      </c>
      <c r="P64" s="162"/>
      <c r="Q64" s="162">
        <v>1</v>
      </c>
      <c r="R64" s="162"/>
      <c r="S64" s="162"/>
      <c r="T64" s="162"/>
      <c r="U64" s="162"/>
      <c r="V64" s="162"/>
      <c r="W64" s="162"/>
      <c r="X64" s="162">
        <v>2</v>
      </c>
      <c r="Y64" s="162"/>
      <c r="Z64" s="162">
        <v>2</v>
      </c>
      <c r="AA64" s="162"/>
      <c r="AB64" s="162"/>
      <c r="AC64" s="162"/>
      <c r="AD64" s="162">
        <v>1</v>
      </c>
      <c r="AE64" s="162"/>
      <c r="AF64" s="161"/>
      <c r="AG64" s="64">
        <f t="shared" si="2"/>
        <v>15</v>
      </c>
    </row>
    <row r="65" spans="1:33" ht="18.75" x14ac:dyDescent="0.25">
      <c r="A65" s="301" t="s">
        <v>133</v>
      </c>
      <c r="B65" s="249">
        <v>7</v>
      </c>
      <c r="C65" s="162"/>
      <c r="D65" s="162"/>
      <c r="E65" s="162">
        <v>3</v>
      </c>
      <c r="F65" s="162">
        <v>1</v>
      </c>
      <c r="G65" s="162"/>
      <c r="H65" s="162"/>
      <c r="I65" s="162">
        <v>3</v>
      </c>
      <c r="J65" s="162">
        <v>1</v>
      </c>
      <c r="K65" s="162">
        <v>1</v>
      </c>
      <c r="L65" s="162"/>
      <c r="M65" s="162"/>
      <c r="N65" s="162"/>
      <c r="O65" s="162">
        <v>6</v>
      </c>
      <c r="P65" s="162"/>
      <c r="Q65" s="162">
        <v>2</v>
      </c>
      <c r="R65" s="162"/>
      <c r="S65" s="162"/>
      <c r="T65" s="162"/>
      <c r="U65" s="162"/>
      <c r="V65" s="162"/>
      <c r="W65" s="162">
        <v>3</v>
      </c>
      <c r="X65" s="162">
        <v>4</v>
      </c>
      <c r="Y65" s="162">
        <v>1</v>
      </c>
      <c r="Z65" s="162">
        <v>6</v>
      </c>
      <c r="AA65" s="162"/>
      <c r="AB65" s="162"/>
      <c r="AC65" s="162"/>
      <c r="AD65" s="162">
        <v>4</v>
      </c>
      <c r="AE65" s="162">
        <v>2</v>
      </c>
      <c r="AF65" s="161"/>
      <c r="AG65" s="64">
        <f t="shared" si="2"/>
        <v>44</v>
      </c>
    </row>
    <row r="66" spans="1:33" ht="18.75" x14ac:dyDescent="0.25">
      <c r="A66" s="301" t="s">
        <v>132</v>
      </c>
      <c r="B66" s="249"/>
      <c r="C66" s="162"/>
      <c r="D66" s="162">
        <v>1</v>
      </c>
      <c r="E66" s="162">
        <v>1</v>
      </c>
      <c r="F66" s="162"/>
      <c r="G66" s="162"/>
      <c r="H66" s="162">
        <v>1</v>
      </c>
      <c r="I66" s="162"/>
      <c r="J66" s="162">
        <v>1</v>
      </c>
      <c r="K66" s="162">
        <v>1</v>
      </c>
      <c r="L66" s="162">
        <v>3</v>
      </c>
      <c r="M66" s="162"/>
      <c r="N66" s="162"/>
      <c r="O66" s="162">
        <v>4</v>
      </c>
      <c r="P66" s="162"/>
      <c r="Q66" s="162"/>
      <c r="R66" s="162"/>
      <c r="S66" s="162"/>
      <c r="T66" s="162"/>
      <c r="U66" s="162"/>
      <c r="V66" s="162"/>
      <c r="W66" s="162">
        <v>2</v>
      </c>
      <c r="X66" s="162">
        <v>1</v>
      </c>
      <c r="Y66" s="162"/>
      <c r="Z66" s="162"/>
      <c r="AA66" s="162"/>
      <c r="AB66" s="162"/>
      <c r="AC66" s="162"/>
      <c r="AD66" s="162">
        <v>1</v>
      </c>
      <c r="AE66" s="162">
        <v>1</v>
      </c>
      <c r="AF66" s="161"/>
      <c r="AG66" s="64">
        <f t="shared" si="2"/>
        <v>17</v>
      </c>
    </row>
    <row r="67" spans="1:33" ht="18.75" x14ac:dyDescent="0.25">
      <c r="A67" s="301" t="s">
        <v>131</v>
      </c>
      <c r="B67" s="249"/>
      <c r="C67" s="162">
        <v>1</v>
      </c>
      <c r="D67" s="162"/>
      <c r="E67" s="162">
        <v>2</v>
      </c>
      <c r="F67" s="162"/>
      <c r="G67" s="162">
        <v>1</v>
      </c>
      <c r="H67" s="162">
        <v>4</v>
      </c>
      <c r="I67" s="162"/>
      <c r="J67" s="162">
        <v>1</v>
      </c>
      <c r="K67" s="162"/>
      <c r="L67" s="162">
        <v>1</v>
      </c>
      <c r="M67" s="162"/>
      <c r="N67" s="162">
        <v>1</v>
      </c>
      <c r="O67" s="162">
        <v>3</v>
      </c>
      <c r="P67" s="162">
        <v>1</v>
      </c>
      <c r="Q67" s="162"/>
      <c r="R67" s="162">
        <v>2</v>
      </c>
      <c r="S67" s="162"/>
      <c r="T67" s="162">
        <v>1</v>
      </c>
      <c r="U67" s="162">
        <v>1</v>
      </c>
      <c r="V67" s="162"/>
      <c r="W67" s="162">
        <v>1</v>
      </c>
      <c r="X67" s="162"/>
      <c r="Y67" s="162"/>
      <c r="Z67" s="162">
        <v>1</v>
      </c>
      <c r="AA67" s="162"/>
      <c r="AB67" s="162">
        <v>1</v>
      </c>
      <c r="AC67" s="162"/>
      <c r="AD67" s="162">
        <v>1</v>
      </c>
      <c r="AE67" s="162"/>
      <c r="AF67" s="161"/>
      <c r="AG67" s="64">
        <f t="shared" ref="AG67:AG98" si="5">SUM(B67:AF67)</f>
        <v>23</v>
      </c>
    </row>
    <row r="68" spans="1:33" ht="18.75" x14ac:dyDescent="0.25">
      <c r="A68" s="301" t="s">
        <v>130</v>
      </c>
      <c r="B68" s="249"/>
      <c r="C68" s="162">
        <v>1</v>
      </c>
      <c r="D68" s="162"/>
      <c r="E68" s="162"/>
      <c r="F68" s="162"/>
      <c r="G68" s="162"/>
      <c r="H68" s="162"/>
      <c r="I68" s="162">
        <v>2</v>
      </c>
      <c r="J68" s="162"/>
      <c r="K68" s="162"/>
      <c r="L68" s="162"/>
      <c r="M68" s="162"/>
      <c r="N68" s="162"/>
      <c r="O68" s="162">
        <v>1</v>
      </c>
      <c r="P68" s="162"/>
      <c r="Q68" s="162">
        <v>1</v>
      </c>
      <c r="R68" s="162">
        <v>1</v>
      </c>
      <c r="S68" s="162">
        <v>1</v>
      </c>
      <c r="T68" s="162"/>
      <c r="U68" s="162"/>
      <c r="V68" s="162"/>
      <c r="W68" s="162">
        <v>1</v>
      </c>
      <c r="X68" s="162"/>
      <c r="Y68" s="162"/>
      <c r="Z68" s="162"/>
      <c r="AA68" s="162"/>
      <c r="AB68" s="162"/>
      <c r="AC68" s="162">
        <v>1</v>
      </c>
      <c r="AD68" s="162"/>
      <c r="AE68" s="162"/>
      <c r="AF68" s="161"/>
      <c r="AG68" s="64">
        <f t="shared" si="5"/>
        <v>9</v>
      </c>
    </row>
    <row r="69" spans="1:33" ht="18.75" x14ac:dyDescent="0.25">
      <c r="A69" s="301" t="s">
        <v>129</v>
      </c>
      <c r="B69" s="249"/>
      <c r="C69" s="162"/>
      <c r="D69" s="162"/>
      <c r="E69" s="162"/>
      <c r="F69" s="162"/>
      <c r="G69" s="162"/>
      <c r="H69" s="162"/>
      <c r="I69" s="162"/>
      <c r="J69" s="162"/>
      <c r="K69" s="162">
        <v>1</v>
      </c>
      <c r="L69" s="162"/>
      <c r="M69" s="162"/>
      <c r="N69" s="162"/>
      <c r="O69" s="162"/>
      <c r="P69" s="162"/>
      <c r="Q69" s="162"/>
      <c r="R69" s="162"/>
      <c r="S69" s="162"/>
      <c r="T69" s="162"/>
      <c r="U69" s="162"/>
      <c r="V69" s="162"/>
      <c r="W69" s="162"/>
      <c r="X69" s="162"/>
      <c r="Y69" s="162"/>
      <c r="Z69" s="162"/>
      <c r="AA69" s="162"/>
      <c r="AB69" s="162"/>
      <c r="AC69" s="162">
        <v>1</v>
      </c>
      <c r="AD69" s="162">
        <v>1</v>
      </c>
      <c r="AE69" s="162"/>
      <c r="AF69" s="161"/>
      <c r="AG69" s="64">
        <f t="shared" si="5"/>
        <v>3</v>
      </c>
    </row>
    <row r="70" spans="1:33" ht="18.75" x14ac:dyDescent="0.25">
      <c r="A70" s="301" t="s">
        <v>128</v>
      </c>
      <c r="B70" s="248"/>
      <c r="C70" s="199"/>
      <c r="D70" s="162"/>
      <c r="E70" s="199"/>
      <c r="F70" s="199"/>
      <c r="G70" s="162"/>
      <c r="H70" s="199"/>
      <c r="I70" s="162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199"/>
      <c r="W70" s="199"/>
      <c r="X70" s="199"/>
      <c r="Y70" s="199"/>
      <c r="Z70" s="199"/>
      <c r="AA70" s="199"/>
      <c r="AB70" s="199"/>
      <c r="AC70" s="199"/>
      <c r="AD70" s="199"/>
      <c r="AE70" s="199"/>
      <c r="AF70" s="206"/>
      <c r="AG70" s="64">
        <f t="shared" si="5"/>
        <v>0</v>
      </c>
    </row>
    <row r="71" spans="1:33" ht="18.75" x14ac:dyDescent="0.25">
      <c r="A71" s="301" t="s">
        <v>127</v>
      </c>
      <c r="B71" s="248"/>
      <c r="C71" s="199"/>
      <c r="D71" s="162"/>
      <c r="E71" s="199"/>
      <c r="F71" s="199"/>
      <c r="G71" s="162"/>
      <c r="H71" s="199"/>
      <c r="I71" s="162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9"/>
      <c r="X71" s="199"/>
      <c r="Y71" s="199"/>
      <c r="Z71" s="199"/>
      <c r="AA71" s="199"/>
      <c r="AB71" s="199"/>
      <c r="AC71" s="199"/>
      <c r="AD71" s="199"/>
      <c r="AE71" s="199"/>
      <c r="AF71" s="206"/>
      <c r="AG71" s="64">
        <f t="shared" si="5"/>
        <v>0</v>
      </c>
    </row>
    <row r="72" spans="1:33" ht="18.75" x14ac:dyDescent="0.25">
      <c r="A72" s="301" t="s">
        <v>126</v>
      </c>
      <c r="B72" s="248"/>
      <c r="C72" s="199"/>
      <c r="D72" s="162"/>
      <c r="E72" s="199"/>
      <c r="F72" s="199"/>
      <c r="G72" s="162"/>
      <c r="H72" s="199"/>
      <c r="I72" s="162"/>
      <c r="J72" s="199"/>
      <c r="K72" s="199"/>
      <c r="L72" s="199"/>
      <c r="M72" s="199"/>
      <c r="N72" s="199">
        <v>1</v>
      </c>
      <c r="O72" s="199"/>
      <c r="P72" s="199"/>
      <c r="Q72" s="199"/>
      <c r="R72" s="199">
        <v>1</v>
      </c>
      <c r="S72" s="199"/>
      <c r="T72" s="199"/>
      <c r="U72" s="199"/>
      <c r="V72" s="199"/>
      <c r="W72" s="199"/>
      <c r="X72" s="199"/>
      <c r="Y72" s="199"/>
      <c r="Z72" s="199"/>
      <c r="AA72" s="199"/>
      <c r="AB72" s="199"/>
      <c r="AC72" s="199"/>
      <c r="AD72" s="199"/>
      <c r="AE72" s="199"/>
      <c r="AF72" s="206"/>
      <c r="AG72" s="64">
        <f t="shared" si="5"/>
        <v>2</v>
      </c>
    </row>
    <row r="73" spans="1:33" ht="18.75" x14ac:dyDescent="0.25">
      <c r="A73" s="301" t="s">
        <v>125</v>
      </c>
      <c r="B73" s="248"/>
      <c r="C73" s="199"/>
      <c r="D73" s="162"/>
      <c r="E73" s="199"/>
      <c r="F73" s="199"/>
      <c r="G73" s="162"/>
      <c r="H73" s="199"/>
      <c r="I73" s="162"/>
      <c r="J73" s="199"/>
      <c r="K73" s="199"/>
      <c r="L73" s="199"/>
      <c r="M73" s="199"/>
      <c r="N73" s="199"/>
      <c r="O73" s="199"/>
      <c r="P73" s="199"/>
      <c r="Q73" s="199"/>
      <c r="R73" s="199">
        <v>1</v>
      </c>
      <c r="S73" s="199"/>
      <c r="T73" s="199"/>
      <c r="U73" s="199"/>
      <c r="V73" s="199"/>
      <c r="W73" s="199">
        <v>1</v>
      </c>
      <c r="X73" s="199"/>
      <c r="Y73" s="199"/>
      <c r="Z73" s="199"/>
      <c r="AA73" s="199"/>
      <c r="AB73" s="199"/>
      <c r="AC73" s="199"/>
      <c r="AD73" s="199"/>
      <c r="AE73" s="199"/>
      <c r="AF73" s="206"/>
      <c r="AG73" s="64">
        <f t="shared" si="5"/>
        <v>2</v>
      </c>
    </row>
    <row r="74" spans="1:33" ht="18.75" x14ac:dyDescent="0.25">
      <c r="A74" s="301" t="s">
        <v>124</v>
      </c>
      <c r="B74" s="248"/>
      <c r="C74" s="199"/>
      <c r="D74" s="162"/>
      <c r="E74" s="199"/>
      <c r="F74" s="199"/>
      <c r="G74" s="162"/>
      <c r="H74" s="199"/>
      <c r="I74" s="162"/>
      <c r="J74" s="199"/>
      <c r="K74" s="199"/>
      <c r="L74" s="199"/>
      <c r="M74" s="199"/>
      <c r="N74" s="199"/>
      <c r="O74" s="199"/>
      <c r="P74" s="199"/>
      <c r="Q74" s="199"/>
      <c r="R74" s="199"/>
      <c r="S74" s="199">
        <v>1</v>
      </c>
      <c r="T74" s="199"/>
      <c r="U74" s="199"/>
      <c r="V74" s="199"/>
      <c r="W74" s="199"/>
      <c r="X74" s="199"/>
      <c r="Y74" s="199"/>
      <c r="Z74" s="199"/>
      <c r="AA74" s="199"/>
      <c r="AB74" s="199"/>
      <c r="AC74" s="199"/>
      <c r="AD74" s="199"/>
      <c r="AE74" s="199"/>
      <c r="AF74" s="206"/>
      <c r="AG74" s="64">
        <f t="shared" si="5"/>
        <v>1</v>
      </c>
    </row>
    <row r="75" spans="1:33" ht="18.75" x14ac:dyDescent="0.25">
      <c r="A75" s="301" t="s">
        <v>123</v>
      </c>
      <c r="B75" s="248"/>
      <c r="C75" s="199"/>
      <c r="D75" s="162"/>
      <c r="E75" s="199"/>
      <c r="F75" s="199"/>
      <c r="G75" s="162"/>
      <c r="H75" s="199"/>
      <c r="I75" s="162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9"/>
      <c r="Y75" s="199"/>
      <c r="Z75" s="199"/>
      <c r="AA75" s="199"/>
      <c r="AB75" s="199"/>
      <c r="AC75" s="199"/>
      <c r="AD75" s="199"/>
      <c r="AE75" s="199"/>
      <c r="AF75" s="206"/>
      <c r="AG75" s="64">
        <f t="shared" si="5"/>
        <v>0</v>
      </c>
    </row>
    <row r="76" spans="1:33" ht="18.75" x14ac:dyDescent="0.25">
      <c r="A76" s="301" t="s">
        <v>122</v>
      </c>
      <c r="B76" s="248"/>
      <c r="C76" s="199"/>
      <c r="D76" s="162"/>
      <c r="E76" s="199"/>
      <c r="F76" s="199"/>
      <c r="G76" s="162"/>
      <c r="H76" s="199"/>
      <c r="I76" s="162"/>
      <c r="J76" s="199"/>
      <c r="K76" s="199"/>
      <c r="L76" s="199"/>
      <c r="M76" s="199">
        <v>1</v>
      </c>
      <c r="N76" s="199"/>
      <c r="O76" s="199"/>
      <c r="P76" s="199"/>
      <c r="Q76" s="199"/>
      <c r="R76" s="199"/>
      <c r="S76" s="199"/>
      <c r="T76" s="199"/>
      <c r="U76" s="199"/>
      <c r="V76" s="199"/>
      <c r="W76" s="199"/>
      <c r="X76" s="199"/>
      <c r="Y76" s="199"/>
      <c r="Z76" s="199"/>
      <c r="AA76" s="199"/>
      <c r="AB76" s="199"/>
      <c r="AC76" s="199"/>
      <c r="AD76" s="199"/>
      <c r="AE76" s="199"/>
      <c r="AF76" s="206"/>
      <c r="AG76" s="64">
        <f t="shared" si="5"/>
        <v>1</v>
      </c>
    </row>
    <row r="77" spans="1:33" ht="19.5" thickBot="1" x14ac:dyDescent="0.3">
      <c r="A77" s="305" t="s">
        <v>121</v>
      </c>
      <c r="B77" s="253"/>
      <c r="C77" s="184"/>
      <c r="D77" s="181"/>
      <c r="E77" s="184"/>
      <c r="F77" s="184"/>
      <c r="G77" s="181"/>
      <c r="H77" s="184"/>
      <c r="I77" s="181"/>
      <c r="J77" s="184"/>
      <c r="K77" s="184"/>
      <c r="L77" s="184"/>
      <c r="M77" s="184"/>
      <c r="N77" s="184"/>
      <c r="O77" s="184"/>
      <c r="P77" s="184"/>
      <c r="Q77" s="184"/>
      <c r="R77" s="184"/>
      <c r="S77" s="184"/>
      <c r="T77" s="184"/>
      <c r="U77" s="184"/>
      <c r="V77" s="184"/>
      <c r="W77" s="184"/>
      <c r="X77" s="184"/>
      <c r="Y77" s="184"/>
      <c r="Z77" s="184"/>
      <c r="AA77" s="184"/>
      <c r="AB77" s="184"/>
      <c r="AC77" s="184"/>
      <c r="AD77" s="184"/>
      <c r="AE77" s="184"/>
      <c r="AF77" s="183"/>
      <c r="AG77" s="160">
        <f t="shared" si="5"/>
        <v>0</v>
      </c>
    </row>
    <row r="78" spans="1:33" ht="19.5" hidden="1" customHeight="1" thickBot="1" x14ac:dyDescent="0.3">
      <c r="A78" s="306" t="s">
        <v>120</v>
      </c>
      <c r="B78" s="254">
        <f t="shared" ref="B78:AF78" si="6">SUM(B79:B80)</f>
        <v>152</v>
      </c>
      <c r="C78" s="204">
        <f t="shared" si="6"/>
        <v>144</v>
      </c>
      <c r="D78" s="204">
        <f t="shared" si="6"/>
        <v>172</v>
      </c>
      <c r="E78" s="201">
        <f t="shared" si="6"/>
        <v>177</v>
      </c>
      <c r="F78" s="201">
        <f t="shared" si="6"/>
        <v>149</v>
      </c>
      <c r="G78" s="201">
        <f t="shared" si="6"/>
        <v>153</v>
      </c>
      <c r="H78" s="201">
        <f t="shared" si="6"/>
        <v>179</v>
      </c>
      <c r="I78" s="201">
        <f t="shared" si="6"/>
        <v>149</v>
      </c>
      <c r="J78" s="201">
        <f t="shared" si="6"/>
        <v>143</v>
      </c>
      <c r="K78" s="201">
        <f t="shared" si="6"/>
        <v>150</v>
      </c>
      <c r="L78" s="201">
        <f t="shared" si="6"/>
        <v>142</v>
      </c>
      <c r="M78" s="201">
        <f t="shared" si="6"/>
        <v>178</v>
      </c>
      <c r="N78" s="201">
        <f t="shared" si="6"/>
        <v>157</v>
      </c>
      <c r="O78" s="201">
        <f t="shared" si="6"/>
        <v>178</v>
      </c>
      <c r="P78" s="201">
        <f t="shared" si="6"/>
        <v>118</v>
      </c>
      <c r="Q78" s="201">
        <f t="shared" si="6"/>
        <v>152</v>
      </c>
      <c r="R78" s="201">
        <f t="shared" si="6"/>
        <v>137</v>
      </c>
      <c r="S78" s="201">
        <f t="shared" si="6"/>
        <v>127</v>
      </c>
      <c r="T78" s="201">
        <f t="shared" si="6"/>
        <v>152</v>
      </c>
      <c r="U78" s="201">
        <f t="shared" si="6"/>
        <v>132</v>
      </c>
      <c r="V78" s="201">
        <f t="shared" si="6"/>
        <v>159</v>
      </c>
      <c r="W78" s="201">
        <f t="shared" si="6"/>
        <v>187</v>
      </c>
      <c r="X78" s="201">
        <f t="shared" si="6"/>
        <v>157</v>
      </c>
      <c r="Y78" s="201">
        <f t="shared" si="6"/>
        <v>130</v>
      </c>
      <c r="Z78" s="201">
        <f t="shared" si="6"/>
        <v>149</v>
      </c>
      <c r="AA78" s="201">
        <f t="shared" si="6"/>
        <v>147</v>
      </c>
      <c r="AB78" s="201">
        <f t="shared" si="6"/>
        <v>125</v>
      </c>
      <c r="AC78" s="201">
        <f t="shared" si="6"/>
        <v>146</v>
      </c>
      <c r="AD78" s="201">
        <f t="shared" si="6"/>
        <v>162</v>
      </c>
      <c r="AE78" s="201">
        <f t="shared" si="6"/>
        <v>127</v>
      </c>
      <c r="AF78" s="203">
        <f t="shared" si="6"/>
        <v>0</v>
      </c>
      <c r="AG78" s="157">
        <f t="shared" si="5"/>
        <v>4530</v>
      </c>
    </row>
    <row r="79" spans="1:33" ht="19.5" hidden="1" customHeight="1" thickBot="1" x14ac:dyDescent="0.3">
      <c r="A79" s="307" t="s">
        <v>118</v>
      </c>
      <c r="B79" s="248">
        <f t="shared" ref="B79:AF79" si="7">SUM(B4:B27)-B80</f>
        <v>152</v>
      </c>
      <c r="C79" s="199">
        <f t="shared" si="7"/>
        <v>144</v>
      </c>
      <c r="D79" s="199">
        <f t="shared" si="7"/>
        <v>172</v>
      </c>
      <c r="E79" s="199">
        <f t="shared" si="7"/>
        <v>177</v>
      </c>
      <c r="F79" s="199">
        <f t="shared" si="7"/>
        <v>62</v>
      </c>
      <c r="G79" s="199">
        <f t="shared" si="7"/>
        <v>70</v>
      </c>
      <c r="H79" s="199">
        <f t="shared" si="7"/>
        <v>116</v>
      </c>
      <c r="I79" s="199">
        <f t="shared" si="7"/>
        <v>149</v>
      </c>
      <c r="J79" s="199">
        <f t="shared" si="7"/>
        <v>143</v>
      </c>
      <c r="K79" s="199">
        <f t="shared" si="7"/>
        <v>150</v>
      </c>
      <c r="L79" s="199">
        <f t="shared" si="7"/>
        <v>142</v>
      </c>
      <c r="M79" s="199">
        <f t="shared" si="7"/>
        <v>72</v>
      </c>
      <c r="N79" s="199">
        <f t="shared" si="7"/>
        <v>65</v>
      </c>
      <c r="O79" s="199">
        <f t="shared" si="7"/>
        <v>119</v>
      </c>
      <c r="P79" s="199">
        <f t="shared" si="7"/>
        <v>118</v>
      </c>
      <c r="Q79" s="199">
        <f t="shared" si="7"/>
        <v>152</v>
      </c>
      <c r="R79" s="199">
        <f t="shared" si="7"/>
        <v>94</v>
      </c>
      <c r="S79" s="199">
        <f t="shared" si="7"/>
        <v>90</v>
      </c>
      <c r="T79" s="199">
        <f t="shared" si="7"/>
        <v>67</v>
      </c>
      <c r="U79" s="199">
        <f t="shared" si="7"/>
        <v>63</v>
      </c>
      <c r="V79" s="199">
        <f t="shared" si="7"/>
        <v>66</v>
      </c>
      <c r="W79" s="199">
        <f t="shared" si="7"/>
        <v>187</v>
      </c>
      <c r="X79" s="199">
        <f t="shared" si="7"/>
        <v>157</v>
      </c>
      <c r="Y79" s="199">
        <f t="shared" si="7"/>
        <v>82</v>
      </c>
      <c r="Z79" s="199">
        <f t="shared" si="7"/>
        <v>149</v>
      </c>
      <c r="AA79" s="199">
        <f t="shared" si="7"/>
        <v>66</v>
      </c>
      <c r="AB79" s="199">
        <f t="shared" si="7"/>
        <v>55</v>
      </c>
      <c r="AC79" s="199">
        <f t="shared" si="7"/>
        <v>67</v>
      </c>
      <c r="AD79" s="199">
        <f t="shared" si="7"/>
        <v>162</v>
      </c>
      <c r="AE79" s="199">
        <f t="shared" si="7"/>
        <v>127</v>
      </c>
      <c r="AF79" s="199">
        <f t="shared" si="7"/>
        <v>0</v>
      </c>
      <c r="AG79" s="134">
        <f t="shared" si="5"/>
        <v>3435</v>
      </c>
    </row>
    <row r="80" spans="1:33" ht="19.5" hidden="1" customHeight="1" thickBot="1" x14ac:dyDescent="0.3">
      <c r="A80" s="308" t="s">
        <v>119</v>
      </c>
      <c r="B80" s="255"/>
      <c r="C80" s="169"/>
      <c r="D80" s="181">
        <v>0</v>
      </c>
      <c r="E80" s="181">
        <v>0</v>
      </c>
      <c r="F80" s="181">
        <f>SUM(F4:F12)</f>
        <v>87</v>
      </c>
      <c r="G80" s="181">
        <f>SUM(G4:G12)</f>
        <v>83</v>
      </c>
      <c r="H80" s="181">
        <f>SUM(H4:H12)</f>
        <v>63</v>
      </c>
      <c r="I80" s="169"/>
      <c r="J80" s="169"/>
      <c r="K80" s="181">
        <v>0</v>
      </c>
      <c r="L80" s="181">
        <v>0</v>
      </c>
      <c r="M80" s="181">
        <f>SUM(M4:M12)</f>
        <v>106</v>
      </c>
      <c r="N80" s="181">
        <f>SUM(N4:N12)</f>
        <v>92</v>
      </c>
      <c r="O80" s="181">
        <f>SUM(O4:O12)</f>
        <v>59</v>
      </c>
      <c r="P80" s="169"/>
      <c r="Q80" s="169"/>
      <c r="R80" s="181">
        <f>SUM(R4:R12)</f>
        <v>43</v>
      </c>
      <c r="S80" s="181">
        <f>SUM(S4:S12)</f>
        <v>37</v>
      </c>
      <c r="T80" s="181">
        <f>SUM(T4:T12)</f>
        <v>85</v>
      </c>
      <c r="U80" s="181">
        <f>SUM(U4:U12)</f>
        <v>69</v>
      </c>
      <c r="V80" s="181">
        <f>SUM(V4:V12)</f>
        <v>93</v>
      </c>
      <c r="W80" s="169"/>
      <c r="X80" s="169"/>
      <c r="Y80" s="181">
        <f>SUM(Y4:Y12)</f>
        <v>48</v>
      </c>
      <c r="Z80" s="169"/>
      <c r="AA80" s="181">
        <f>SUM(AA4:AA12)</f>
        <v>81</v>
      </c>
      <c r="AB80" s="181">
        <f>SUM(AB4:AB12)</f>
        <v>70</v>
      </c>
      <c r="AC80" s="181">
        <f>SUM(AC4:AC12)</f>
        <v>79</v>
      </c>
      <c r="AD80" s="169"/>
      <c r="AE80" s="169"/>
      <c r="AF80" s="181">
        <f>SUM(AF4:AF12)</f>
        <v>0</v>
      </c>
      <c r="AG80" s="160">
        <f t="shared" si="5"/>
        <v>1095</v>
      </c>
    </row>
    <row r="81" spans="1:35" ht="19.5" thickBot="1" x14ac:dyDescent="0.3">
      <c r="A81" s="306" t="s">
        <v>84</v>
      </c>
      <c r="B81" s="256">
        <f t="shared" ref="B81:AF81" si="8">SUM(B82:B83)</f>
        <v>7</v>
      </c>
      <c r="C81" s="201">
        <f t="shared" si="8"/>
        <v>7</v>
      </c>
      <c r="D81" s="201">
        <f t="shared" si="8"/>
        <v>3</v>
      </c>
      <c r="E81" s="201">
        <f t="shared" si="8"/>
        <v>13</v>
      </c>
      <c r="F81" s="201">
        <f t="shared" si="8"/>
        <v>5</v>
      </c>
      <c r="G81" s="201">
        <f t="shared" si="8"/>
        <v>4</v>
      </c>
      <c r="H81" s="201">
        <f t="shared" si="8"/>
        <v>15</v>
      </c>
      <c r="I81" s="201">
        <f t="shared" si="8"/>
        <v>10</v>
      </c>
      <c r="J81" s="201">
        <f t="shared" si="8"/>
        <v>4</v>
      </c>
      <c r="K81" s="201">
        <f t="shared" si="8"/>
        <v>4</v>
      </c>
      <c r="L81" s="201">
        <f t="shared" si="8"/>
        <v>8</v>
      </c>
      <c r="M81" s="201">
        <f t="shared" si="8"/>
        <v>6</v>
      </c>
      <c r="N81" s="201">
        <f t="shared" si="8"/>
        <v>3</v>
      </c>
      <c r="O81" s="201">
        <f t="shared" si="8"/>
        <v>16</v>
      </c>
      <c r="P81" s="201">
        <f t="shared" si="8"/>
        <v>3</v>
      </c>
      <c r="Q81" s="201">
        <f t="shared" si="8"/>
        <v>6</v>
      </c>
      <c r="R81" s="201">
        <f t="shared" si="8"/>
        <v>5</v>
      </c>
      <c r="S81" s="201">
        <f t="shared" si="8"/>
        <v>3</v>
      </c>
      <c r="T81" s="201">
        <f t="shared" si="8"/>
        <v>1</v>
      </c>
      <c r="U81" s="201">
        <f t="shared" si="8"/>
        <v>2</v>
      </c>
      <c r="V81" s="201">
        <f t="shared" si="8"/>
        <v>4</v>
      </c>
      <c r="W81" s="201">
        <f t="shared" si="8"/>
        <v>15</v>
      </c>
      <c r="X81" s="201">
        <f t="shared" si="8"/>
        <v>7</v>
      </c>
      <c r="Y81" s="201">
        <f t="shared" si="8"/>
        <v>2</v>
      </c>
      <c r="Z81" s="201">
        <f t="shared" si="8"/>
        <v>12</v>
      </c>
      <c r="AA81" s="201">
        <f t="shared" si="8"/>
        <v>1</v>
      </c>
      <c r="AB81" s="201">
        <f t="shared" si="8"/>
        <v>2</v>
      </c>
      <c r="AC81" s="201">
        <f t="shared" si="8"/>
        <v>2</v>
      </c>
      <c r="AD81" s="201">
        <f t="shared" si="8"/>
        <v>8</v>
      </c>
      <c r="AE81" s="201">
        <f t="shared" si="8"/>
        <v>4</v>
      </c>
      <c r="AF81" s="201">
        <f t="shared" si="8"/>
        <v>0</v>
      </c>
      <c r="AG81" s="157">
        <f t="shared" si="5"/>
        <v>182</v>
      </c>
      <c r="AH81" s="53" t="str">
        <f>IF(AG81&lt;&gt;AG53,"*","")</f>
        <v/>
      </c>
    </row>
    <row r="82" spans="1:35" ht="18.75" x14ac:dyDescent="0.25">
      <c r="A82" s="307" t="s">
        <v>119</v>
      </c>
      <c r="B82" s="248">
        <f t="shared" ref="B82:AF82" si="9">SUM(B54:B62)</f>
        <v>0</v>
      </c>
      <c r="C82" s="199">
        <f t="shared" si="9"/>
        <v>3</v>
      </c>
      <c r="D82" s="199">
        <f t="shared" si="9"/>
        <v>2</v>
      </c>
      <c r="E82" s="199">
        <f t="shared" si="9"/>
        <v>5</v>
      </c>
      <c r="F82" s="218"/>
      <c r="G82" s="218"/>
      <c r="H82" s="199">
        <f t="shared" si="9"/>
        <v>10</v>
      </c>
      <c r="I82" s="199">
        <f t="shared" si="9"/>
        <v>2</v>
      </c>
      <c r="J82" s="199">
        <f t="shared" si="9"/>
        <v>0</v>
      </c>
      <c r="K82" s="199">
        <f t="shared" si="9"/>
        <v>1</v>
      </c>
      <c r="L82" s="199">
        <f t="shared" si="9"/>
        <v>3</v>
      </c>
      <c r="M82" s="218"/>
      <c r="N82" s="218"/>
      <c r="O82" s="199">
        <f t="shared" si="9"/>
        <v>1</v>
      </c>
      <c r="P82" s="199">
        <f t="shared" si="9"/>
        <v>1</v>
      </c>
      <c r="Q82" s="199">
        <f t="shared" si="9"/>
        <v>2</v>
      </c>
      <c r="R82" s="199">
        <f t="shared" si="9"/>
        <v>0</v>
      </c>
      <c r="S82" s="199">
        <f t="shared" si="9"/>
        <v>0</v>
      </c>
      <c r="T82" s="218"/>
      <c r="U82" s="218"/>
      <c r="V82" s="199">
        <f t="shared" si="9"/>
        <v>3</v>
      </c>
      <c r="W82" s="199">
        <f t="shared" si="9"/>
        <v>5</v>
      </c>
      <c r="X82" s="199">
        <f t="shared" si="9"/>
        <v>0</v>
      </c>
      <c r="Y82" s="199">
        <f t="shared" si="9"/>
        <v>1</v>
      </c>
      <c r="Z82" s="199">
        <f t="shared" si="9"/>
        <v>2</v>
      </c>
      <c r="AA82" s="218"/>
      <c r="AB82" s="218"/>
      <c r="AC82" s="218"/>
      <c r="AD82" s="199">
        <f t="shared" si="9"/>
        <v>0</v>
      </c>
      <c r="AE82" s="199">
        <f t="shared" si="9"/>
        <v>1</v>
      </c>
      <c r="AF82" s="199">
        <f t="shared" si="9"/>
        <v>0</v>
      </c>
      <c r="AG82" s="134">
        <f t="shared" si="5"/>
        <v>42</v>
      </c>
    </row>
    <row r="83" spans="1:35" ht="19.5" thickBot="1" x14ac:dyDescent="0.3">
      <c r="A83" s="308" t="s">
        <v>118</v>
      </c>
      <c r="B83" s="252">
        <f t="shared" ref="B83:AF83" si="10">SUM(B54:B77)-B82</f>
        <v>7</v>
      </c>
      <c r="C83" s="181">
        <f t="shared" si="10"/>
        <v>4</v>
      </c>
      <c r="D83" s="181">
        <f t="shared" si="10"/>
        <v>1</v>
      </c>
      <c r="E83" s="181">
        <f t="shared" si="10"/>
        <v>8</v>
      </c>
      <c r="F83" s="181">
        <f t="shared" si="10"/>
        <v>5</v>
      </c>
      <c r="G83" s="181">
        <f t="shared" si="10"/>
        <v>4</v>
      </c>
      <c r="H83" s="181">
        <f t="shared" si="10"/>
        <v>5</v>
      </c>
      <c r="I83" s="181">
        <f t="shared" si="10"/>
        <v>8</v>
      </c>
      <c r="J83" s="181">
        <f t="shared" si="10"/>
        <v>4</v>
      </c>
      <c r="K83" s="181">
        <f t="shared" si="10"/>
        <v>3</v>
      </c>
      <c r="L83" s="181">
        <f t="shared" si="10"/>
        <v>5</v>
      </c>
      <c r="M83" s="181">
        <f t="shared" si="10"/>
        <v>6</v>
      </c>
      <c r="N83" s="181">
        <f t="shared" si="10"/>
        <v>3</v>
      </c>
      <c r="O83" s="181">
        <f t="shared" si="10"/>
        <v>15</v>
      </c>
      <c r="P83" s="181">
        <f t="shared" si="10"/>
        <v>2</v>
      </c>
      <c r="Q83" s="181">
        <f t="shared" si="10"/>
        <v>4</v>
      </c>
      <c r="R83" s="181">
        <f t="shared" si="10"/>
        <v>5</v>
      </c>
      <c r="S83" s="181">
        <f t="shared" si="10"/>
        <v>3</v>
      </c>
      <c r="T83" s="181">
        <f t="shared" si="10"/>
        <v>1</v>
      </c>
      <c r="U83" s="181">
        <f t="shared" si="10"/>
        <v>2</v>
      </c>
      <c r="V83" s="181">
        <f t="shared" si="10"/>
        <v>1</v>
      </c>
      <c r="W83" s="181">
        <f t="shared" si="10"/>
        <v>10</v>
      </c>
      <c r="X83" s="181">
        <f t="shared" si="10"/>
        <v>7</v>
      </c>
      <c r="Y83" s="181">
        <f t="shared" si="10"/>
        <v>1</v>
      </c>
      <c r="Z83" s="181">
        <f t="shared" si="10"/>
        <v>10</v>
      </c>
      <c r="AA83" s="181">
        <f t="shared" si="10"/>
        <v>1</v>
      </c>
      <c r="AB83" s="181">
        <f t="shared" si="10"/>
        <v>2</v>
      </c>
      <c r="AC83" s="181">
        <f t="shared" si="10"/>
        <v>2</v>
      </c>
      <c r="AD83" s="181">
        <f t="shared" si="10"/>
        <v>8</v>
      </c>
      <c r="AE83" s="181">
        <f t="shared" si="10"/>
        <v>3</v>
      </c>
      <c r="AF83" s="181">
        <f t="shared" si="10"/>
        <v>0</v>
      </c>
      <c r="AG83" s="64">
        <f t="shared" si="5"/>
        <v>140</v>
      </c>
    </row>
    <row r="84" spans="1:35" ht="19.5" thickBot="1" x14ac:dyDescent="0.3">
      <c r="A84" s="309" t="s">
        <v>117</v>
      </c>
      <c r="B84" s="257">
        <f t="shared" ref="B84:AF84" si="11">SUM(B85:B86)</f>
        <v>7</v>
      </c>
      <c r="C84" s="158">
        <f t="shared" si="11"/>
        <v>7</v>
      </c>
      <c r="D84" s="158">
        <f t="shared" si="11"/>
        <v>3</v>
      </c>
      <c r="E84" s="158">
        <f t="shared" si="11"/>
        <v>13</v>
      </c>
      <c r="F84" s="158">
        <f t="shared" si="11"/>
        <v>5</v>
      </c>
      <c r="G84" s="158">
        <f t="shared" si="11"/>
        <v>4</v>
      </c>
      <c r="H84" s="158">
        <f t="shared" si="11"/>
        <v>15</v>
      </c>
      <c r="I84" s="158">
        <f t="shared" si="11"/>
        <v>10</v>
      </c>
      <c r="J84" s="158">
        <f t="shared" si="11"/>
        <v>4</v>
      </c>
      <c r="K84" s="158">
        <f t="shared" si="11"/>
        <v>4</v>
      </c>
      <c r="L84" s="158">
        <f t="shared" si="11"/>
        <v>8</v>
      </c>
      <c r="M84" s="158">
        <f t="shared" si="11"/>
        <v>6</v>
      </c>
      <c r="N84" s="158">
        <f t="shared" si="11"/>
        <v>3</v>
      </c>
      <c r="O84" s="158">
        <f t="shared" si="11"/>
        <v>16</v>
      </c>
      <c r="P84" s="158">
        <f t="shared" si="11"/>
        <v>3</v>
      </c>
      <c r="Q84" s="158">
        <f t="shared" si="11"/>
        <v>6</v>
      </c>
      <c r="R84" s="158">
        <f t="shared" si="11"/>
        <v>5</v>
      </c>
      <c r="S84" s="158">
        <f t="shared" si="11"/>
        <v>3</v>
      </c>
      <c r="T84" s="158">
        <f t="shared" si="11"/>
        <v>1</v>
      </c>
      <c r="U84" s="158">
        <f t="shared" si="11"/>
        <v>2</v>
      </c>
      <c r="V84" s="158">
        <f t="shared" si="11"/>
        <v>4</v>
      </c>
      <c r="W84" s="158">
        <f t="shared" si="11"/>
        <v>15</v>
      </c>
      <c r="X84" s="158">
        <f t="shared" si="11"/>
        <v>7</v>
      </c>
      <c r="Y84" s="158">
        <f t="shared" si="11"/>
        <v>2</v>
      </c>
      <c r="Z84" s="158">
        <f t="shared" si="11"/>
        <v>12</v>
      </c>
      <c r="AA84" s="158">
        <f t="shared" si="11"/>
        <v>1</v>
      </c>
      <c r="AB84" s="158">
        <f t="shared" si="11"/>
        <v>2</v>
      </c>
      <c r="AC84" s="158">
        <f t="shared" si="11"/>
        <v>2</v>
      </c>
      <c r="AD84" s="158">
        <f t="shared" si="11"/>
        <v>8</v>
      </c>
      <c r="AE84" s="158">
        <f t="shared" si="11"/>
        <v>4</v>
      </c>
      <c r="AF84" s="158">
        <f t="shared" si="11"/>
        <v>0</v>
      </c>
      <c r="AG84" s="197">
        <f t="shared" si="5"/>
        <v>182</v>
      </c>
      <c r="AH84" s="53" t="str">
        <f>IF(AG84&lt;&gt;AG82+AG83,"*","")</f>
        <v/>
      </c>
      <c r="AI84" s="403" t="s">
        <v>71</v>
      </c>
    </row>
    <row r="85" spans="1:35" ht="18.75" x14ac:dyDescent="0.25">
      <c r="A85" s="310" t="s">
        <v>116</v>
      </c>
      <c r="B85" s="258">
        <v>0</v>
      </c>
      <c r="C85" s="195">
        <v>1</v>
      </c>
      <c r="D85" s="195">
        <v>1</v>
      </c>
      <c r="E85" s="195">
        <v>0</v>
      </c>
      <c r="F85" s="195">
        <v>1</v>
      </c>
      <c r="G85" s="195">
        <v>2</v>
      </c>
      <c r="H85" s="195">
        <v>0</v>
      </c>
      <c r="I85" s="195">
        <v>1</v>
      </c>
      <c r="J85" s="195">
        <v>0</v>
      </c>
      <c r="K85" s="195">
        <v>0</v>
      </c>
      <c r="L85" s="195">
        <v>2</v>
      </c>
      <c r="M85" s="195">
        <v>0</v>
      </c>
      <c r="N85" s="195">
        <v>0</v>
      </c>
      <c r="O85" s="195">
        <v>1</v>
      </c>
      <c r="P85" s="195">
        <v>0</v>
      </c>
      <c r="Q85" s="195">
        <v>0</v>
      </c>
      <c r="R85" s="195">
        <v>0</v>
      </c>
      <c r="S85" s="195">
        <v>0</v>
      </c>
      <c r="T85" s="195">
        <v>0</v>
      </c>
      <c r="U85" s="195">
        <v>0</v>
      </c>
      <c r="V85" s="195">
        <v>0</v>
      </c>
      <c r="W85" s="195">
        <v>2</v>
      </c>
      <c r="X85" s="195">
        <v>1</v>
      </c>
      <c r="Y85" s="195">
        <v>0</v>
      </c>
      <c r="Z85" s="195">
        <v>1</v>
      </c>
      <c r="AA85" s="195">
        <v>0</v>
      </c>
      <c r="AB85" s="195">
        <v>0</v>
      </c>
      <c r="AC85" s="195">
        <v>0</v>
      </c>
      <c r="AD85" s="195">
        <v>2</v>
      </c>
      <c r="AE85" s="195">
        <v>0</v>
      </c>
      <c r="AF85" s="194"/>
      <c r="AG85" s="193">
        <f t="shared" si="5"/>
        <v>15</v>
      </c>
      <c r="AI85" s="404"/>
    </row>
    <row r="86" spans="1:35" ht="19.5" thickBot="1" x14ac:dyDescent="0.3">
      <c r="A86" s="311" t="s">
        <v>115</v>
      </c>
      <c r="B86" s="259">
        <v>7</v>
      </c>
      <c r="C86" s="191">
        <v>6</v>
      </c>
      <c r="D86" s="191">
        <v>2</v>
      </c>
      <c r="E86" s="191">
        <v>13</v>
      </c>
      <c r="F86" s="191">
        <v>4</v>
      </c>
      <c r="G86" s="191">
        <v>2</v>
      </c>
      <c r="H86" s="191">
        <v>15</v>
      </c>
      <c r="I86" s="191">
        <v>9</v>
      </c>
      <c r="J86" s="191">
        <v>4</v>
      </c>
      <c r="K86" s="191">
        <v>4</v>
      </c>
      <c r="L86" s="191">
        <v>6</v>
      </c>
      <c r="M86" s="191">
        <v>6</v>
      </c>
      <c r="N86" s="191">
        <v>3</v>
      </c>
      <c r="O86" s="191">
        <v>15</v>
      </c>
      <c r="P86" s="191">
        <v>3</v>
      </c>
      <c r="Q86" s="191">
        <v>6</v>
      </c>
      <c r="R86" s="191">
        <v>5</v>
      </c>
      <c r="S86" s="191">
        <v>3</v>
      </c>
      <c r="T86" s="191">
        <v>1</v>
      </c>
      <c r="U86" s="191">
        <v>2</v>
      </c>
      <c r="V86" s="191">
        <v>4</v>
      </c>
      <c r="W86" s="191">
        <v>13</v>
      </c>
      <c r="X86" s="191">
        <v>6</v>
      </c>
      <c r="Y86" s="191">
        <v>2</v>
      </c>
      <c r="Z86" s="191">
        <v>11</v>
      </c>
      <c r="AA86" s="191">
        <v>1</v>
      </c>
      <c r="AB86" s="191">
        <v>2</v>
      </c>
      <c r="AC86" s="191">
        <v>2</v>
      </c>
      <c r="AD86" s="191">
        <v>6</v>
      </c>
      <c r="AE86" s="191">
        <v>4</v>
      </c>
      <c r="AF86" s="190"/>
      <c r="AG86" s="189">
        <f t="shared" si="5"/>
        <v>167</v>
      </c>
      <c r="AI86" s="405"/>
    </row>
    <row r="87" spans="1:35" ht="19.5" thickBot="1" x14ac:dyDescent="0.3">
      <c r="A87" s="312" t="s">
        <v>114</v>
      </c>
      <c r="B87" s="260">
        <f t="shared" ref="B87:AF87" si="12">SUM(B88:B92)</f>
        <v>7</v>
      </c>
      <c r="C87" s="187">
        <f t="shared" si="12"/>
        <v>7</v>
      </c>
      <c r="D87" s="187">
        <f t="shared" si="12"/>
        <v>3</v>
      </c>
      <c r="E87" s="187">
        <f t="shared" si="12"/>
        <v>13</v>
      </c>
      <c r="F87" s="187">
        <f t="shared" si="12"/>
        <v>5</v>
      </c>
      <c r="G87" s="187">
        <f t="shared" si="12"/>
        <v>4</v>
      </c>
      <c r="H87" s="187">
        <f t="shared" si="12"/>
        <v>15</v>
      </c>
      <c r="I87" s="187">
        <f t="shared" si="12"/>
        <v>10</v>
      </c>
      <c r="J87" s="187">
        <f t="shared" si="12"/>
        <v>4</v>
      </c>
      <c r="K87" s="187">
        <f t="shared" si="12"/>
        <v>4</v>
      </c>
      <c r="L87" s="187">
        <f t="shared" si="12"/>
        <v>8</v>
      </c>
      <c r="M87" s="187">
        <f t="shared" si="12"/>
        <v>6</v>
      </c>
      <c r="N87" s="187">
        <f t="shared" si="12"/>
        <v>3</v>
      </c>
      <c r="O87" s="187">
        <f t="shared" si="12"/>
        <v>16</v>
      </c>
      <c r="P87" s="187">
        <f t="shared" si="12"/>
        <v>3</v>
      </c>
      <c r="Q87" s="187">
        <f t="shared" si="12"/>
        <v>6</v>
      </c>
      <c r="R87" s="187">
        <f t="shared" si="12"/>
        <v>5</v>
      </c>
      <c r="S87" s="187">
        <f t="shared" si="12"/>
        <v>3</v>
      </c>
      <c r="T87" s="187">
        <f t="shared" si="12"/>
        <v>1</v>
      </c>
      <c r="U87" s="187">
        <f t="shared" si="12"/>
        <v>2</v>
      </c>
      <c r="V87" s="187">
        <f t="shared" si="12"/>
        <v>4</v>
      </c>
      <c r="W87" s="187">
        <f t="shared" si="12"/>
        <v>15</v>
      </c>
      <c r="X87" s="187">
        <f t="shared" si="12"/>
        <v>7</v>
      </c>
      <c r="Y87" s="187">
        <f t="shared" si="12"/>
        <v>2</v>
      </c>
      <c r="Z87" s="187">
        <f t="shared" si="12"/>
        <v>12</v>
      </c>
      <c r="AA87" s="187">
        <f t="shared" si="12"/>
        <v>1</v>
      </c>
      <c r="AB87" s="187">
        <f t="shared" si="12"/>
        <v>2</v>
      </c>
      <c r="AC87" s="187">
        <f t="shared" si="12"/>
        <v>2</v>
      </c>
      <c r="AD87" s="187">
        <f t="shared" si="12"/>
        <v>8</v>
      </c>
      <c r="AE87" s="187">
        <f t="shared" si="12"/>
        <v>4</v>
      </c>
      <c r="AF87" s="187">
        <f t="shared" si="12"/>
        <v>0</v>
      </c>
      <c r="AG87" s="186">
        <f t="shared" si="5"/>
        <v>182</v>
      </c>
      <c r="AH87" s="185" t="str">
        <f>IF(AG87&lt;&gt;AG84,"*","")</f>
        <v/>
      </c>
    </row>
    <row r="88" spans="1:35" ht="18.75" x14ac:dyDescent="0.25">
      <c r="A88" s="313" t="s">
        <v>113</v>
      </c>
      <c r="B88" s="253">
        <v>3</v>
      </c>
      <c r="C88" s="184">
        <v>4</v>
      </c>
      <c r="D88" s="184">
        <v>2</v>
      </c>
      <c r="E88" s="184">
        <v>7</v>
      </c>
      <c r="F88" s="184">
        <v>4</v>
      </c>
      <c r="G88" s="184">
        <v>1</v>
      </c>
      <c r="H88" s="184">
        <v>7</v>
      </c>
      <c r="I88" s="184">
        <v>4</v>
      </c>
      <c r="J88" s="184">
        <v>3</v>
      </c>
      <c r="K88" s="184">
        <v>2</v>
      </c>
      <c r="L88" s="184">
        <v>1</v>
      </c>
      <c r="M88" s="184">
        <v>3</v>
      </c>
      <c r="N88" s="184">
        <v>1</v>
      </c>
      <c r="O88" s="184">
        <v>5</v>
      </c>
      <c r="P88" s="184">
        <v>2</v>
      </c>
      <c r="Q88" s="184">
        <v>1</v>
      </c>
      <c r="R88" s="184">
        <v>3</v>
      </c>
      <c r="S88" s="184"/>
      <c r="T88" s="184"/>
      <c r="U88" s="184">
        <v>1</v>
      </c>
      <c r="V88" s="184"/>
      <c r="W88" s="184">
        <v>4</v>
      </c>
      <c r="X88" s="184">
        <v>4</v>
      </c>
      <c r="Y88" s="184">
        <v>1</v>
      </c>
      <c r="Z88" s="184">
        <v>7</v>
      </c>
      <c r="AA88" s="184">
        <v>1</v>
      </c>
      <c r="AB88" s="184">
        <v>2</v>
      </c>
      <c r="AC88" s="184">
        <v>1</v>
      </c>
      <c r="AD88" s="184">
        <v>4</v>
      </c>
      <c r="AE88" s="184">
        <v>2</v>
      </c>
      <c r="AF88" s="183"/>
      <c r="AG88" s="134">
        <f t="shared" si="5"/>
        <v>80</v>
      </c>
    </row>
    <row r="89" spans="1:35" ht="18.75" x14ac:dyDescent="0.25">
      <c r="A89" s="314" t="s">
        <v>16</v>
      </c>
      <c r="B89" s="252"/>
      <c r="C89" s="181"/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  <c r="AA89" s="181"/>
      <c r="AB89" s="181"/>
      <c r="AC89" s="181"/>
      <c r="AD89" s="181"/>
      <c r="AE89" s="181"/>
      <c r="AF89" s="180"/>
      <c r="AG89" s="64">
        <f t="shared" si="5"/>
        <v>0</v>
      </c>
    </row>
    <row r="90" spans="1:35" ht="18.75" x14ac:dyDescent="0.25">
      <c r="A90" s="314" t="s">
        <v>15</v>
      </c>
      <c r="B90" s="252"/>
      <c r="C90" s="181"/>
      <c r="D90" s="181"/>
      <c r="E90" s="181"/>
      <c r="F90" s="181"/>
      <c r="G90" s="181"/>
      <c r="H90" s="181"/>
      <c r="I90" s="181"/>
      <c r="J90" s="181"/>
      <c r="K90" s="181"/>
      <c r="L90" s="181"/>
      <c r="M90" s="181"/>
      <c r="N90" s="181"/>
      <c r="O90" s="181"/>
      <c r="P90" s="181"/>
      <c r="Q90" s="181"/>
      <c r="R90" s="181"/>
      <c r="S90" s="181"/>
      <c r="T90" s="181"/>
      <c r="U90" s="181"/>
      <c r="V90" s="181">
        <v>1</v>
      </c>
      <c r="W90" s="181"/>
      <c r="X90" s="181"/>
      <c r="Y90" s="181"/>
      <c r="Z90" s="181"/>
      <c r="AA90" s="181"/>
      <c r="AB90" s="181"/>
      <c r="AC90" s="181"/>
      <c r="AD90" s="181"/>
      <c r="AE90" s="181"/>
      <c r="AF90" s="180"/>
      <c r="AG90" s="64">
        <f t="shared" si="5"/>
        <v>1</v>
      </c>
    </row>
    <row r="91" spans="1:35" ht="18.75" x14ac:dyDescent="0.25">
      <c r="A91" s="314" t="s">
        <v>14</v>
      </c>
      <c r="B91" s="252"/>
      <c r="C91" s="181">
        <v>3</v>
      </c>
      <c r="D91" s="181">
        <v>1</v>
      </c>
      <c r="E91" s="181">
        <v>5</v>
      </c>
      <c r="F91" s="181">
        <v>1</v>
      </c>
      <c r="G91" s="181">
        <v>3</v>
      </c>
      <c r="H91" s="181">
        <v>6</v>
      </c>
      <c r="I91" s="181">
        <v>6</v>
      </c>
      <c r="J91" s="181">
        <v>1</v>
      </c>
      <c r="K91" s="181">
        <v>2</v>
      </c>
      <c r="L91" s="181">
        <v>4</v>
      </c>
      <c r="M91" s="181">
        <v>1</v>
      </c>
      <c r="N91" s="181">
        <v>1</v>
      </c>
      <c r="O91" s="181">
        <v>4</v>
      </c>
      <c r="P91" s="181">
        <v>1</v>
      </c>
      <c r="Q91" s="181">
        <v>4</v>
      </c>
      <c r="R91" s="181"/>
      <c r="S91" s="181">
        <v>3</v>
      </c>
      <c r="T91" s="181">
        <v>1</v>
      </c>
      <c r="U91" s="181"/>
      <c r="V91" s="181">
        <v>3</v>
      </c>
      <c r="W91" s="181">
        <v>8</v>
      </c>
      <c r="X91" s="181">
        <v>2</v>
      </c>
      <c r="Y91" s="181"/>
      <c r="Z91" s="181">
        <v>5</v>
      </c>
      <c r="AA91" s="181"/>
      <c r="AB91" s="181"/>
      <c r="AC91" s="181">
        <v>1</v>
      </c>
      <c r="AD91" s="181">
        <v>2</v>
      </c>
      <c r="AE91" s="181">
        <v>1</v>
      </c>
      <c r="AF91" s="180"/>
      <c r="AG91" s="64">
        <f t="shared" si="5"/>
        <v>69</v>
      </c>
    </row>
    <row r="92" spans="1:35" ht="19.5" thickBot="1" x14ac:dyDescent="0.3">
      <c r="A92" s="314" t="s">
        <v>13</v>
      </c>
      <c r="B92" s="252">
        <v>4</v>
      </c>
      <c r="C92" s="181"/>
      <c r="D92" s="181"/>
      <c r="E92" s="181">
        <v>1</v>
      </c>
      <c r="F92" s="181"/>
      <c r="G92" s="181"/>
      <c r="H92" s="181">
        <v>2</v>
      </c>
      <c r="I92" s="181"/>
      <c r="J92" s="181"/>
      <c r="K92" s="181"/>
      <c r="L92" s="181">
        <v>3</v>
      </c>
      <c r="M92" s="181">
        <v>2</v>
      </c>
      <c r="N92" s="181">
        <v>1</v>
      </c>
      <c r="O92" s="181">
        <v>7</v>
      </c>
      <c r="P92" s="181"/>
      <c r="Q92" s="181">
        <v>1</v>
      </c>
      <c r="R92" s="181">
        <v>2</v>
      </c>
      <c r="S92" s="181"/>
      <c r="T92" s="181"/>
      <c r="U92" s="181">
        <v>1</v>
      </c>
      <c r="V92" s="181"/>
      <c r="W92" s="181">
        <v>3</v>
      </c>
      <c r="X92" s="181">
        <v>1</v>
      </c>
      <c r="Y92" s="181">
        <v>1</v>
      </c>
      <c r="Z92" s="181"/>
      <c r="AA92" s="181"/>
      <c r="AB92" s="181"/>
      <c r="AC92" s="181"/>
      <c r="AD92" s="181">
        <v>2</v>
      </c>
      <c r="AE92" s="181">
        <v>1</v>
      </c>
      <c r="AF92" s="180"/>
      <c r="AG92" s="64">
        <f t="shared" si="5"/>
        <v>32</v>
      </c>
    </row>
    <row r="93" spans="1:35" ht="18.75" x14ac:dyDescent="0.25">
      <c r="A93" s="315" t="s">
        <v>112</v>
      </c>
      <c r="B93" s="261">
        <f t="shared" ref="B93:AF93" si="13">+B94+B100</f>
        <v>145</v>
      </c>
      <c r="C93" s="166">
        <f t="shared" si="13"/>
        <v>137</v>
      </c>
      <c r="D93" s="166">
        <f t="shared" si="13"/>
        <v>169</v>
      </c>
      <c r="E93" s="166">
        <f t="shared" si="13"/>
        <v>164</v>
      </c>
      <c r="F93" s="166">
        <f t="shared" si="13"/>
        <v>144</v>
      </c>
      <c r="G93" s="166">
        <f t="shared" si="13"/>
        <v>149</v>
      </c>
      <c r="H93" s="166">
        <f t="shared" si="13"/>
        <v>164</v>
      </c>
      <c r="I93" s="166">
        <f t="shared" si="13"/>
        <v>139</v>
      </c>
      <c r="J93" s="166">
        <f t="shared" si="13"/>
        <v>139</v>
      </c>
      <c r="K93" s="166">
        <f t="shared" si="13"/>
        <v>146</v>
      </c>
      <c r="L93" s="166">
        <f t="shared" si="13"/>
        <v>134</v>
      </c>
      <c r="M93" s="166">
        <f t="shared" si="13"/>
        <v>172</v>
      </c>
      <c r="N93" s="166">
        <f t="shared" si="13"/>
        <v>154</v>
      </c>
      <c r="O93" s="166">
        <f t="shared" si="13"/>
        <v>162</v>
      </c>
      <c r="P93" s="166">
        <f t="shared" si="13"/>
        <v>115</v>
      </c>
      <c r="Q93" s="166">
        <f t="shared" si="13"/>
        <v>146</v>
      </c>
      <c r="R93" s="166">
        <f t="shared" si="13"/>
        <v>132</v>
      </c>
      <c r="S93" s="166">
        <f t="shared" si="13"/>
        <v>124</v>
      </c>
      <c r="T93" s="166">
        <f t="shared" si="13"/>
        <v>151</v>
      </c>
      <c r="U93" s="166">
        <f t="shared" si="13"/>
        <v>130</v>
      </c>
      <c r="V93" s="166">
        <f t="shared" si="13"/>
        <v>155</v>
      </c>
      <c r="W93" s="166">
        <f t="shared" si="13"/>
        <v>172</v>
      </c>
      <c r="X93" s="166">
        <f t="shared" si="13"/>
        <v>150</v>
      </c>
      <c r="Y93" s="166">
        <f t="shared" si="13"/>
        <v>128</v>
      </c>
      <c r="Z93" s="166">
        <f t="shared" si="13"/>
        <v>137</v>
      </c>
      <c r="AA93" s="166">
        <f t="shared" si="13"/>
        <v>146</v>
      </c>
      <c r="AB93" s="166">
        <f t="shared" si="13"/>
        <v>123</v>
      </c>
      <c r="AC93" s="166">
        <f t="shared" si="13"/>
        <v>144</v>
      </c>
      <c r="AD93" s="166">
        <f t="shared" si="13"/>
        <v>154</v>
      </c>
      <c r="AE93" s="166">
        <f t="shared" si="13"/>
        <v>123</v>
      </c>
      <c r="AF93" s="165">
        <f t="shared" si="13"/>
        <v>0</v>
      </c>
      <c r="AG93" s="164">
        <f t="shared" si="5"/>
        <v>4348</v>
      </c>
      <c r="AH93" s="179" t="str">
        <f>IF(AG93&lt;&gt;AG28,"*","")</f>
        <v/>
      </c>
    </row>
    <row r="94" spans="1:35" ht="18.75" x14ac:dyDescent="0.25">
      <c r="A94" s="66" t="s">
        <v>111</v>
      </c>
      <c r="B94" s="262">
        <f t="shared" ref="B94:AF94" si="14">SUM(B95:B99)</f>
        <v>13</v>
      </c>
      <c r="C94" s="68">
        <f t="shared" si="14"/>
        <v>8</v>
      </c>
      <c r="D94" s="68">
        <f t="shared" si="14"/>
        <v>17</v>
      </c>
      <c r="E94" s="68">
        <f t="shared" si="14"/>
        <v>13</v>
      </c>
      <c r="F94" s="68">
        <f t="shared" si="14"/>
        <v>12</v>
      </c>
      <c r="G94" s="68">
        <f t="shared" si="14"/>
        <v>10</v>
      </c>
      <c r="H94" s="68">
        <f t="shared" si="14"/>
        <v>16</v>
      </c>
      <c r="I94" s="68">
        <f t="shared" si="14"/>
        <v>7</v>
      </c>
      <c r="J94" s="68">
        <f t="shared" si="14"/>
        <v>13</v>
      </c>
      <c r="K94" s="68">
        <f t="shared" si="14"/>
        <v>7</v>
      </c>
      <c r="L94" s="68">
        <f t="shared" si="14"/>
        <v>7</v>
      </c>
      <c r="M94" s="68">
        <f t="shared" si="14"/>
        <v>10</v>
      </c>
      <c r="N94" s="68">
        <f t="shared" si="14"/>
        <v>18</v>
      </c>
      <c r="O94" s="68">
        <f t="shared" si="14"/>
        <v>6</v>
      </c>
      <c r="P94" s="68">
        <f t="shared" si="14"/>
        <v>11</v>
      </c>
      <c r="Q94" s="68">
        <f t="shared" si="14"/>
        <v>10</v>
      </c>
      <c r="R94" s="68">
        <f t="shared" si="14"/>
        <v>6</v>
      </c>
      <c r="S94" s="68">
        <f t="shared" si="14"/>
        <v>10</v>
      </c>
      <c r="T94" s="68">
        <f t="shared" si="14"/>
        <v>9</v>
      </c>
      <c r="U94" s="68">
        <f t="shared" si="14"/>
        <v>17</v>
      </c>
      <c r="V94" s="68">
        <f t="shared" si="14"/>
        <v>13</v>
      </c>
      <c r="W94" s="68">
        <f t="shared" si="14"/>
        <v>7</v>
      </c>
      <c r="X94" s="68">
        <f t="shared" si="14"/>
        <v>8</v>
      </c>
      <c r="Y94" s="68">
        <f t="shared" si="14"/>
        <v>7</v>
      </c>
      <c r="Z94" s="68">
        <f t="shared" si="14"/>
        <v>15</v>
      </c>
      <c r="AA94" s="68">
        <f t="shared" si="14"/>
        <v>11</v>
      </c>
      <c r="AB94" s="68">
        <f t="shared" si="14"/>
        <v>10</v>
      </c>
      <c r="AC94" s="68">
        <f t="shared" si="14"/>
        <v>8</v>
      </c>
      <c r="AD94" s="68">
        <f t="shared" si="14"/>
        <v>4</v>
      </c>
      <c r="AE94" s="68">
        <f t="shared" si="14"/>
        <v>9</v>
      </c>
      <c r="AF94" s="67">
        <f t="shared" si="14"/>
        <v>0</v>
      </c>
      <c r="AG94" s="64">
        <f t="shared" si="5"/>
        <v>312</v>
      </c>
    </row>
    <row r="95" spans="1:35" ht="18.75" x14ac:dyDescent="0.25">
      <c r="A95" s="316" t="s">
        <v>110</v>
      </c>
      <c r="B95" s="249"/>
      <c r="C95" s="162"/>
      <c r="D95" s="162">
        <v>3</v>
      </c>
      <c r="E95" s="162"/>
      <c r="F95" s="162"/>
      <c r="G95" s="162"/>
      <c r="H95" s="162"/>
      <c r="I95" s="162">
        <v>1</v>
      </c>
      <c r="J95" s="162"/>
      <c r="K95" s="162"/>
      <c r="L95" s="162"/>
      <c r="M95" s="162"/>
      <c r="N95" s="162">
        <v>1</v>
      </c>
      <c r="O95" s="162"/>
      <c r="P95" s="162"/>
      <c r="Q95" s="162"/>
      <c r="R95" s="162"/>
      <c r="S95" s="162"/>
      <c r="T95" s="162">
        <v>2</v>
      </c>
      <c r="U95" s="162">
        <v>2</v>
      </c>
      <c r="V95" s="162"/>
      <c r="W95" s="162"/>
      <c r="X95" s="162">
        <v>1</v>
      </c>
      <c r="Y95" s="162"/>
      <c r="Z95" s="162"/>
      <c r="AA95" s="162"/>
      <c r="AB95" s="162">
        <v>1</v>
      </c>
      <c r="AC95" s="162"/>
      <c r="AD95" s="162"/>
      <c r="AE95" s="162"/>
      <c r="AF95" s="161"/>
      <c r="AG95" s="64">
        <f t="shared" si="5"/>
        <v>11</v>
      </c>
    </row>
    <row r="96" spans="1:35" ht="18.75" x14ac:dyDescent="0.25">
      <c r="A96" s="317" t="s">
        <v>109</v>
      </c>
      <c r="B96" s="249">
        <v>1</v>
      </c>
      <c r="C96" s="162">
        <v>1</v>
      </c>
      <c r="D96" s="162">
        <v>2</v>
      </c>
      <c r="E96" s="162">
        <v>1</v>
      </c>
      <c r="F96" s="162">
        <v>2</v>
      </c>
      <c r="G96" s="162">
        <v>1</v>
      </c>
      <c r="H96" s="162">
        <v>2</v>
      </c>
      <c r="I96" s="162"/>
      <c r="J96" s="162"/>
      <c r="K96" s="162">
        <v>1</v>
      </c>
      <c r="L96" s="162"/>
      <c r="M96" s="162">
        <v>1</v>
      </c>
      <c r="N96" s="162">
        <v>2</v>
      </c>
      <c r="O96" s="162"/>
      <c r="P96" s="162">
        <v>3</v>
      </c>
      <c r="Q96" s="162">
        <v>2</v>
      </c>
      <c r="R96" s="162"/>
      <c r="S96" s="176">
        <v>1</v>
      </c>
      <c r="T96" s="162"/>
      <c r="U96" s="162"/>
      <c r="V96" s="162">
        <v>1</v>
      </c>
      <c r="W96" s="162"/>
      <c r="X96" s="162">
        <v>1</v>
      </c>
      <c r="Y96" s="162">
        <v>1</v>
      </c>
      <c r="Z96" s="162">
        <v>2</v>
      </c>
      <c r="AA96" s="162"/>
      <c r="AB96" s="162">
        <v>1</v>
      </c>
      <c r="AC96" s="162">
        <v>2</v>
      </c>
      <c r="AD96" s="162"/>
      <c r="AE96" s="162">
        <v>1</v>
      </c>
      <c r="AF96" s="161"/>
      <c r="AG96" s="64">
        <f t="shared" si="5"/>
        <v>29</v>
      </c>
    </row>
    <row r="97" spans="1:33" ht="18.75" x14ac:dyDescent="0.25">
      <c r="A97" s="318" t="s">
        <v>108</v>
      </c>
      <c r="B97" s="249">
        <v>1</v>
      </c>
      <c r="C97" s="162">
        <v>2</v>
      </c>
      <c r="D97" s="162">
        <v>3</v>
      </c>
      <c r="E97" s="162">
        <v>7</v>
      </c>
      <c r="F97" s="162">
        <v>4</v>
      </c>
      <c r="G97" s="162">
        <v>1</v>
      </c>
      <c r="H97" s="162">
        <v>1</v>
      </c>
      <c r="I97" s="162">
        <v>3</v>
      </c>
      <c r="J97" s="162">
        <v>2</v>
      </c>
      <c r="K97" s="162"/>
      <c r="L97" s="162">
        <v>2</v>
      </c>
      <c r="M97" s="162">
        <v>5</v>
      </c>
      <c r="N97" s="162">
        <v>2</v>
      </c>
      <c r="O97" s="162">
        <v>1</v>
      </c>
      <c r="P97" s="162">
        <v>2</v>
      </c>
      <c r="Q97" s="162"/>
      <c r="R97" s="162">
        <v>2</v>
      </c>
      <c r="S97" s="162"/>
      <c r="T97" s="162">
        <v>1</v>
      </c>
      <c r="U97" s="162">
        <v>3</v>
      </c>
      <c r="V97" s="162">
        <v>1</v>
      </c>
      <c r="W97" s="162">
        <v>1</v>
      </c>
      <c r="X97" s="162">
        <v>1</v>
      </c>
      <c r="Y97" s="162">
        <v>2</v>
      </c>
      <c r="Z97" s="162">
        <v>2</v>
      </c>
      <c r="AA97" s="162">
        <v>2</v>
      </c>
      <c r="AB97" s="162">
        <v>2</v>
      </c>
      <c r="AC97" s="162"/>
      <c r="AD97" s="162">
        <v>1</v>
      </c>
      <c r="AE97" s="162">
        <v>1</v>
      </c>
      <c r="AF97" s="161"/>
      <c r="AG97" s="64">
        <f t="shared" si="5"/>
        <v>55</v>
      </c>
    </row>
    <row r="98" spans="1:33" ht="18.75" x14ac:dyDescent="0.25">
      <c r="A98" s="319" t="s">
        <v>107</v>
      </c>
      <c r="B98" s="249">
        <v>5</v>
      </c>
      <c r="C98" s="162">
        <v>2</v>
      </c>
      <c r="D98" s="162">
        <v>4</v>
      </c>
      <c r="E98" s="162">
        <v>3</v>
      </c>
      <c r="F98" s="162">
        <v>2</v>
      </c>
      <c r="G98" s="162">
        <v>2</v>
      </c>
      <c r="H98" s="162">
        <v>7</v>
      </c>
      <c r="I98" s="162">
        <v>1</v>
      </c>
      <c r="J98" s="162">
        <v>5</v>
      </c>
      <c r="K98" s="162">
        <v>3</v>
      </c>
      <c r="L98" s="162">
        <v>3</v>
      </c>
      <c r="M98" s="162">
        <v>2</v>
      </c>
      <c r="N98" s="162">
        <v>6</v>
      </c>
      <c r="O98" s="162">
        <v>1</v>
      </c>
      <c r="P98" s="162">
        <v>2</v>
      </c>
      <c r="Q98" s="162">
        <v>3</v>
      </c>
      <c r="R98" s="162">
        <v>2</v>
      </c>
      <c r="S98" s="162">
        <v>5</v>
      </c>
      <c r="T98" s="162">
        <v>4</v>
      </c>
      <c r="U98" s="162">
        <v>6</v>
      </c>
      <c r="V98" s="162">
        <v>5</v>
      </c>
      <c r="W98" s="162">
        <v>2</v>
      </c>
      <c r="X98" s="162">
        <v>1</v>
      </c>
      <c r="Y98" s="162">
        <v>3</v>
      </c>
      <c r="Z98" s="162">
        <v>3</v>
      </c>
      <c r="AA98" s="162">
        <v>4</v>
      </c>
      <c r="AB98" s="162">
        <v>2</v>
      </c>
      <c r="AC98" s="162">
        <v>4</v>
      </c>
      <c r="AD98" s="162"/>
      <c r="AE98" s="162">
        <v>3</v>
      </c>
      <c r="AF98" s="161"/>
      <c r="AG98" s="64">
        <f t="shared" si="5"/>
        <v>95</v>
      </c>
    </row>
    <row r="99" spans="1:33" ht="18.75" x14ac:dyDescent="0.25">
      <c r="A99" s="320" t="s">
        <v>106</v>
      </c>
      <c r="B99" s="249">
        <v>6</v>
      </c>
      <c r="C99" s="162">
        <v>3</v>
      </c>
      <c r="D99" s="162">
        <v>5</v>
      </c>
      <c r="E99" s="162">
        <v>2</v>
      </c>
      <c r="F99" s="162">
        <v>4</v>
      </c>
      <c r="G99" s="162">
        <v>6</v>
      </c>
      <c r="H99" s="162">
        <v>6</v>
      </c>
      <c r="I99" s="162">
        <v>2</v>
      </c>
      <c r="J99" s="162">
        <v>6</v>
      </c>
      <c r="K99" s="162">
        <v>3</v>
      </c>
      <c r="L99" s="162">
        <v>2</v>
      </c>
      <c r="M99" s="162">
        <v>2</v>
      </c>
      <c r="N99" s="162">
        <v>7</v>
      </c>
      <c r="O99" s="162">
        <v>4</v>
      </c>
      <c r="P99" s="162">
        <v>4</v>
      </c>
      <c r="Q99" s="162">
        <v>5</v>
      </c>
      <c r="R99" s="162">
        <v>2</v>
      </c>
      <c r="S99" s="162">
        <v>4</v>
      </c>
      <c r="T99" s="162">
        <v>2</v>
      </c>
      <c r="U99" s="162">
        <v>6</v>
      </c>
      <c r="V99" s="162">
        <v>6</v>
      </c>
      <c r="W99" s="162">
        <v>4</v>
      </c>
      <c r="X99" s="162">
        <v>4</v>
      </c>
      <c r="Y99" s="162">
        <v>1</v>
      </c>
      <c r="Z99" s="162">
        <v>8</v>
      </c>
      <c r="AA99" s="162">
        <v>5</v>
      </c>
      <c r="AB99" s="162">
        <v>4</v>
      </c>
      <c r="AC99" s="162">
        <v>2</v>
      </c>
      <c r="AD99" s="162">
        <v>3</v>
      </c>
      <c r="AE99" s="162">
        <v>4</v>
      </c>
      <c r="AF99" s="161"/>
      <c r="AG99" s="64">
        <f t="shared" ref="AG99:AG130" si="15">SUM(B99:AF99)</f>
        <v>122</v>
      </c>
    </row>
    <row r="100" spans="1:33" ht="18.75" x14ac:dyDescent="0.25">
      <c r="A100" s="66" t="s">
        <v>105</v>
      </c>
      <c r="B100" s="262">
        <f t="shared" ref="B100:AF100" si="16">SUM(B101:B115)</f>
        <v>132</v>
      </c>
      <c r="C100" s="68">
        <f t="shared" si="16"/>
        <v>129</v>
      </c>
      <c r="D100" s="68">
        <f t="shared" si="16"/>
        <v>152</v>
      </c>
      <c r="E100" s="68">
        <f t="shared" si="16"/>
        <v>151</v>
      </c>
      <c r="F100" s="68">
        <f t="shared" si="16"/>
        <v>132</v>
      </c>
      <c r="G100" s="68">
        <f t="shared" si="16"/>
        <v>139</v>
      </c>
      <c r="H100" s="68">
        <f t="shared" si="16"/>
        <v>148</v>
      </c>
      <c r="I100" s="68">
        <f t="shared" si="16"/>
        <v>132</v>
      </c>
      <c r="J100" s="68">
        <f t="shared" si="16"/>
        <v>126</v>
      </c>
      <c r="K100" s="68">
        <f t="shared" si="16"/>
        <v>139</v>
      </c>
      <c r="L100" s="68">
        <f t="shared" si="16"/>
        <v>127</v>
      </c>
      <c r="M100" s="68">
        <f t="shared" si="16"/>
        <v>162</v>
      </c>
      <c r="N100" s="68">
        <f t="shared" si="16"/>
        <v>136</v>
      </c>
      <c r="O100" s="68">
        <f t="shared" si="16"/>
        <v>156</v>
      </c>
      <c r="P100" s="68">
        <f t="shared" si="16"/>
        <v>104</v>
      </c>
      <c r="Q100" s="68">
        <f t="shared" si="16"/>
        <v>136</v>
      </c>
      <c r="R100" s="68">
        <f t="shared" si="16"/>
        <v>126</v>
      </c>
      <c r="S100" s="68">
        <f t="shared" si="16"/>
        <v>114</v>
      </c>
      <c r="T100" s="68">
        <f t="shared" si="16"/>
        <v>142</v>
      </c>
      <c r="U100" s="68">
        <f t="shared" si="16"/>
        <v>113</v>
      </c>
      <c r="V100" s="68">
        <f t="shared" si="16"/>
        <v>142</v>
      </c>
      <c r="W100" s="68">
        <f t="shared" si="16"/>
        <v>165</v>
      </c>
      <c r="X100" s="68">
        <f t="shared" si="16"/>
        <v>142</v>
      </c>
      <c r="Y100" s="68">
        <f t="shared" si="16"/>
        <v>121</v>
      </c>
      <c r="Z100" s="68">
        <f t="shared" si="16"/>
        <v>122</v>
      </c>
      <c r="AA100" s="68">
        <f t="shared" si="16"/>
        <v>135</v>
      </c>
      <c r="AB100" s="68">
        <f t="shared" si="16"/>
        <v>113</v>
      </c>
      <c r="AC100" s="68">
        <f t="shared" si="16"/>
        <v>136</v>
      </c>
      <c r="AD100" s="68">
        <f t="shared" si="16"/>
        <v>150</v>
      </c>
      <c r="AE100" s="68">
        <f t="shared" si="16"/>
        <v>114</v>
      </c>
      <c r="AF100" s="67">
        <f t="shared" si="16"/>
        <v>0</v>
      </c>
      <c r="AG100" s="64">
        <f t="shared" si="15"/>
        <v>4036</v>
      </c>
    </row>
    <row r="101" spans="1:33" ht="18.75" x14ac:dyDescent="0.25">
      <c r="A101" s="320" t="s">
        <v>104</v>
      </c>
      <c r="B101" s="249">
        <v>7</v>
      </c>
      <c r="C101" s="162">
        <v>8</v>
      </c>
      <c r="D101" s="162">
        <v>16</v>
      </c>
      <c r="E101" s="162">
        <v>10</v>
      </c>
      <c r="F101" s="162">
        <v>9</v>
      </c>
      <c r="G101" s="162">
        <v>6</v>
      </c>
      <c r="H101" s="162">
        <v>11</v>
      </c>
      <c r="I101" s="162">
        <v>9</v>
      </c>
      <c r="J101" s="162">
        <v>8</v>
      </c>
      <c r="K101" s="162">
        <v>9</v>
      </c>
      <c r="L101" s="162">
        <v>7</v>
      </c>
      <c r="M101" s="162">
        <v>8</v>
      </c>
      <c r="N101" s="162">
        <v>11</v>
      </c>
      <c r="O101" s="162">
        <v>8</v>
      </c>
      <c r="P101" s="162">
        <v>7</v>
      </c>
      <c r="Q101" s="162">
        <v>8</v>
      </c>
      <c r="R101" s="162">
        <v>4</v>
      </c>
      <c r="S101" s="162">
        <v>5</v>
      </c>
      <c r="T101" s="162">
        <v>11</v>
      </c>
      <c r="U101" s="162">
        <v>5</v>
      </c>
      <c r="V101" s="162">
        <v>6</v>
      </c>
      <c r="W101" s="162">
        <v>13</v>
      </c>
      <c r="X101" s="162">
        <v>12</v>
      </c>
      <c r="Y101" s="162">
        <v>8</v>
      </c>
      <c r="Z101" s="162">
        <v>5</v>
      </c>
      <c r="AA101" s="162">
        <v>11</v>
      </c>
      <c r="AB101" s="162">
        <v>10</v>
      </c>
      <c r="AC101" s="162">
        <v>4</v>
      </c>
      <c r="AD101" s="162">
        <v>9</v>
      </c>
      <c r="AE101" s="162">
        <v>11</v>
      </c>
      <c r="AF101" s="161"/>
      <c r="AG101" s="64">
        <f t="shared" si="15"/>
        <v>256</v>
      </c>
    </row>
    <row r="102" spans="1:33" ht="18.75" x14ac:dyDescent="0.25">
      <c r="A102" s="320" t="s">
        <v>103</v>
      </c>
      <c r="B102" s="249">
        <v>17</v>
      </c>
      <c r="C102" s="162">
        <v>23</v>
      </c>
      <c r="D102" s="162">
        <v>20</v>
      </c>
      <c r="E102" s="162">
        <v>29</v>
      </c>
      <c r="F102" s="162">
        <v>15</v>
      </c>
      <c r="G102" s="162">
        <v>15</v>
      </c>
      <c r="H102" s="162">
        <v>17</v>
      </c>
      <c r="I102" s="162">
        <v>21</v>
      </c>
      <c r="J102" s="162">
        <v>21</v>
      </c>
      <c r="K102" s="162">
        <v>17</v>
      </c>
      <c r="L102" s="162">
        <v>18</v>
      </c>
      <c r="M102" s="162">
        <v>19</v>
      </c>
      <c r="N102" s="162">
        <v>17</v>
      </c>
      <c r="O102" s="162">
        <v>22</v>
      </c>
      <c r="P102" s="162">
        <v>14</v>
      </c>
      <c r="Q102" s="162">
        <v>15</v>
      </c>
      <c r="R102" s="162">
        <v>13</v>
      </c>
      <c r="S102" s="162">
        <v>12</v>
      </c>
      <c r="T102" s="162">
        <v>12</v>
      </c>
      <c r="U102" s="162">
        <v>12</v>
      </c>
      <c r="V102" s="162">
        <v>16</v>
      </c>
      <c r="W102" s="162">
        <v>26</v>
      </c>
      <c r="X102" s="162">
        <v>21</v>
      </c>
      <c r="Y102" s="162">
        <v>17</v>
      </c>
      <c r="Z102" s="162">
        <v>10</v>
      </c>
      <c r="AA102" s="162">
        <v>17</v>
      </c>
      <c r="AB102" s="162">
        <v>19</v>
      </c>
      <c r="AC102" s="162">
        <v>12</v>
      </c>
      <c r="AD102" s="162">
        <v>16</v>
      </c>
      <c r="AE102" s="162">
        <v>24</v>
      </c>
      <c r="AF102" s="161"/>
      <c r="AG102" s="64">
        <f t="shared" si="15"/>
        <v>527</v>
      </c>
    </row>
    <row r="103" spans="1:33" ht="18.75" x14ac:dyDescent="0.25">
      <c r="A103" s="321" t="s">
        <v>102</v>
      </c>
      <c r="B103" s="249">
        <v>19</v>
      </c>
      <c r="C103" s="162">
        <v>17</v>
      </c>
      <c r="D103" s="162">
        <v>18</v>
      </c>
      <c r="E103" s="162">
        <v>19</v>
      </c>
      <c r="F103" s="162">
        <v>18</v>
      </c>
      <c r="G103" s="162">
        <v>16</v>
      </c>
      <c r="H103" s="162">
        <v>27</v>
      </c>
      <c r="I103" s="162">
        <v>15</v>
      </c>
      <c r="J103" s="162">
        <v>23</v>
      </c>
      <c r="K103" s="162">
        <v>17</v>
      </c>
      <c r="L103" s="162">
        <v>18</v>
      </c>
      <c r="M103" s="162">
        <v>19</v>
      </c>
      <c r="N103" s="162">
        <v>17</v>
      </c>
      <c r="O103" s="162">
        <v>17</v>
      </c>
      <c r="P103" s="162">
        <v>14</v>
      </c>
      <c r="Q103" s="162">
        <v>17</v>
      </c>
      <c r="R103" s="162">
        <v>22</v>
      </c>
      <c r="S103" s="162">
        <v>16</v>
      </c>
      <c r="T103" s="162">
        <v>17</v>
      </c>
      <c r="U103" s="162">
        <v>15</v>
      </c>
      <c r="V103" s="162">
        <v>21</v>
      </c>
      <c r="W103" s="162">
        <v>19</v>
      </c>
      <c r="X103" s="162">
        <v>11</v>
      </c>
      <c r="Y103" s="162">
        <v>23</v>
      </c>
      <c r="Z103" s="162">
        <v>12</v>
      </c>
      <c r="AA103" s="162">
        <v>13</v>
      </c>
      <c r="AB103" s="162">
        <v>8</v>
      </c>
      <c r="AC103" s="162">
        <v>10</v>
      </c>
      <c r="AD103" s="162">
        <v>24</v>
      </c>
      <c r="AE103" s="162">
        <v>14</v>
      </c>
      <c r="AF103" s="161"/>
      <c r="AG103" s="64">
        <f t="shared" si="15"/>
        <v>516</v>
      </c>
    </row>
    <row r="104" spans="1:33" ht="18.75" x14ac:dyDescent="0.25">
      <c r="A104" s="321" t="s">
        <v>101</v>
      </c>
      <c r="B104" s="249">
        <v>17</v>
      </c>
      <c r="C104" s="162">
        <v>12</v>
      </c>
      <c r="D104" s="162">
        <v>15</v>
      </c>
      <c r="E104" s="162">
        <v>13</v>
      </c>
      <c r="F104" s="162">
        <v>13</v>
      </c>
      <c r="G104" s="162">
        <v>19</v>
      </c>
      <c r="H104" s="162">
        <v>21</v>
      </c>
      <c r="I104" s="162">
        <v>14</v>
      </c>
      <c r="J104" s="162">
        <v>13</v>
      </c>
      <c r="K104" s="162">
        <v>13</v>
      </c>
      <c r="L104" s="162">
        <v>23</v>
      </c>
      <c r="M104" s="162">
        <v>18</v>
      </c>
      <c r="N104" s="162">
        <v>11</v>
      </c>
      <c r="O104" s="162">
        <v>20</v>
      </c>
      <c r="P104" s="162">
        <v>13</v>
      </c>
      <c r="Q104" s="162">
        <v>16</v>
      </c>
      <c r="R104" s="162">
        <v>13</v>
      </c>
      <c r="S104" s="162">
        <v>6</v>
      </c>
      <c r="T104" s="162">
        <v>20</v>
      </c>
      <c r="U104" s="162">
        <v>15</v>
      </c>
      <c r="V104" s="162">
        <v>13</v>
      </c>
      <c r="W104" s="162">
        <v>23</v>
      </c>
      <c r="X104" s="162">
        <v>7</v>
      </c>
      <c r="Y104" s="162">
        <v>20</v>
      </c>
      <c r="Z104" s="162">
        <v>18</v>
      </c>
      <c r="AA104" s="162">
        <v>17</v>
      </c>
      <c r="AB104" s="162">
        <v>8</v>
      </c>
      <c r="AC104" s="162">
        <v>21</v>
      </c>
      <c r="AD104" s="162">
        <v>14</v>
      </c>
      <c r="AE104" s="162">
        <v>16</v>
      </c>
      <c r="AF104" s="161"/>
      <c r="AG104" s="64">
        <f t="shared" si="15"/>
        <v>462</v>
      </c>
    </row>
    <row r="105" spans="1:33" ht="18.75" x14ac:dyDescent="0.25">
      <c r="A105" s="321" t="s">
        <v>100</v>
      </c>
      <c r="B105" s="249">
        <v>11</v>
      </c>
      <c r="C105" s="162">
        <v>10</v>
      </c>
      <c r="D105" s="162">
        <v>14</v>
      </c>
      <c r="E105" s="162">
        <v>9</v>
      </c>
      <c r="F105" s="162">
        <v>12</v>
      </c>
      <c r="G105" s="162">
        <v>13</v>
      </c>
      <c r="H105" s="162">
        <v>10</v>
      </c>
      <c r="I105" s="162">
        <v>11</v>
      </c>
      <c r="J105" s="162">
        <v>11</v>
      </c>
      <c r="K105" s="162">
        <v>9</v>
      </c>
      <c r="L105" s="162">
        <v>6</v>
      </c>
      <c r="M105" s="162">
        <v>18</v>
      </c>
      <c r="N105" s="162">
        <v>5</v>
      </c>
      <c r="O105" s="162">
        <v>17</v>
      </c>
      <c r="P105" s="162">
        <v>14</v>
      </c>
      <c r="Q105" s="162">
        <v>14</v>
      </c>
      <c r="R105" s="162">
        <v>10</v>
      </c>
      <c r="S105" s="162">
        <v>9</v>
      </c>
      <c r="T105" s="162">
        <v>12</v>
      </c>
      <c r="U105" s="162">
        <v>4</v>
      </c>
      <c r="V105" s="162">
        <v>10</v>
      </c>
      <c r="W105" s="162">
        <v>12</v>
      </c>
      <c r="X105" s="162">
        <v>21</v>
      </c>
      <c r="Y105" s="162">
        <v>12</v>
      </c>
      <c r="Z105" s="162">
        <v>16</v>
      </c>
      <c r="AA105" s="162">
        <v>6</v>
      </c>
      <c r="AB105" s="162">
        <v>7</v>
      </c>
      <c r="AC105" s="162">
        <v>15</v>
      </c>
      <c r="AD105" s="162">
        <v>13</v>
      </c>
      <c r="AE105" s="162">
        <v>12</v>
      </c>
      <c r="AF105" s="161"/>
      <c r="AG105" s="64">
        <f t="shared" si="15"/>
        <v>343</v>
      </c>
    </row>
    <row r="106" spans="1:33" ht="18.75" x14ac:dyDescent="0.25">
      <c r="A106" s="321" t="s">
        <v>99</v>
      </c>
      <c r="B106" s="249">
        <v>19</v>
      </c>
      <c r="C106" s="162">
        <v>9</v>
      </c>
      <c r="D106" s="162">
        <v>10</v>
      </c>
      <c r="E106" s="162">
        <v>13</v>
      </c>
      <c r="F106" s="162">
        <v>10</v>
      </c>
      <c r="G106" s="162">
        <v>14</v>
      </c>
      <c r="H106" s="162">
        <v>6</v>
      </c>
      <c r="I106" s="162">
        <v>16</v>
      </c>
      <c r="J106" s="162">
        <v>10</v>
      </c>
      <c r="K106" s="162">
        <v>12</v>
      </c>
      <c r="L106" s="162">
        <v>11</v>
      </c>
      <c r="M106" s="162">
        <v>19</v>
      </c>
      <c r="N106" s="162">
        <v>13</v>
      </c>
      <c r="O106" s="162">
        <v>18</v>
      </c>
      <c r="P106" s="162">
        <v>7</v>
      </c>
      <c r="Q106" s="162">
        <v>12</v>
      </c>
      <c r="R106" s="162">
        <v>12</v>
      </c>
      <c r="S106" s="162">
        <v>18</v>
      </c>
      <c r="T106" s="162">
        <v>9</v>
      </c>
      <c r="U106" s="162">
        <v>11</v>
      </c>
      <c r="V106" s="162">
        <v>9</v>
      </c>
      <c r="W106" s="162">
        <v>13</v>
      </c>
      <c r="X106" s="162">
        <v>9</v>
      </c>
      <c r="Y106" s="162">
        <v>7</v>
      </c>
      <c r="Z106" s="162">
        <v>10</v>
      </c>
      <c r="AA106" s="162">
        <v>8</v>
      </c>
      <c r="AB106" s="162">
        <v>8</v>
      </c>
      <c r="AC106" s="162">
        <v>15</v>
      </c>
      <c r="AD106" s="162">
        <v>12</v>
      </c>
      <c r="AE106" s="162">
        <v>7</v>
      </c>
      <c r="AF106" s="161"/>
      <c r="AG106" s="64">
        <f t="shared" si="15"/>
        <v>347</v>
      </c>
    </row>
    <row r="107" spans="1:33" ht="18.75" x14ac:dyDescent="0.25">
      <c r="A107" s="321" t="s">
        <v>98</v>
      </c>
      <c r="B107" s="249">
        <v>7</v>
      </c>
      <c r="C107" s="162">
        <v>10</v>
      </c>
      <c r="D107" s="162">
        <v>8</v>
      </c>
      <c r="E107" s="162">
        <v>11</v>
      </c>
      <c r="F107" s="162">
        <v>8</v>
      </c>
      <c r="G107" s="162">
        <v>12</v>
      </c>
      <c r="H107" s="162">
        <v>7</v>
      </c>
      <c r="I107" s="162">
        <v>11</v>
      </c>
      <c r="J107" s="162">
        <v>8</v>
      </c>
      <c r="K107" s="162">
        <v>7</v>
      </c>
      <c r="L107" s="162">
        <v>9</v>
      </c>
      <c r="M107" s="162">
        <v>8</v>
      </c>
      <c r="N107" s="162">
        <v>12</v>
      </c>
      <c r="O107" s="162">
        <v>11</v>
      </c>
      <c r="P107" s="162">
        <v>3</v>
      </c>
      <c r="Q107" s="162">
        <v>9</v>
      </c>
      <c r="R107" s="162">
        <v>9</v>
      </c>
      <c r="S107" s="162">
        <v>5</v>
      </c>
      <c r="T107" s="162">
        <v>9</v>
      </c>
      <c r="U107" s="162">
        <v>8</v>
      </c>
      <c r="V107" s="162">
        <v>16</v>
      </c>
      <c r="W107" s="162">
        <v>13</v>
      </c>
      <c r="X107" s="162">
        <v>11</v>
      </c>
      <c r="Y107" s="162">
        <v>8</v>
      </c>
      <c r="Z107" s="162">
        <v>8</v>
      </c>
      <c r="AA107" s="162">
        <v>6</v>
      </c>
      <c r="AB107" s="162">
        <v>14</v>
      </c>
      <c r="AC107" s="162">
        <v>11</v>
      </c>
      <c r="AD107" s="162">
        <v>18</v>
      </c>
      <c r="AE107" s="162">
        <v>9</v>
      </c>
      <c r="AF107" s="161"/>
      <c r="AG107" s="64">
        <f t="shared" si="15"/>
        <v>286</v>
      </c>
    </row>
    <row r="108" spans="1:33" ht="18.75" x14ac:dyDescent="0.25">
      <c r="A108" s="321" t="s">
        <v>97</v>
      </c>
      <c r="B108" s="249">
        <v>11</v>
      </c>
      <c r="C108" s="162">
        <v>20</v>
      </c>
      <c r="D108" s="162">
        <v>16</v>
      </c>
      <c r="E108" s="162">
        <v>13</v>
      </c>
      <c r="F108" s="162">
        <v>10</v>
      </c>
      <c r="G108" s="162">
        <v>13</v>
      </c>
      <c r="H108" s="162">
        <v>12</v>
      </c>
      <c r="I108" s="162">
        <v>8</v>
      </c>
      <c r="J108" s="162">
        <v>5</v>
      </c>
      <c r="K108" s="162">
        <v>10</v>
      </c>
      <c r="L108" s="162">
        <v>3</v>
      </c>
      <c r="M108" s="162">
        <v>10</v>
      </c>
      <c r="N108" s="162">
        <v>12</v>
      </c>
      <c r="O108" s="162">
        <v>7</v>
      </c>
      <c r="P108" s="162">
        <v>6</v>
      </c>
      <c r="Q108" s="162">
        <v>15</v>
      </c>
      <c r="R108" s="162">
        <v>5</v>
      </c>
      <c r="S108" s="162">
        <v>9</v>
      </c>
      <c r="T108" s="162">
        <v>12</v>
      </c>
      <c r="U108" s="162">
        <v>9</v>
      </c>
      <c r="V108" s="162">
        <v>11</v>
      </c>
      <c r="W108" s="162">
        <v>8</v>
      </c>
      <c r="X108" s="162">
        <v>5</v>
      </c>
      <c r="Y108" s="162">
        <v>2</v>
      </c>
      <c r="Z108" s="162">
        <v>8</v>
      </c>
      <c r="AA108" s="162">
        <v>7</v>
      </c>
      <c r="AB108" s="162">
        <v>7</v>
      </c>
      <c r="AC108" s="162">
        <v>7</v>
      </c>
      <c r="AD108" s="162">
        <v>8</v>
      </c>
      <c r="AE108" s="162">
        <v>4</v>
      </c>
      <c r="AF108" s="161"/>
      <c r="AG108" s="64">
        <f t="shared" si="15"/>
        <v>273</v>
      </c>
    </row>
    <row r="109" spans="1:33" ht="18.75" x14ac:dyDescent="0.25">
      <c r="A109" s="321" t="s">
        <v>96</v>
      </c>
      <c r="B109" s="249">
        <v>11</v>
      </c>
      <c r="C109" s="162">
        <v>10</v>
      </c>
      <c r="D109" s="162">
        <v>11</v>
      </c>
      <c r="E109" s="162">
        <v>13</v>
      </c>
      <c r="F109" s="162">
        <v>11</v>
      </c>
      <c r="G109" s="162">
        <v>15</v>
      </c>
      <c r="H109" s="162">
        <v>15</v>
      </c>
      <c r="I109" s="162">
        <v>9</v>
      </c>
      <c r="J109" s="162">
        <v>9</v>
      </c>
      <c r="K109" s="162">
        <v>14</v>
      </c>
      <c r="L109" s="162">
        <v>9</v>
      </c>
      <c r="M109" s="162">
        <v>13</v>
      </c>
      <c r="N109" s="162">
        <v>9</v>
      </c>
      <c r="O109" s="162">
        <v>15</v>
      </c>
      <c r="P109" s="162">
        <v>10</v>
      </c>
      <c r="Q109" s="162">
        <v>6</v>
      </c>
      <c r="R109" s="162">
        <v>6</v>
      </c>
      <c r="S109" s="162">
        <v>6</v>
      </c>
      <c r="T109" s="162">
        <v>6</v>
      </c>
      <c r="U109" s="162">
        <v>8</v>
      </c>
      <c r="V109" s="162">
        <v>16</v>
      </c>
      <c r="W109" s="162">
        <v>11</v>
      </c>
      <c r="X109" s="162">
        <v>9</v>
      </c>
      <c r="Y109" s="162">
        <v>5</v>
      </c>
      <c r="Z109" s="162">
        <v>10</v>
      </c>
      <c r="AA109" s="162">
        <v>13</v>
      </c>
      <c r="AB109" s="162">
        <v>9</v>
      </c>
      <c r="AC109" s="162">
        <v>17</v>
      </c>
      <c r="AD109" s="162">
        <v>7</v>
      </c>
      <c r="AE109" s="162">
        <v>4</v>
      </c>
      <c r="AF109" s="161"/>
      <c r="AG109" s="64">
        <f t="shared" si="15"/>
        <v>307</v>
      </c>
    </row>
    <row r="110" spans="1:33" ht="18.75" x14ac:dyDescent="0.25">
      <c r="A110" s="321" t="s">
        <v>95</v>
      </c>
      <c r="B110" s="249">
        <v>3</v>
      </c>
      <c r="C110" s="162">
        <v>2</v>
      </c>
      <c r="D110" s="162">
        <v>7</v>
      </c>
      <c r="E110" s="162">
        <v>5</v>
      </c>
      <c r="F110" s="162">
        <v>8</v>
      </c>
      <c r="G110" s="162">
        <v>5</v>
      </c>
      <c r="H110" s="162">
        <v>7</v>
      </c>
      <c r="I110" s="162">
        <v>5</v>
      </c>
      <c r="J110" s="162">
        <v>5</v>
      </c>
      <c r="K110" s="162">
        <v>12</v>
      </c>
      <c r="L110" s="162">
        <v>3</v>
      </c>
      <c r="M110" s="162">
        <v>6</v>
      </c>
      <c r="N110" s="162">
        <v>6</v>
      </c>
      <c r="O110" s="162">
        <v>10</v>
      </c>
      <c r="P110" s="162">
        <v>4</v>
      </c>
      <c r="Q110" s="162">
        <v>7</v>
      </c>
      <c r="R110" s="162">
        <v>7</v>
      </c>
      <c r="S110" s="162">
        <v>7</v>
      </c>
      <c r="T110" s="162">
        <v>7</v>
      </c>
      <c r="U110" s="162">
        <v>9</v>
      </c>
      <c r="V110" s="162">
        <v>6</v>
      </c>
      <c r="W110" s="162">
        <v>6</v>
      </c>
      <c r="X110" s="162">
        <v>10</v>
      </c>
      <c r="Y110" s="162">
        <v>10</v>
      </c>
      <c r="Z110" s="162">
        <v>8</v>
      </c>
      <c r="AA110" s="162">
        <v>10</v>
      </c>
      <c r="AB110" s="162">
        <v>8</v>
      </c>
      <c r="AC110" s="162">
        <v>7</v>
      </c>
      <c r="AD110" s="162">
        <v>6</v>
      </c>
      <c r="AE110" s="162">
        <v>3</v>
      </c>
      <c r="AF110" s="161"/>
      <c r="AG110" s="64">
        <f t="shared" si="15"/>
        <v>199</v>
      </c>
    </row>
    <row r="111" spans="1:33" ht="18.75" x14ac:dyDescent="0.25">
      <c r="A111" s="321" t="s">
        <v>94</v>
      </c>
      <c r="B111" s="249">
        <v>4</v>
      </c>
      <c r="C111" s="162"/>
      <c r="D111" s="162">
        <v>5</v>
      </c>
      <c r="E111" s="162">
        <v>6</v>
      </c>
      <c r="F111" s="162">
        <v>4</v>
      </c>
      <c r="G111" s="162">
        <v>2</v>
      </c>
      <c r="H111" s="162">
        <v>5</v>
      </c>
      <c r="I111" s="162">
        <v>1</v>
      </c>
      <c r="J111" s="162">
        <v>3</v>
      </c>
      <c r="K111" s="162">
        <v>11</v>
      </c>
      <c r="L111" s="162">
        <v>7</v>
      </c>
      <c r="M111" s="162">
        <v>8</v>
      </c>
      <c r="N111" s="162">
        <v>6</v>
      </c>
      <c r="O111" s="162">
        <v>4</v>
      </c>
      <c r="P111" s="162">
        <v>3</v>
      </c>
      <c r="Q111" s="162">
        <v>6</v>
      </c>
      <c r="R111" s="162">
        <v>6</v>
      </c>
      <c r="S111" s="162">
        <v>10</v>
      </c>
      <c r="T111" s="162">
        <v>12</v>
      </c>
      <c r="U111" s="162">
        <v>4</v>
      </c>
      <c r="V111" s="162">
        <v>9</v>
      </c>
      <c r="W111" s="162">
        <v>7</v>
      </c>
      <c r="X111" s="162">
        <v>9</v>
      </c>
      <c r="Y111" s="162">
        <v>3</v>
      </c>
      <c r="Z111" s="162"/>
      <c r="AA111" s="162">
        <v>8</v>
      </c>
      <c r="AB111" s="162">
        <v>2</v>
      </c>
      <c r="AC111" s="162">
        <v>3</v>
      </c>
      <c r="AD111" s="162">
        <v>9</v>
      </c>
      <c r="AE111" s="162"/>
      <c r="AF111" s="161"/>
      <c r="AG111" s="64">
        <f t="shared" si="15"/>
        <v>157</v>
      </c>
    </row>
    <row r="112" spans="1:33" ht="18.75" x14ac:dyDescent="0.25">
      <c r="A112" s="321" t="s">
        <v>93</v>
      </c>
      <c r="B112" s="249">
        <v>1</v>
      </c>
      <c r="C112" s="162">
        <v>5</v>
      </c>
      <c r="D112" s="162">
        <v>5</v>
      </c>
      <c r="E112" s="162">
        <v>5</v>
      </c>
      <c r="F112" s="162">
        <v>3</v>
      </c>
      <c r="G112" s="162">
        <v>3</v>
      </c>
      <c r="H112" s="162">
        <v>4</v>
      </c>
      <c r="I112" s="162">
        <v>3</v>
      </c>
      <c r="J112" s="162"/>
      <c r="K112" s="162">
        <v>3</v>
      </c>
      <c r="L112" s="162">
        <v>4</v>
      </c>
      <c r="M112" s="162">
        <v>5</v>
      </c>
      <c r="N112" s="162">
        <v>5</v>
      </c>
      <c r="O112" s="162">
        <v>2</v>
      </c>
      <c r="P112" s="162">
        <v>6</v>
      </c>
      <c r="Q112" s="162">
        <v>4</v>
      </c>
      <c r="R112" s="162">
        <v>8</v>
      </c>
      <c r="S112" s="162">
        <v>3</v>
      </c>
      <c r="T112" s="162">
        <v>4</v>
      </c>
      <c r="U112" s="162">
        <v>3</v>
      </c>
      <c r="V112" s="162">
        <v>4</v>
      </c>
      <c r="W112" s="162">
        <v>4</v>
      </c>
      <c r="X112" s="162">
        <v>7</v>
      </c>
      <c r="Y112" s="162">
        <v>3</v>
      </c>
      <c r="Z112" s="162">
        <v>8</v>
      </c>
      <c r="AA112" s="162">
        <v>10</v>
      </c>
      <c r="AB112" s="162">
        <v>6</v>
      </c>
      <c r="AC112" s="162">
        <v>5</v>
      </c>
      <c r="AD112" s="162">
        <v>3</v>
      </c>
      <c r="AE112" s="162">
        <v>3</v>
      </c>
      <c r="AF112" s="161"/>
      <c r="AG112" s="64">
        <f t="shared" si="15"/>
        <v>129</v>
      </c>
    </row>
    <row r="113" spans="1:33" ht="18.75" x14ac:dyDescent="0.25">
      <c r="A113" s="321" t="s">
        <v>92</v>
      </c>
      <c r="B113" s="249">
        <v>2</v>
      </c>
      <c r="C113" s="162">
        <v>2</v>
      </c>
      <c r="D113" s="162">
        <v>3</v>
      </c>
      <c r="E113" s="162">
        <v>4</v>
      </c>
      <c r="F113" s="162">
        <v>5</v>
      </c>
      <c r="G113" s="162">
        <v>3</v>
      </c>
      <c r="H113" s="162">
        <v>4</v>
      </c>
      <c r="I113" s="162">
        <v>7</v>
      </c>
      <c r="J113" s="162">
        <v>5</v>
      </c>
      <c r="K113" s="162">
        <v>2</v>
      </c>
      <c r="L113" s="162">
        <v>2</v>
      </c>
      <c r="M113" s="162">
        <v>3</v>
      </c>
      <c r="N113" s="162">
        <v>7</v>
      </c>
      <c r="O113" s="162"/>
      <c r="P113" s="162">
        <v>1</v>
      </c>
      <c r="Q113" s="162">
        <v>3</v>
      </c>
      <c r="R113" s="162">
        <v>3</v>
      </c>
      <c r="S113" s="162">
        <v>2</v>
      </c>
      <c r="T113" s="162">
        <v>4</v>
      </c>
      <c r="U113" s="162">
        <v>4</v>
      </c>
      <c r="V113" s="162">
        <v>2</v>
      </c>
      <c r="W113" s="162">
        <v>3</v>
      </c>
      <c r="X113" s="162">
        <v>6</v>
      </c>
      <c r="Y113" s="162">
        <v>1</v>
      </c>
      <c r="Z113" s="162">
        <v>5</v>
      </c>
      <c r="AA113" s="162">
        <v>2</v>
      </c>
      <c r="AB113" s="162">
        <v>1</v>
      </c>
      <c r="AC113" s="162">
        <v>5</v>
      </c>
      <c r="AD113" s="162">
        <v>2</v>
      </c>
      <c r="AE113" s="162">
        <v>3</v>
      </c>
      <c r="AF113" s="161"/>
      <c r="AG113" s="64">
        <f t="shared" si="15"/>
        <v>96</v>
      </c>
    </row>
    <row r="114" spans="1:33" ht="18.75" x14ac:dyDescent="0.25">
      <c r="A114" s="321" t="s">
        <v>91</v>
      </c>
      <c r="B114" s="249">
        <v>3</v>
      </c>
      <c r="C114" s="162">
        <v>1</v>
      </c>
      <c r="D114" s="162">
        <v>4</v>
      </c>
      <c r="E114" s="162">
        <v>1</v>
      </c>
      <c r="F114" s="162">
        <v>5</v>
      </c>
      <c r="G114" s="162">
        <v>3</v>
      </c>
      <c r="H114" s="162">
        <v>2</v>
      </c>
      <c r="I114" s="162">
        <v>2</v>
      </c>
      <c r="J114" s="162">
        <v>5</v>
      </c>
      <c r="K114" s="162">
        <v>3</v>
      </c>
      <c r="L114" s="162">
        <v>7</v>
      </c>
      <c r="M114" s="162">
        <v>8</v>
      </c>
      <c r="N114" s="162">
        <v>5</v>
      </c>
      <c r="O114" s="162">
        <v>5</v>
      </c>
      <c r="P114" s="162">
        <v>2</v>
      </c>
      <c r="Q114" s="162">
        <v>4</v>
      </c>
      <c r="R114" s="162">
        <v>8</v>
      </c>
      <c r="S114" s="162">
        <v>6</v>
      </c>
      <c r="T114" s="162">
        <v>7</v>
      </c>
      <c r="U114" s="162">
        <v>6</v>
      </c>
      <c r="V114" s="162">
        <v>3</v>
      </c>
      <c r="W114" s="162">
        <v>7</v>
      </c>
      <c r="X114" s="162">
        <v>4</v>
      </c>
      <c r="Y114" s="162">
        <v>2</v>
      </c>
      <c r="Z114" s="162">
        <v>4</v>
      </c>
      <c r="AA114" s="162">
        <v>7</v>
      </c>
      <c r="AB114" s="162">
        <v>6</v>
      </c>
      <c r="AC114" s="162">
        <v>4</v>
      </c>
      <c r="AD114" s="162">
        <v>9</v>
      </c>
      <c r="AE114" s="162">
        <v>4</v>
      </c>
      <c r="AF114" s="161"/>
      <c r="AG114" s="64">
        <f t="shared" si="15"/>
        <v>137</v>
      </c>
    </row>
    <row r="115" spans="1:33" ht="19.5" thickBot="1" x14ac:dyDescent="0.3">
      <c r="A115" s="322"/>
      <c r="B115" s="255"/>
      <c r="C115" s="169"/>
      <c r="D115" s="169"/>
      <c r="E115" s="169"/>
      <c r="F115" s="169">
        <v>1</v>
      </c>
      <c r="G115" s="169"/>
      <c r="H115" s="169"/>
      <c r="I115" s="169"/>
      <c r="J115" s="169"/>
      <c r="K115" s="169"/>
      <c r="L115" s="169"/>
      <c r="M115" s="169"/>
      <c r="N115" s="169"/>
      <c r="O115" s="169"/>
      <c r="P115" s="169"/>
      <c r="Q115" s="169"/>
      <c r="R115" s="169"/>
      <c r="S115" s="169"/>
      <c r="T115" s="169"/>
      <c r="U115" s="169"/>
      <c r="V115" s="169"/>
      <c r="W115" s="169"/>
      <c r="X115" s="169"/>
      <c r="Y115" s="169"/>
      <c r="Z115" s="169"/>
      <c r="AA115" s="169"/>
      <c r="AB115" s="169"/>
      <c r="AC115" s="169"/>
      <c r="AD115" s="169"/>
      <c r="AE115" s="169"/>
      <c r="AF115" s="168"/>
      <c r="AG115" s="64">
        <f t="shared" si="15"/>
        <v>1</v>
      </c>
    </row>
    <row r="116" spans="1:33" ht="18.75" x14ac:dyDescent="0.25">
      <c r="A116" s="315" t="s">
        <v>90</v>
      </c>
      <c r="B116" s="261">
        <f t="shared" ref="B116:AF116" si="17">SUM(B117:B129)</f>
        <v>22</v>
      </c>
      <c r="C116" s="166">
        <f t="shared" si="17"/>
        <v>30</v>
      </c>
      <c r="D116" s="166">
        <f t="shared" si="17"/>
        <v>32</v>
      </c>
      <c r="E116" s="166">
        <f t="shared" si="17"/>
        <v>30</v>
      </c>
      <c r="F116" s="166">
        <f t="shared" si="17"/>
        <v>39</v>
      </c>
      <c r="G116" s="166">
        <f t="shared" si="17"/>
        <v>44</v>
      </c>
      <c r="H116" s="166">
        <f t="shared" si="17"/>
        <v>32</v>
      </c>
      <c r="I116" s="166">
        <f t="shared" si="17"/>
        <v>23</v>
      </c>
      <c r="J116" s="166">
        <f t="shared" si="17"/>
        <v>34</v>
      </c>
      <c r="K116" s="166">
        <f t="shared" si="17"/>
        <v>33</v>
      </c>
      <c r="L116" s="166">
        <f t="shared" si="17"/>
        <v>30</v>
      </c>
      <c r="M116" s="166">
        <f t="shared" si="17"/>
        <v>61</v>
      </c>
      <c r="N116" s="166">
        <f t="shared" si="17"/>
        <v>50</v>
      </c>
      <c r="O116" s="166">
        <f t="shared" si="17"/>
        <v>33</v>
      </c>
      <c r="P116" s="166">
        <f t="shared" si="17"/>
        <v>16</v>
      </c>
      <c r="Q116" s="166">
        <f t="shared" si="17"/>
        <v>34</v>
      </c>
      <c r="R116" s="166">
        <f t="shared" si="17"/>
        <v>32</v>
      </c>
      <c r="S116" s="166">
        <f t="shared" si="17"/>
        <v>32</v>
      </c>
      <c r="T116" s="166">
        <f t="shared" si="17"/>
        <v>32</v>
      </c>
      <c r="U116" s="166">
        <f t="shared" si="17"/>
        <v>37</v>
      </c>
      <c r="V116" s="166">
        <f t="shared" si="17"/>
        <v>41</v>
      </c>
      <c r="W116" s="166">
        <f t="shared" si="17"/>
        <v>18</v>
      </c>
      <c r="X116" s="166">
        <f t="shared" si="17"/>
        <v>31</v>
      </c>
      <c r="Y116" s="166">
        <f t="shared" si="17"/>
        <v>19</v>
      </c>
      <c r="Z116" s="166">
        <f t="shared" si="17"/>
        <v>18</v>
      </c>
      <c r="AA116" s="166">
        <f t="shared" si="17"/>
        <v>29</v>
      </c>
      <c r="AB116" s="166">
        <f t="shared" si="17"/>
        <v>30</v>
      </c>
      <c r="AC116" s="166">
        <f t="shared" si="17"/>
        <v>24</v>
      </c>
      <c r="AD116" s="166">
        <f t="shared" si="17"/>
        <v>17</v>
      </c>
      <c r="AE116" s="166">
        <f t="shared" si="17"/>
        <v>22</v>
      </c>
      <c r="AF116" s="165">
        <f t="shared" si="17"/>
        <v>0</v>
      </c>
      <c r="AG116" s="64">
        <f t="shared" si="15"/>
        <v>925</v>
      </c>
    </row>
    <row r="117" spans="1:33" ht="18.75" x14ac:dyDescent="0.25">
      <c r="A117" s="323" t="s">
        <v>67</v>
      </c>
      <c r="B117" s="249">
        <v>13</v>
      </c>
      <c r="C117" s="162">
        <v>21</v>
      </c>
      <c r="D117" s="162">
        <f>11+5</f>
        <v>16</v>
      </c>
      <c r="E117" s="162">
        <v>13</v>
      </c>
      <c r="F117" s="162">
        <v>24</v>
      </c>
      <c r="G117" s="162">
        <v>22</v>
      </c>
      <c r="H117" s="162">
        <v>20</v>
      </c>
      <c r="I117" s="162">
        <v>12</v>
      </c>
      <c r="J117" s="162">
        <v>20</v>
      </c>
      <c r="K117" s="162">
        <v>24</v>
      </c>
      <c r="L117" s="162">
        <v>20</v>
      </c>
      <c r="M117" s="162">
        <v>46</v>
      </c>
      <c r="N117" s="162">
        <v>29</v>
      </c>
      <c r="O117" s="162">
        <v>19</v>
      </c>
      <c r="P117" s="162">
        <v>9</v>
      </c>
      <c r="Q117" s="162">
        <v>17</v>
      </c>
      <c r="R117" s="162">
        <v>20</v>
      </c>
      <c r="S117" s="162">
        <v>16</v>
      </c>
      <c r="T117" s="162">
        <v>19</v>
      </c>
      <c r="U117" s="162">
        <v>26</v>
      </c>
      <c r="V117" s="162">
        <v>26</v>
      </c>
      <c r="W117" s="162">
        <v>9</v>
      </c>
      <c r="X117" s="162">
        <v>22</v>
      </c>
      <c r="Y117" s="162">
        <v>12</v>
      </c>
      <c r="Z117" s="162">
        <v>5</v>
      </c>
      <c r="AA117" s="162">
        <v>16</v>
      </c>
      <c r="AB117" s="162">
        <v>13</v>
      </c>
      <c r="AC117" s="162">
        <v>18</v>
      </c>
      <c r="AD117" s="162">
        <v>5</v>
      </c>
      <c r="AE117" s="162">
        <v>14</v>
      </c>
      <c r="AF117" s="161"/>
      <c r="AG117" s="64">
        <f t="shared" si="15"/>
        <v>546</v>
      </c>
    </row>
    <row r="118" spans="1:33" ht="19.5" hidden="1" customHeight="1" thickBot="1" x14ac:dyDescent="0.3">
      <c r="A118" s="323" t="s">
        <v>69</v>
      </c>
      <c r="B118" s="249"/>
      <c r="C118" s="162"/>
      <c r="D118" s="162"/>
      <c r="E118" s="162"/>
      <c r="F118" s="162"/>
      <c r="G118" s="162"/>
      <c r="H118" s="162"/>
      <c r="I118" s="162"/>
      <c r="J118" s="162"/>
      <c r="K118" s="162"/>
      <c r="L118" s="162"/>
      <c r="M118" s="162"/>
      <c r="N118" s="162"/>
      <c r="O118" s="162"/>
      <c r="P118" s="162"/>
      <c r="Q118" s="162"/>
      <c r="R118" s="162"/>
      <c r="S118" s="162"/>
      <c r="T118" s="162"/>
      <c r="U118" s="162"/>
      <c r="V118" s="162"/>
      <c r="W118" s="162"/>
      <c r="X118" s="162"/>
      <c r="Y118" s="162"/>
      <c r="Z118" s="162"/>
      <c r="AA118" s="162"/>
      <c r="AB118" s="162"/>
      <c r="AC118" s="162"/>
      <c r="AD118" s="162"/>
      <c r="AE118" s="162"/>
      <c r="AF118" s="161"/>
      <c r="AG118" s="64">
        <f t="shared" si="15"/>
        <v>0</v>
      </c>
    </row>
    <row r="119" spans="1:33" ht="19.5" hidden="1" customHeight="1" thickBot="1" x14ac:dyDescent="0.3">
      <c r="A119" s="323" t="s">
        <v>68</v>
      </c>
      <c r="B119" s="249"/>
      <c r="C119" s="162"/>
      <c r="D119" s="162"/>
      <c r="E119" s="162"/>
      <c r="F119" s="162"/>
      <c r="G119" s="162"/>
      <c r="H119" s="162"/>
      <c r="I119" s="162"/>
      <c r="J119" s="162"/>
      <c r="K119" s="162"/>
      <c r="L119" s="162"/>
      <c r="M119" s="162"/>
      <c r="N119" s="162"/>
      <c r="O119" s="162"/>
      <c r="P119" s="162"/>
      <c r="Q119" s="162"/>
      <c r="R119" s="162"/>
      <c r="S119" s="162"/>
      <c r="T119" s="162"/>
      <c r="U119" s="162"/>
      <c r="V119" s="162"/>
      <c r="W119" s="162"/>
      <c r="X119" s="162"/>
      <c r="Y119" s="162"/>
      <c r="Z119" s="162"/>
      <c r="AA119" s="162"/>
      <c r="AB119" s="162"/>
      <c r="AC119" s="162"/>
      <c r="AD119" s="162"/>
      <c r="AE119" s="162"/>
      <c r="AF119" s="161"/>
      <c r="AG119" s="64">
        <f t="shared" si="15"/>
        <v>0</v>
      </c>
    </row>
    <row r="120" spans="1:33" ht="19.5" hidden="1" customHeight="1" thickBot="1" x14ac:dyDescent="0.3">
      <c r="A120" s="323" t="s">
        <v>66</v>
      </c>
      <c r="B120" s="249"/>
      <c r="C120" s="162"/>
      <c r="D120" s="162"/>
      <c r="E120" s="162"/>
      <c r="F120" s="162"/>
      <c r="G120" s="162"/>
      <c r="H120" s="162"/>
      <c r="I120" s="162"/>
      <c r="J120" s="162"/>
      <c r="K120" s="162"/>
      <c r="L120" s="162"/>
      <c r="M120" s="162"/>
      <c r="N120" s="162"/>
      <c r="O120" s="162"/>
      <c r="P120" s="162"/>
      <c r="Q120" s="162"/>
      <c r="R120" s="162"/>
      <c r="S120" s="162"/>
      <c r="T120" s="162"/>
      <c r="U120" s="162"/>
      <c r="V120" s="162"/>
      <c r="W120" s="162"/>
      <c r="X120" s="162"/>
      <c r="Y120" s="162"/>
      <c r="Z120" s="162"/>
      <c r="AA120" s="162"/>
      <c r="AB120" s="162"/>
      <c r="AC120" s="162"/>
      <c r="AD120" s="162"/>
      <c r="AE120" s="162"/>
      <c r="AF120" s="161"/>
      <c r="AG120" s="64">
        <f t="shared" si="15"/>
        <v>0</v>
      </c>
    </row>
    <row r="121" spans="1:33" ht="19.5" hidden="1" customHeight="1" thickBot="1" x14ac:dyDescent="0.3">
      <c r="A121" s="323" t="s">
        <v>65</v>
      </c>
      <c r="B121" s="249"/>
      <c r="C121" s="162"/>
      <c r="D121" s="162"/>
      <c r="E121" s="162"/>
      <c r="F121" s="162"/>
      <c r="G121" s="162"/>
      <c r="H121" s="162"/>
      <c r="I121" s="162"/>
      <c r="J121" s="162"/>
      <c r="K121" s="162"/>
      <c r="L121" s="162"/>
      <c r="M121" s="162"/>
      <c r="N121" s="162"/>
      <c r="O121" s="162"/>
      <c r="P121" s="162"/>
      <c r="Q121" s="162"/>
      <c r="R121" s="162"/>
      <c r="S121" s="162"/>
      <c r="T121" s="162"/>
      <c r="U121" s="162"/>
      <c r="V121" s="162"/>
      <c r="W121" s="162"/>
      <c r="X121" s="162"/>
      <c r="Y121" s="162"/>
      <c r="Z121" s="162"/>
      <c r="AA121" s="162"/>
      <c r="AB121" s="162"/>
      <c r="AC121" s="162"/>
      <c r="AD121" s="162"/>
      <c r="AE121" s="162"/>
      <c r="AF121" s="161"/>
      <c r="AG121" s="64">
        <f t="shared" si="15"/>
        <v>0</v>
      </c>
    </row>
    <row r="122" spans="1:33" ht="19.5" hidden="1" customHeight="1" thickBot="1" x14ac:dyDescent="0.3">
      <c r="A122" s="323" t="s">
        <v>64</v>
      </c>
      <c r="B122" s="249"/>
      <c r="C122" s="162"/>
      <c r="D122" s="162"/>
      <c r="E122" s="162"/>
      <c r="F122" s="162"/>
      <c r="G122" s="162"/>
      <c r="H122" s="162"/>
      <c r="I122" s="162"/>
      <c r="J122" s="162"/>
      <c r="K122" s="162"/>
      <c r="L122" s="162"/>
      <c r="M122" s="162"/>
      <c r="N122" s="162"/>
      <c r="O122" s="162"/>
      <c r="P122" s="162"/>
      <c r="Q122" s="162"/>
      <c r="R122" s="162"/>
      <c r="S122" s="162"/>
      <c r="T122" s="162"/>
      <c r="U122" s="162"/>
      <c r="V122" s="162"/>
      <c r="W122" s="162"/>
      <c r="X122" s="162"/>
      <c r="Y122" s="162"/>
      <c r="Z122" s="162"/>
      <c r="AA122" s="162"/>
      <c r="AB122" s="162"/>
      <c r="AC122" s="162"/>
      <c r="AD122" s="162"/>
      <c r="AE122" s="162"/>
      <c r="AF122" s="161"/>
      <c r="AG122" s="64">
        <f t="shared" si="15"/>
        <v>0</v>
      </c>
    </row>
    <row r="123" spans="1:33" ht="19.5" hidden="1" customHeight="1" thickBot="1" x14ac:dyDescent="0.3">
      <c r="A123" s="323" t="s">
        <v>63</v>
      </c>
      <c r="B123" s="249"/>
      <c r="C123" s="162"/>
      <c r="D123" s="162"/>
      <c r="E123" s="162"/>
      <c r="F123" s="162"/>
      <c r="G123" s="162"/>
      <c r="H123" s="162"/>
      <c r="I123" s="162"/>
      <c r="J123" s="162"/>
      <c r="K123" s="162"/>
      <c r="L123" s="162"/>
      <c r="M123" s="162"/>
      <c r="N123" s="162"/>
      <c r="O123" s="162"/>
      <c r="P123" s="162"/>
      <c r="Q123" s="162"/>
      <c r="R123" s="162"/>
      <c r="S123" s="162"/>
      <c r="T123" s="162"/>
      <c r="U123" s="162"/>
      <c r="V123" s="162"/>
      <c r="W123" s="162"/>
      <c r="X123" s="162"/>
      <c r="Y123" s="162"/>
      <c r="Z123" s="162"/>
      <c r="AA123" s="162"/>
      <c r="AB123" s="162"/>
      <c r="AC123" s="162"/>
      <c r="AD123" s="162"/>
      <c r="AE123" s="162"/>
      <c r="AF123" s="161"/>
      <c r="AG123" s="64">
        <f t="shared" si="15"/>
        <v>0</v>
      </c>
    </row>
    <row r="124" spans="1:33" ht="19.5" hidden="1" customHeight="1" thickBot="1" x14ac:dyDescent="0.3">
      <c r="A124" s="323" t="s">
        <v>62</v>
      </c>
      <c r="B124" s="249"/>
      <c r="C124" s="162"/>
      <c r="D124" s="162"/>
      <c r="E124" s="162"/>
      <c r="F124" s="162"/>
      <c r="G124" s="162"/>
      <c r="H124" s="162"/>
      <c r="I124" s="162"/>
      <c r="J124" s="162"/>
      <c r="K124" s="162"/>
      <c r="L124" s="162"/>
      <c r="M124" s="162"/>
      <c r="N124" s="162"/>
      <c r="O124" s="162"/>
      <c r="P124" s="162"/>
      <c r="Q124" s="162"/>
      <c r="R124" s="162"/>
      <c r="S124" s="162"/>
      <c r="T124" s="162"/>
      <c r="U124" s="162"/>
      <c r="V124" s="162"/>
      <c r="W124" s="162"/>
      <c r="X124" s="162"/>
      <c r="Y124" s="162"/>
      <c r="Z124" s="162"/>
      <c r="AA124" s="162"/>
      <c r="AB124" s="162"/>
      <c r="AC124" s="162"/>
      <c r="AD124" s="162"/>
      <c r="AE124" s="162"/>
      <c r="AF124" s="161"/>
      <c r="AG124" s="64">
        <f t="shared" si="15"/>
        <v>0</v>
      </c>
    </row>
    <row r="125" spans="1:33" ht="19.5" hidden="1" customHeight="1" thickBot="1" x14ac:dyDescent="0.3">
      <c r="A125" s="301" t="s">
        <v>60</v>
      </c>
      <c r="B125" s="249"/>
      <c r="C125" s="162"/>
      <c r="D125" s="162"/>
      <c r="E125" s="162"/>
      <c r="F125" s="162"/>
      <c r="G125" s="162"/>
      <c r="H125" s="162"/>
      <c r="I125" s="162"/>
      <c r="J125" s="162"/>
      <c r="K125" s="162"/>
      <c r="L125" s="162"/>
      <c r="M125" s="162"/>
      <c r="N125" s="162"/>
      <c r="O125" s="162"/>
      <c r="P125" s="162"/>
      <c r="Q125" s="162"/>
      <c r="R125" s="162"/>
      <c r="S125" s="162"/>
      <c r="T125" s="162"/>
      <c r="U125" s="162"/>
      <c r="V125" s="162"/>
      <c r="W125" s="162"/>
      <c r="X125" s="162"/>
      <c r="Y125" s="162"/>
      <c r="Z125" s="162"/>
      <c r="AA125" s="162"/>
      <c r="AB125" s="162"/>
      <c r="AC125" s="162"/>
      <c r="AD125" s="162"/>
      <c r="AE125" s="162"/>
      <c r="AF125" s="161"/>
      <c r="AG125" s="64">
        <f t="shared" si="15"/>
        <v>0</v>
      </c>
    </row>
    <row r="126" spans="1:33" ht="19.5" hidden="1" customHeight="1" thickBot="1" x14ac:dyDescent="0.3">
      <c r="A126" s="301" t="s">
        <v>59</v>
      </c>
      <c r="B126" s="249"/>
      <c r="C126" s="162"/>
      <c r="D126" s="162"/>
      <c r="E126" s="162"/>
      <c r="F126" s="162"/>
      <c r="G126" s="162"/>
      <c r="H126" s="162"/>
      <c r="I126" s="162"/>
      <c r="J126" s="162"/>
      <c r="K126" s="162"/>
      <c r="L126" s="162"/>
      <c r="M126" s="162"/>
      <c r="N126" s="162"/>
      <c r="O126" s="162"/>
      <c r="P126" s="162"/>
      <c r="Q126" s="162"/>
      <c r="R126" s="162"/>
      <c r="S126" s="162"/>
      <c r="T126" s="162"/>
      <c r="U126" s="162"/>
      <c r="V126" s="162"/>
      <c r="W126" s="162"/>
      <c r="X126" s="162"/>
      <c r="Y126" s="162"/>
      <c r="Z126" s="162"/>
      <c r="AA126" s="162"/>
      <c r="AB126" s="162"/>
      <c r="AC126" s="162"/>
      <c r="AD126" s="162"/>
      <c r="AE126" s="162"/>
      <c r="AF126" s="161"/>
      <c r="AG126" s="64">
        <f t="shared" si="15"/>
        <v>0</v>
      </c>
    </row>
    <row r="127" spans="1:33" ht="19.5" hidden="1" customHeight="1" thickBot="1" x14ac:dyDescent="0.3">
      <c r="A127" s="301" t="s">
        <v>58</v>
      </c>
      <c r="B127" s="249"/>
      <c r="C127" s="162"/>
      <c r="D127" s="162"/>
      <c r="E127" s="162"/>
      <c r="F127" s="162"/>
      <c r="G127" s="162"/>
      <c r="H127" s="162"/>
      <c r="I127" s="162"/>
      <c r="J127" s="162"/>
      <c r="K127" s="162"/>
      <c r="L127" s="162"/>
      <c r="M127" s="162"/>
      <c r="N127" s="162"/>
      <c r="O127" s="162"/>
      <c r="P127" s="162"/>
      <c r="Q127" s="162"/>
      <c r="R127" s="162"/>
      <c r="S127" s="162"/>
      <c r="T127" s="162"/>
      <c r="U127" s="162"/>
      <c r="V127" s="162"/>
      <c r="W127" s="162"/>
      <c r="X127" s="162"/>
      <c r="Y127" s="162"/>
      <c r="Z127" s="162"/>
      <c r="AA127" s="162"/>
      <c r="AB127" s="162"/>
      <c r="AC127" s="162"/>
      <c r="AD127" s="162"/>
      <c r="AE127" s="162"/>
      <c r="AF127" s="161"/>
      <c r="AG127" s="64">
        <f t="shared" si="15"/>
        <v>0</v>
      </c>
    </row>
    <row r="128" spans="1:33" ht="19.5" hidden="1" customHeight="1" thickBot="1" x14ac:dyDescent="0.3">
      <c r="A128" s="323" t="s">
        <v>88</v>
      </c>
      <c r="B128" s="249"/>
      <c r="C128" s="162"/>
      <c r="D128" s="162"/>
      <c r="E128" s="162"/>
      <c r="F128" s="162"/>
      <c r="G128" s="162"/>
      <c r="H128" s="162"/>
      <c r="I128" s="162"/>
      <c r="J128" s="162"/>
      <c r="K128" s="162"/>
      <c r="L128" s="162"/>
      <c r="M128" s="162"/>
      <c r="N128" s="162"/>
      <c r="O128" s="162"/>
      <c r="P128" s="162"/>
      <c r="Q128" s="162"/>
      <c r="R128" s="162"/>
      <c r="S128" s="162"/>
      <c r="T128" s="162"/>
      <c r="U128" s="162"/>
      <c r="V128" s="162"/>
      <c r="W128" s="162"/>
      <c r="X128" s="162"/>
      <c r="Y128" s="162"/>
      <c r="Z128" s="162"/>
      <c r="AA128" s="162"/>
      <c r="AB128" s="162"/>
      <c r="AC128" s="162"/>
      <c r="AD128" s="162"/>
      <c r="AE128" s="162"/>
      <c r="AF128" s="161"/>
      <c r="AG128" s="64">
        <f t="shared" si="15"/>
        <v>0</v>
      </c>
    </row>
    <row r="129" spans="1:35" ht="19.5" thickBot="1" x14ac:dyDescent="0.3">
      <c r="A129" s="324" t="s">
        <v>87</v>
      </c>
      <c r="B129" s="263">
        <f>7+2</f>
        <v>9</v>
      </c>
      <c r="C129" s="140">
        <f>7+1+1</f>
        <v>9</v>
      </c>
      <c r="D129" s="140">
        <v>16</v>
      </c>
      <c r="E129" s="140">
        <f>12+5</f>
        <v>17</v>
      </c>
      <c r="F129" s="140">
        <f>8+7</f>
        <v>15</v>
      </c>
      <c r="G129" s="140">
        <f>13+9</f>
        <v>22</v>
      </c>
      <c r="H129" s="140">
        <f>7+5</f>
        <v>12</v>
      </c>
      <c r="I129" s="140">
        <f>7+4</f>
        <v>11</v>
      </c>
      <c r="J129" s="140">
        <f>10+4</f>
        <v>14</v>
      </c>
      <c r="K129" s="140">
        <f>6+1+2</f>
        <v>9</v>
      </c>
      <c r="L129" s="140">
        <f>6+4</f>
        <v>10</v>
      </c>
      <c r="M129" s="140">
        <f>11+4</f>
        <v>15</v>
      </c>
      <c r="N129" s="140">
        <f>11+2+8</f>
        <v>21</v>
      </c>
      <c r="O129" s="140">
        <f>10+4</f>
        <v>14</v>
      </c>
      <c r="P129" s="140">
        <f>6+1</f>
        <v>7</v>
      </c>
      <c r="Q129" s="140">
        <f>10+2+5</f>
        <v>17</v>
      </c>
      <c r="R129" s="140">
        <f>8+4</f>
        <v>12</v>
      </c>
      <c r="S129" s="140">
        <f>13+3</f>
        <v>16</v>
      </c>
      <c r="T129" s="140">
        <f>8+5</f>
        <v>13</v>
      </c>
      <c r="U129" s="140">
        <f>8+3</f>
        <v>11</v>
      </c>
      <c r="V129" s="140">
        <f>11+4</f>
        <v>15</v>
      </c>
      <c r="W129" s="140">
        <f>5+4</f>
        <v>9</v>
      </c>
      <c r="X129" s="140">
        <f>6+1+2</f>
        <v>9</v>
      </c>
      <c r="Y129" s="140">
        <v>7</v>
      </c>
      <c r="Z129" s="140">
        <f>8+1+4</f>
        <v>13</v>
      </c>
      <c r="AA129" s="140">
        <f>7+6</f>
        <v>13</v>
      </c>
      <c r="AB129" s="140">
        <f>9+8</f>
        <v>17</v>
      </c>
      <c r="AC129" s="140">
        <f>2+4</f>
        <v>6</v>
      </c>
      <c r="AD129" s="140">
        <f>9+3</f>
        <v>12</v>
      </c>
      <c r="AE129" s="140">
        <v>8</v>
      </c>
      <c r="AF129" s="139"/>
      <c r="AG129" s="64">
        <f t="shared" si="15"/>
        <v>379</v>
      </c>
    </row>
    <row r="130" spans="1:35" ht="18.75" x14ac:dyDescent="0.25">
      <c r="A130" s="315" t="s">
        <v>89</v>
      </c>
      <c r="B130" s="261">
        <f t="shared" ref="B130:AF130" si="18">SUM(B131:B143)</f>
        <v>145</v>
      </c>
      <c r="C130" s="166">
        <f t="shared" si="18"/>
        <v>137</v>
      </c>
      <c r="D130" s="166">
        <f t="shared" si="18"/>
        <v>169</v>
      </c>
      <c r="E130" s="166">
        <f t="shared" si="18"/>
        <v>164</v>
      </c>
      <c r="F130" s="166">
        <f t="shared" si="18"/>
        <v>144</v>
      </c>
      <c r="G130" s="166">
        <f t="shared" si="18"/>
        <v>149</v>
      </c>
      <c r="H130" s="166">
        <f t="shared" si="18"/>
        <v>164</v>
      </c>
      <c r="I130" s="166">
        <f t="shared" si="18"/>
        <v>139</v>
      </c>
      <c r="J130" s="166">
        <f t="shared" si="18"/>
        <v>139</v>
      </c>
      <c r="K130" s="166">
        <f t="shared" si="18"/>
        <v>146</v>
      </c>
      <c r="L130" s="166">
        <f t="shared" si="18"/>
        <v>134</v>
      </c>
      <c r="M130" s="166">
        <f t="shared" si="18"/>
        <v>172</v>
      </c>
      <c r="N130" s="166">
        <f t="shared" si="18"/>
        <v>154</v>
      </c>
      <c r="O130" s="166">
        <f t="shared" si="18"/>
        <v>162</v>
      </c>
      <c r="P130" s="166">
        <f t="shared" si="18"/>
        <v>115</v>
      </c>
      <c r="Q130" s="166">
        <f t="shared" si="18"/>
        <v>146</v>
      </c>
      <c r="R130" s="166">
        <f t="shared" si="18"/>
        <v>132</v>
      </c>
      <c r="S130" s="166">
        <f t="shared" si="18"/>
        <v>124</v>
      </c>
      <c r="T130" s="166">
        <f t="shared" si="18"/>
        <v>151</v>
      </c>
      <c r="U130" s="166">
        <f t="shared" si="18"/>
        <v>130</v>
      </c>
      <c r="V130" s="166">
        <f t="shared" si="18"/>
        <v>155</v>
      </c>
      <c r="W130" s="166">
        <f t="shared" si="18"/>
        <v>172</v>
      </c>
      <c r="X130" s="166">
        <f t="shared" si="18"/>
        <v>150</v>
      </c>
      <c r="Y130" s="166">
        <f t="shared" si="18"/>
        <v>128</v>
      </c>
      <c r="Z130" s="166">
        <f t="shared" si="18"/>
        <v>137</v>
      </c>
      <c r="AA130" s="166">
        <f t="shared" si="18"/>
        <v>146</v>
      </c>
      <c r="AB130" s="166">
        <f t="shared" si="18"/>
        <v>123</v>
      </c>
      <c r="AC130" s="166">
        <f t="shared" si="18"/>
        <v>144</v>
      </c>
      <c r="AD130" s="166">
        <f t="shared" si="18"/>
        <v>154</v>
      </c>
      <c r="AE130" s="166">
        <f t="shared" si="18"/>
        <v>123</v>
      </c>
      <c r="AF130" s="165">
        <f t="shared" si="18"/>
        <v>0</v>
      </c>
      <c r="AG130" s="164">
        <f t="shared" si="15"/>
        <v>4348</v>
      </c>
      <c r="AH130" s="152" t="str">
        <f>IF(AG130&lt;&gt;AG93,"*","")</f>
        <v/>
      </c>
    </row>
    <row r="131" spans="1:35" ht="18.75" x14ac:dyDescent="0.25">
      <c r="A131" s="323" t="s">
        <v>67</v>
      </c>
      <c r="B131" s="249">
        <v>13</v>
      </c>
      <c r="C131" s="162">
        <v>21</v>
      </c>
      <c r="D131" s="162">
        <v>16</v>
      </c>
      <c r="E131" s="162">
        <v>10</v>
      </c>
      <c r="F131" s="162">
        <v>23</v>
      </c>
      <c r="G131" s="162">
        <v>22</v>
      </c>
      <c r="H131" s="162">
        <v>19</v>
      </c>
      <c r="I131" s="162">
        <v>10</v>
      </c>
      <c r="J131" s="162">
        <v>19</v>
      </c>
      <c r="K131" s="162">
        <v>23</v>
      </c>
      <c r="L131" s="162">
        <v>18</v>
      </c>
      <c r="M131" s="162">
        <v>45</v>
      </c>
      <c r="N131" s="162">
        <v>29</v>
      </c>
      <c r="O131" s="162">
        <v>16</v>
      </c>
      <c r="P131" s="162">
        <v>9</v>
      </c>
      <c r="Q131" s="162">
        <v>16</v>
      </c>
      <c r="R131" s="162">
        <v>18</v>
      </c>
      <c r="S131" s="162">
        <v>16</v>
      </c>
      <c r="T131" s="162">
        <v>19</v>
      </c>
      <c r="U131" s="162">
        <v>26</v>
      </c>
      <c r="V131" s="162">
        <v>26</v>
      </c>
      <c r="W131" s="162">
        <v>9</v>
      </c>
      <c r="X131" s="162">
        <v>21</v>
      </c>
      <c r="Y131" s="162">
        <v>12</v>
      </c>
      <c r="Z131" s="162">
        <v>5</v>
      </c>
      <c r="AA131" s="162">
        <v>16</v>
      </c>
      <c r="AB131" s="162">
        <v>13</v>
      </c>
      <c r="AC131" s="162">
        <v>18</v>
      </c>
      <c r="AD131" s="162">
        <v>5</v>
      </c>
      <c r="AE131" s="162">
        <v>11</v>
      </c>
      <c r="AF131" s="161"/>
      <c r="AG131" s="64">
        <f t="shared" ref="AG131:AG145" si="19">SUM(B131:AF131)</f>
        <v>524</v>
      </c>
    </row>
    <row r="132" spans="1:35" ht="18.75" x14ac:dyDescent="0.25">
      <c r="A132" s="323" t="s">
        <v>69</v>
      </c>
      <c r="B132" s="249">
        <v>1</v>
      </c>
      <c r="C132" s="162">
        <v>6</v>
      </c>
      <c r="D132" s="162">
        <v>2</v>
      </c>
      <c r="E132" s="162"/>
      <c r="F132" s="162">
        <v>7</v>
      </c>
      <c r="G132" s="162">
        <v>4</v>
      </c>
      <c r="H132" s="162">
        <v>3</v>
      </c>
      <c r="I132" s="162">
        <v>2</v>
      </c>
      <c r="J132" s="162"/>
      <c r="K132" s="162">
        <v>1</v>
      </c>
      <c r="L132" s="162">
        <v>1</v>
      </c>
      <c r="M132" s="162">
        <v>1</v>
      </c>
      <c r="N132" s="162">
        <v>3</v>
      </c>
      <c r="O132" s="162">
        <v>2</v>
      </c>
      <c r="P132" s="162">
        <v>3</v>
      </c>
      <c r="Q132" s="162">
        <v>4</v>
      </c>
      <c r="R132" s="162">
        <v>4</v>
      </c>
      <c r="S132" s="162">
        <v>1</v>
      </c>
      <c r="T132" s="162">
        <v>3</v>
      </c>
      <c r="U132" s="162">
        <v>3</v>
      </c>
      <c r="V132" s="162">
        <v>2</v>
      </c>
      <c r="W132" s="162">
        <v>2</v>
      </c>
      <c r="X132" s="162">
        <v>3</v>
      </c>
      <c r="Y132" s="162">
        <v>6</v>
      </c>
      <c r="Z132" s="162">
        <v>2</v>
      </c>
      <c r="AA132" s="162">
        <v>4</v>
      </c>
      <c r="AB132" s="162">
        <v>6</v>
      </c>
      <c r="AC132" s="162">
        <v>11</v>
      </c>
      <c r="AD132" s="162">
        <v>1</v>
      </c>
      <c r="AE132" s="162">
        <v>5</v>
      </c>
      <c r="AF132" s="161"/>
      <c r="AG132" s="64">
        <f t="shared" si="19"/>
        <v>93</v>
      </c>
    </row>
    <row r="133" spans="1:35" ht="18.75" x14ac:dyDescent="0.25">
      <c r="A133" s="323" t="s">
        <v>68</v>
      </c>
      <c r="B133" s="249">
        <v>3</v>
      </c>
      <c r="C133" s="162">
        <v>3</v>
      </c>
      <c r="D133" s="162">
        <v>2</v>
      </c>
      <c r="E133" s="162">
        <v>5</v>
      </c>
      <c r="F133" s="162">
        <v>7</v>
      </c>
      <c r="G133" s="162">
        <v>5</v>
      </c>
      <c r="H133" s="162">
        <v>1</v>
      </c>
      <c r="I133" s="162">
        <v>3</v>
      </c>
      <c r="J133" s="162">
        <v>3</v>
      </c>
      <c r="K133" s="162">
        <v>2</v>
      </c>
      <c r="L133" s="162">
        <v>3</v>
      </c>
      <c r="M133" s="162">
        <v>5</v>
      </c>
      <c r="N133" s="162">
        <v>6</v>
      </c>
      <c r="O133" s="162">
        <v>3</v>
      </c>
      <c r="P133" s="162">
        <v>1</v>
      </c>
      <c r="Q133" s="162">
        <v>2</v>
      </c>
      <c r="R133" s="162">
        <v>3</v>
      </c>
      <c r="S133" s="162">
        <v>3</v>
      </c>
      <c r="T133" s="162">
        <v>4</v>
      </c>
      <c r="U133" s="162">
        <v>2</v>
      </c>
      <c r="V133" s="162">
        <v>1</v>
      </c>
      <c r="W133" s="162">
        <v>3</v>
      </c>
      <c r="X133" s="162">
        <v>4</v>
      </c>
      <c r="Y133" s="162">
        <v>3</v>
      </c>
      <c r="Z133" s="162">
        <v>1</v>
      </c>
      <c r="AA133" s="162">
        <v>1</v>
      </c>
      <c r="AB133" s="162">
        <v>4</v>
      </c>
      <c r="AC133" s="162">
        <v>8</v>
      </c>
      <c r="AD133" s="162">
        <v>4</v>
      </c>
      <c r="AE133" s="162">
        <v>6</v>
      </c>
      <c r="AF133" s="161"/>
      <c r="AG133" s="64">
        <f t="shared" si="19"/>
        <v>101</v>
      </c>
    </row>
    <row r="134" spans="1:35" ht="18.75" x14ac:dyDescent="0.25">
      <c r="A134" s="323" t="s">
        <v>66</v>
      </c>
      <c r="B134" s="249">
        <v>3</v>
      </c>
      <c r="C134" s="162">
        <f>1+2+5</f>
        <v>8</v>
      </c>
      <c r="D134" s="162">
        <v>4</v>
      </c>
      <c r="E134" s="162">
        <f>2+1</f>
        <v>3</v>
      </c>
      <c r="F134" s="162">
        <v>1</v>
      </c>
      <c r="G134" s="162">
        <f>5+3</f>
        <v>8</v>
      </c>
      <c r="H134" s="162">
        <f>3+3</f>
        <v>6</v>
      </c>
      <c r="I134" s="162">
        <v>3</v>
      </c>
      <c r="J134" s="162">
        <f>4+1</f>
        <v>5</v>
      </c>
      <c r="K134" s="162">
        <v>7</v>
      </c>
      <c r="L134" s="162">
        <f>2+2</f>
        <v>4</v>
      </c>
      <c r="M134" s="162">
        <f>2+5</f>
        <v>7</v>
      </c>
      <c r="N134" s="162">
        <f>4+2</f>
        <v>6</v>
      </c>
      <c r="O134" s="162">
        <f>1+4+4</f>
        <v>9</v>
      </c>
      <c r="P134" s="162">
        <f>4+2</f>
        <v>6</v>
      </c>
      <c r="Q134" s="162">
        <f>4+1</f>
        <v>5</v>
      </c>
      <c r="R134" s="162">
        <f>4+2</f>
        <v>6</v>
      </c>
      <c r="S134" s="162">
        <f>2+1</f>
        <v>3</v>
      </c>
      <c r="T134" s="162">
        <f>1+6+2</f>
        <v>9</v>
      </c>
      <c r="U134" s="162">
        <f>1+5+1</f>
        <v>7</v>
      </c>
      <c r="V134" s="162">
        <f>3+4</f>
        <v>7</v>
      </c>
      <c r="W134" s="162">
        <f>1+2</f>
        <v>3</v>
      </c>
      <c r="X134" s="162">
        <f>3+3</f>
        <v>6</v>
      </c>
      <c r="Y134" s="162">
        <f>1+3</f>
        <v>4</v>
      </c>
      <c r="Z134" s="162">
        <v>4</v>
      </c>
      <c r="AA134" s="162">
        <f>3+3</f>
        <v>6</v>
      </c>
      <c r="AB134" s="162">
        <f>1+3+1</f>
        <v>5</v>
      </c>
      <c r="AC134" s="162">
        <f>3+7</f>
        <v>10</v>
      </c>
      <c r="AD134" s="162">
        <v>3</v>
      </c>
      <c r="AE134" s="162">
        <f>3+2</f>
        <v>5</v>
      </c>
      <c r="AF134" s="161"/>
      <c r="AG134" s="64">
        <f t="shared" si="19"/>
        <v>163</v>
      </c>
    </row>
    <row r="135" spans="1:35" ht="18.75" x14ac:dyDescent="0.25">
      <c r="A135" s="323" t="s">
        <v>65</v>
      </c>
      <c r="B135" s="249">
        <v>2</v>
      </c>
      <c r="C135" s="162">
        <v>8</v>
      </c>
      <c r="D135" s="162">
        <v>5</v>
      </c>
      <c r="E135" s="162">
        <v>3</v>
      </c>
      <c r="F135" s="162">
        <v>9</v>
      </c>
      <c r="G135" s="162">
        <v>9</v>
      </c>
      <c r="H135" s="162">
        <v>3</v>
      </c>
      <c r="I135" s="162">
        <v>1</v>
      </c>
      <c r="J135" s="162">
        <v>8</v>
      </c>
      <c r="K135" s="162">
        <v>5</v>
      </c>
      <c r="L135" s="162">
        <v>3</v>
      </c>
      <c r="M135" s="162"/>
      <c r="N135" s="162">
        <v>8</v>
      </c>
      <c r="O135" s="162">
        <v>5</v>
      </c>
      <c r="P135" s="162"/>
      <c r="Q135" s="162">
        <v>4</v>
      </c>
      <c r="R135" s="162">
        <v>1</v>
      </c>
      <c r="S135" s="162">
        <v>1</v>
      </c>
      <c r="T135" s="162">
        <v>14</v>
      </c>
      <c r="U135" s="162">
        <v>13</v>
      </c>
      <c r="V135" s="162">
        <v>9</v>
      </c>
      <c r="W135" s="162">
        <v>1</v>
      </c>
      <c r="X135" s="162">
        <v>3</v>
      </c>
      <c r="Y135" s="162">
        <v>3</v>
      </c>
      <c r="Z135" s="162"/>
      <c r="AA135" s="162">
        <v>5</v>
      </c>
      <c r="AB135" s="162">
        <v>6</v>
      </c>
      <c r="AC135" s="162">
        <v>8</v>
      </c>
      <c r="AD135" s="162">
        <v>1</v>
      </c>
      <c r="AE135" s="162">
        <v>1</v>
      </c>
      <c r="AF135" s="161"/>
      <c r="AG135" s="64">
        <f t="shared" si="19"/>
        <v>139</v>
      </c>
    </row>
    <row r="136" spans="1:35" ht="18.75" x14ac:dyDescent="0.25">
      <c r="A136" s="323" t="s">
        <v>64</v>
      </c>
      <c r="B136" s="249">
        <v>101</v>
      </c>
      <c r="C136" s="162">
        <v>72</v>
      </c>
      <c r="D136" s="162">
        <v>112</v>
      </c>
      <c r="E136" s="162">
        <v>115</v>
      </c>
      <c r="F136" s="162">
        <v>70</v>
      </c>
      <c r="G136" s="162">
        <v>69</v>
      </c>
      <c r="H136" s="162">
        <v>113</v>
      </c>
      <c r="I136" s="162">
        <v>104</v>
      </c>
      <c r="J136" s="162">
        <v>75</v>
      </c>
      <c r="K136" s="162">
        <v>83</v>
      </c>
      <c r="L136" s="162">
        <v>81</v>
      </c>
      <c r="M136" s="162">
        <v>81</v>
      </c>
      <c r="N136" s="162">
        <v>73</v>
      </c>
      <c r="O136" s="162">
        <v>100</v>
      </c>
      <c r="P136" s="162">
        <v>80</v>
      </c>
      <c r="Q136" s="162">
        <v>87</v>
      </c>
      <c r="R136" s="162">
        <v>72</v>
      </c>
      <c r="S136" s="162">
        <v>74</v>
      </c>
      <c r="T136" s="162">
        <v>75</v>
      </c>
      <c r="U136" s="162">
        <v>58</v>
      </c>
      <c r="V136" s="162">
        <v>81</v>
      </c>
      <c r="W136" s="162">
        <v>130</v>
      </c>
      <c r="X136" s="162">
        <v>82</v>
      </c>
      <c r="Y136" s="162">
        <v>78</v>
      </c>
      <c r="Z136" s="162">
        <v>101</v>
      </c>
      <c r="AA136" s="162">
        <v>83</v>
      </c>
      <c r="AB136" s="162">
        <v>59</v>
      </c>
      <c r="AC136" s="162">
        <v>70</v>
      </c>
      <c r="AD136" s="162">
        <v>119</v>
      </c>
      <c r="AE136" s="162">
        <v>80</v>
      </c>
      <c r="AF136" s="161"/>
      <c r="AG136" s="64">
        <f t="shared" si="19"/>
        <v>2578</v>
      </c>
    </row>
    <row r="137" spans="1:35" ht="18.75" x14ac:dyDescent="0.25">
      <c r="A137" s="323" t="s">
        <v>63</v>
      </c>
      <c r="B137" s="249"/>
      <c r="C137" s="162">
        <v>3</v>
      </c>
      <c r="D137" s="162">
        <v>3</v>
      </c>
      <c r="E137" s="162">
        <v>1</v>
      </c>
      <c r="F137" s="162">
        <v>4</v>
      </c>
      <c r="G137" s="162">
        <v>2</v>
      </c>
      <c r="H137" s="162">
        <v>1</v>
      </c>
      <c r="I137" s="162">
        <v>1</v>
      </c>
      <c r="J137" s="162">
        <v>3</v>
      </c>
      <c r="K137" s="162">
        <v>3</v>
      </c>
      <c r="L137" s="162">
        <f>3+1</f>
        <v>4</v>
      </c>
      <c r="M137" s="162">
        <f>3+1</f>
        <v>4</v>
      </c>
      <c r="N137" s="162">
        <v>1</v>
      </c>
      <c r="O137" s="162">
        <v>1</v>
      </c>
      <c r="P137" s="162">
        <v>1</v>
      </c>
      <c r="Q137" s="162">
        <v>5</v>
      </c>
      <c r="R137" s="162">
        <f>4+1</f>
        <v>5</v>
      </c>
      <c r="S137" s="162">
        <v>5</v>
      </c>
      <c r="T137" s="162">
        <v>3</v>
      </c>
      <c r="U137" s="162">
        <v>3</v>
      </c>
      <c r="V137" s="162">
        <v>3</v>
      </c>
      <c r="W137" s="162">
        <v>1</v>
      </c>
      <c r="X137" s="162">
        <f>3+1</f>
        <v>4</v>
      </c>
      <c r="Y137" s="162">
        <v>5</v>
      </c>
      <c r="Z137" s="162">
        <v>2</v>
      </c>
      <c r="AA137" s="162">
        <v>4</v>
      </c>
      <c r="AB137" s="162">
        <v>5</v>
      </c>
      <c r="AC137" s="162">
        <v>1</v>
      </c>
      <c r="AD137" s="162">
        <v>1</v>
      </c>
      <c r="AE137" s="162">
        <v>2</v>
      </c>
      <c r="AF137" s="161"/>
      <c r="AG137" s="64">
        <f t="shared" si="19"/>
        <v>81</v>
      </c>
    </row>
    <row r="138" spans="1:35" ht="18.75" x14ac:dyDescent="0.25">
      <c r="A138" s="323" t="s">
        <v>62</v>
      </c>
      <c r="B138" s="249">
        <v>3</v>
      </c>
      <c r="C138" s="162">
        <v>1</v>
      </c>
      <c r="D138" s="162"/>
      <c r="E138" s="162"/>
      <c r="F138" s="162"/>
      <c r="G138" s="162">
        <v>1</v>
      </c>
      <c r="H138" s="162">
        <v>2</v>
      </c>
      <c r="I138" s="162"/>
      <c r="J138" s="162"/>
      <c r="K138" s="162">
        <v>1</v>
      </c>
      <c r="L138" s="162"/>
      <c r="M138" s="162">
        <v>3</v>
      </c>
      <c r="N138" s="162"/>
      <c r="O138" s="162">
        <v>2</v>
      </c>
      <c r="P138" s="162">
        <v>1</v>
      </c>
      <c r="Q138" s="162"/>
      <c r="R138" s="162"/>
      <c r="S138" s="162"/>
      <c r="T138" s="162">
        <v>2</v>
      </c>
      <c r="U138" s="162">
        <v>1</v>
      </c>
      <c r="V138" s="162">
        <v>1</v>
      </c>
      <c r="W138" s="162"/>
      <c r="X138" s="162"/>
      <c r="Y138" s="162">
        <v>1</v>
      </c>
      <c r="Z138" s="162">
        <v>1</v>
      </c>
      <c r="AA138" s="162">
        <v>1</v>
      </c>
      <c r="AB138" s="162">
        <v>1</v>
      </c>
      <c r="AC138" s="162">
        <v>1</v>
      </c>
      <c r="AD138" s="162"/>
      <c r="AE138" s="162"/>
      <c r="AF138" s="161"/>
      <c r="AG138" s="64">
        <f t="shared" si="19"/>
        <v>23</v>
      </c>
    </row>
    <row r="139" spans="1:35" ht="18.75" x14ac:dyDescent="0.25">
      <c r="A139" s="301" t="s">
        <v>60</v>
      </c>
      <c r="B139" s="249">
        <v>3</v>
      </c>
      <c r="C139" s="162">
        <v>1</v>
      </c>
      <c r="D139" s="162">
        <v>2</v>
      </c>
      <c r="E139" s="162">
        <v>1</v>
      </c>
      <c r="F139" s="162">
        <v>1</v>
      </c>
      <c r="G139" s="162"/>
      <c r="H139" s="162">
        <v>2</v>
      </c>
      <c r="I139" s="162">
        <v>3</v>
      </c>
      <c r="J139" s="162"/>
      <c r="K139" s="162">
        <v>2</v>
      </c>
      <c r="L139" s="162">
        <v>3</v>
      </c>
      <c r="M139" s="162">
        <f>4+2</f>
        <v>6</v>
      </c>
      <c r="N139" s="162">
        <v>2</v>
      </c>
      <c r="O139" s="162">
        <v>1</v>
      </c>
      <c r="P139" s="162">
        <v>1</v>
      </c>
      <c r="Q139" s="162"/>
      <c r="R139" s="162">
        <v>5</v>
      </c>
      <c r="S139" s="162"/>
      <c r="T139" s="162">
        <f>2+1</f>
        <v>3</v>
      </c>
      <c r="U139" s="162">
        <v>1</v>
      </c>
      <c r="V139" s="162">
        <v>1</v>
      </c>
      <c r="W139" s="162">
        <v>5</v>
      </c>
      <c r="X139" s="162">
        <v>3</v>
      </c>
      <c r="Y139" s="162"/>
      <c r="Z139" s="162"/>
      <c r="AA139" s="162">
        <v>2</v>
      </c>
      <c r="AB139" s="162">
        <v>1</v>
      </c>
      <c r="AC139" s="162">
        <v>2</v>
      </c>
      <c r="AD139" s="162">
        <v>1</v>
      </c>
      <c r="AE139" s="162">
        <v>1</v>
      </c>
      <c r="AF139" s="161"/>
      <c r="AG139" s="64">
        <f t="shared" si="19"/>
        <v>53</v>
      </c>
    </row>
    <row r="140" spans="1:35" ht="18.75" x14ac:dyDescent="0.25">
      <c r="A140" s="301" t="s">
        <v>59</v>
      </c>
      <c r="B140" s="249">
        <v>3</v>
      </c>
      <c r="C140" s="162">
        <v>1</v>
      </c>
      <c r="D140" s="162">
        <v>1</v>
      </c>
      <c r="E140" s="162">
        <v>1</v>
      </c>
      <c r="F140" s="162"/>
      <c r="G140" s="162"/>
      <c r="H140" s="162"/>
      <c r="I140" s="162"/>
      <c r="J140" s="162">
        <v>3</v>
      </c>
      <c r="K140" s="162">
        <v>3</v>
      </c>
      <c r="L140" s="162"/>
      <c r="M140" s="162">
        <v>2</v>
      </c>
      <c r="N140" s="162"/>
      <c r="O140" s="162">
        <v>3</v>
      </c>
      <c r="P140" s="162"/>
      <c r="Q140" s="162"/>
      <c r="R140" s="162"/>
      <c r="S140" s="162">
        <v>2</v>
      </c>
      <c r="T140" s="162"/>
      <c r="U140" s="162">
        <v>1</v>
      </c>
      <c r="V140" s="162">
        <v>3</v>
      </c>
      <c r="W140" s="162">
        <v>2</v>
      </c>
      <c r="X140" s="162">
        <v>1</v>
      </c>
      <c r="Y140" s="162">
        <v>1</v>
      </c>
      <c r="Z140" s="162">
        <v>3</v>
      </c>
      <c r="AA140" s="162">
        <v>1</v>
      </c>
      <c r="AB140" s="162"/>
      <c r="AC140" s="162"/>
      <c r="AD140" s="162">
        <v>2</v>
      </c>
      <c r="AE140" s="162"/>
      <c r="AF140" s="161"/>
      <c r="AG140" s="64">
        <f t="shared" si="19"/>
        <v>33</v>
      </c>
    </row>
    <row r="141" spans="1:35" ht="18.75" x14ac:dyDescent="0.25">
      <c r="A141" s="301" t="s">
        <v>58</v>
      </c>
      <c r="B141" s="249"/>
      <c r="C141" s="162">
        <v>1</v>
      </c>
      <c r="D141" s="162"/>
      <c r="E141" s="162">
        <v>1</v>
      </c>
      <c r="F141" s="162">
        <v>1</v>
      </c>
      <c r="G141" s="162">
        <v>1</v>
      </c>
      <c r="H141" s="162"/>
      <c r="I141" s="162"/>
      <c r="J141" s="162"/>
      <c r="K141" s="162"/>
      <c r="L141" s="162"/>
      <c r="M141" s="162"/>
      <c r="N141" s="162"/>
      <c r="O141" s="162"/>
      <c r="P141" s="162"/>
      <c r="Q141" s="162">
        <v>1</v>
      </c>
      <c r="R141" s="162"/>
      <c r="S141" s="162"/>
      <c r="T141" s="162"/>
      <c r="U141" s="162"/>
      <c r="V141" s="162"/>
      <c r="W141" s="162">
        <v>1</v>
      </c>
      <c r="X141" s="162">
        <v>1</v>
      </c>
      <c r="Y141" s="162">
        <v>1</v>
      </c>
      <c r="Z141" s="162"/>
      <c r="AA141" s="162"/>
      <c r="AB141" s="162">
        <v>1</v>
      </c>
      <c r="AC141" s="162">
        <v>1</v>
      </c>
      <c r="AD141" s="162"/>
      <c r="AE141" s="162">
        <v>1</v>
      </c>
      <c r="AF141" s="161"/>
      <c r="AG141" s="64">
        <f t="shared" si="19"/>
        <v>11</v>
      </c>
    </row>
    <row r="142" spans="1:35" ht="18.75" x14ac:dyDescent="0.25">
      <c r="A142" s="323" t="s">
        <v>88</v>
      </c>
      <c r="B142" s="249">
        <f>1+2+1+1</f>
        <v>5</v>
      </c>
      <c r="C142" s="162">
        <f>1+2+1</f>
        <v>4</v>
      </c>
      <c r="D142" s="162">
        <f>1+1+1+1+3</f>
        <v>7</v>
      </c>
      <c r="E142" s="162">
        <f>1+1+2+1+2+2</f>
        <v>9</v>
      </c>
      <c r="F142" s="162">
        <f>1+1+1+1+1+1+1</f>
        <v>7</v>
      </c>
      <c r="G142" s="162">
        <f>2+1+1+1+1</f>
        <v>6</v>
      </c>
      <c r="H142" s="162">
        <f>1+1+1</f>
        <v>3</v>
      </c>
      <c r="I142" s="162">
        <f>1+1</f>
        <v>2</v>
      </c>
      <c r="J142" s="162">
        <f>2+1+1+2+2+1</f>
        <v>9</v>
      </c>
      <c r="K142" s="162">
        <f>1+1+1+1+2+1</f>
        <v>7</v>
      </c>
      <c r="L142" s="162">
        <f>1+1+1+1+3</f>
        <v>7</v>
      </c>
      <c r="M142" s="162">
        <f>1+1+1</f>
        <v>3</v>
      </c>
      <c r="N142" s="162">
        <f>1+1+1+1+1</f>
        <v>5</v>
      </c>
      <c r="O142" s="162">
        <f>1+1+1+1+1+1+1</f>
        <v>7</v>
      </c>
      <c r="P142" s="162">
        <f>1+2+1+2</f>
        <v>6</v>
      </c>
      <c r="Q142" s="162">
        <f>2+1+1+1+1</f>
        <v>6</v>
      </c>
      <c r="R142" s="162">
        <f>1+1+1+1+2</f>
        <v>6</v>
      </c>
      <c r="S142" s="162">
        <f>1+1+1</f>
        <v>3</v>
      </c>
      <c r="T142" s="162">
        <f>1+3+1+1</f>
        <v>6</v>
      </c>
      <c r="U142" s="162">
        <f>1+3</f>
        <v>4</v>
      </c>
      <c r="V142" s="162">
        <f>1+1+2+1+1+1</f>
        <v>7</v>
      </c>
      <c r="W142" s="162">
        <f>1+1+1+2+1+2</f>
        <v>8</v>
      </c>
      <c r="X142" s="162">
        <f>1+1+2+1+1+1+1+2+3</f>
        <v>13</v>
      </c>
      <c r="Y142" s="162">
        <f>1+2+1+2+1</f>
        <v>7</v>
      </c>
      <c r="Z142" s="162">
        <f>1+2+2</f>
        <v>5</v>
      </c>
      <c r="AA142" s="162">
        <f>1+1+1+1+1+2+1+2</f>
        <v>10</v>
      </c>
      <c r="AB142" s="162">
        <f>1+1+2+1+1+1</f>
        <v>7</v>
      </c>
      <c r="AC142" s="162">
        <f>1+1+1+1+1+3</f>
        <v>8</v>
      </c>
      <c r="AD142" s="162">
        <f>1+1+1+1+3</f>
        <v>7</v>
      </c>
      <c r="AE142" s="162">
        <f>1+1+1</f>
        <v>3</v>
      </c>
      <c r="AF142" s="161"/>
      <c r="AG142" s="64">
        <f t="shared" si="19"/>
        <v>187</v>
      </c>
    </row>
    <row r="143" spans="1:35" ht="19.5" thickBot="1" x14ac:dyDescent="0.3">
      <c r="A143" s="324" t="s">
        <v>87</v>
      </c>
      <c r="B143" s="263">
        <f>6+2</f>
        <v>8</v>
      </c>
      <c r="C143" s="140">
        <f>6+1+1</f>
        <v>8</v>
      </c>
      <c r="D143" s="140">
        <f>10+5</f>
        <v>15</v>
      </c>
      <c r="E143" s="140">
        <f>11+4</f>
        <v>15</v>
      </c>
      <c r="F143" s="140">
        <f>7+7</f>
        <v>14</v>
      </c>
      <c r="G143" s="140">
        <f>13+9</f>
        <v>22</v>
      </c>
      <c r="H143" s="140">
        <f>7+4</f>
        <v>11</v>
      </c>
      <c r="I143" s="140">
        <f>7+3</f>
        <v>10</v>
      </c>
      <c r="J143" s="140">
        <f>10+4</f>
        <v>14</v>
      </c>
      <c r="K143" s="140">
        <f>6+1+2</f>
        <v>9</v>
      </c>
      <c r="L143" s="140">
        <f>6+4</f>
        <v>10</v>
      </c>
      <c r="M143" s="140">
        <f>11+4</f>
        <v>15</v>
      </c>
      <c r="N143" s="140">
        <f>11+2+8</f>
        <v>21</v>
      </c>
      <c r="O143" s="140">
        <f>9+4</f>
        <v>13</v>
      </c>
      <c r="P143" s="140">
        <f>6+1</f>
        <v>7</v>
      </c>
      <c r="Q143" s="140">
        <f>9+5+2</f>
        <v>16</v>
      </c>
      <c r="R143" s="140">
        <f>8+4</f>
        <v>12</v>
      </c>
      <c r="S143" s="140">
        <f>13+3</f>
        <v>16</v>
      </c>
      <c r="T143" s="140">
        <f>8+5</f>
        <v>13</v>
      </c>
      <c r="U143" s="140">
        <f>8+3</f>
        <v>11</v>
      </c>
      <c r="V143" s="140">
        <f>10+4</f>
        <v>14</v>
      </c>
      <c r="W143" s="140">
        <f>4+3</f>
        <v>7</v>
      </c>
      <c r="X143" s="140">
        <f>6+1+2</f>
        <v>9</v>
      </c>
      <c r="Y143" s="140">
        <v>7</v>
      </c>
      <c r="Z143" s="140">
        <f>8+1+4</f>
        <v>13</v>
      </c>
      <c r="AA143" s="140">
        <f>7+6</f>
        <v>13</v>
      </c>
      <c r="AB143" s="140">
        <f>7+8</f>
        <v>15</v>
      </c>
      <c r="AC143" s="140">
        <f>2+4</f>
        <v>6</v>
      </c>
      <c r="AD143" s="140">
        <f>7+3</f>
        <v>10</v>
      </c>
      <c r="AE143" s="140">
        <v>8</v>
      </c>
      <c r="AF143" s="139"/>
      <c r="AG143" s="160">
        <f t="shared" si="19"/>
        <v>362</v>
      </c>
    </row>
    <row r="144" spans="1:35" ht="19.5" thickBot="1" x14ac:dyDescent="0.3">
      <c r="A144" s="309" t="s">
        <v>86</v>
      </c>
      <c r="B144" s="257">
        <f t="shared" ref="B144:AF144" si="20">+B146+B156+B158+B167</f>
        <v>145</v>
      </c>
      <c r="C144" s="158">
        <f t="shared" si="20"/>
        <v>137</v>
      </c>
      <c r="D144" s="158">
        <f t="shared" si="20"/>
        <v>169</v>
      </c>
      <c r="E144" s="158">
        <f t="shared" si="20"/>
        <v>164</v>
      </c>
      <c r="F144" s="158">
        <f t="shared" si="20"/>
        <v>144</v>
      </c>
      <c r="G144" s="158">
        <f t="shared" si="20"/>
        <v>149</v>
      </c>
      <c r="H144" s="158">
        <f t="shared" si="20"/>
        <v>164</v>
      </c>
      <c r="I144" s="158">
        <f t="shared" si="20"/>
        <v>139</v>
      </c>
      <c r="J144" s="158">
        <f t="shared" si="20"/>
        <v>139</v>
      </c>
      <c r="K144" s="158">
        <f t="shared" si="20"/>
        <v>146</v>
      </c>
      <c r="L144" s="158">
        <f t="shared" si="20"/>
        <v>134</v>
      </c>
      <c r="M144" s="158">
        <f t="shared" si="20"/>
        <v>172</v>
      </c>
      <c r="N144" s="158">
        <f t="shared" si="20"/>
        <v>154</v>
      </c>
      <c r="O144" s="158">
        <f t="shared" si="20"/>
        <v>162</v>
      </c>
      <c r="P144" s="158">
        <f t="shared" si="20"/>
        <v>115</v>
      </c>
      <c r="Q144" s="158">
        <f t="shared" si="20"/>
        <v>146</v>
      </c>
      <c r="R144" s="158">
        <f t="shared" si="20"/>
        <v>132</v>
      </c>
      <c r="S144" s="158">
        <f t="shared" si="20"/>
        <v>124</v>
      </c>
      <c r="T144" s="158">
        <f t="shared" si="20"/>
        <v>151</v>
      </c>
      <c r="U144" s="158">
        <f t="shared" si="20"/>
        <v>130</v>
      </c>
      <c r="V144" s="158">
        <f t="shared" si="20"/>
        <v>155</v>
      </c>
      <c r="W144" s="158">
        <f t="shared" si="20"/>
        <v>172</v>
      </c>
      <c r="X144" s="158">
        <f t="shared" si="20"/>
        <v>150</v>
      </c>
      <c r="Y144" s="158">
        <f t="shared" si="20"/>
        <v>128</v>
      </c>
      <c r="Z144" s="158">
        <f t="shared" si="20"/>
        <v>137</v>
      </c>
      <c r="AA144" s="158">
        <f t="shared" si="20"/>
        <v>146</v>
      </c>
      <c r="AB144" s="158">
        <f t="shared" si="20"/>
        <v>123</v>
      </c>
      <c r="AC144" s="158">
        <f t="shared" si="20"/>
        <v>144</v>
      </c>
      <c r="AD144" s="158">
        <f t="shared" si="20"/>
        <v>154</v>
      </c>
      <c r="AE144" s="158">
        <f t="shared" si="20"/>
        <v>123</v>
      </c>
      <c r="AF144" s="158">
        <f t="shared" si="20"/>
        <v>0</v>
      </c>
      <c r="AG144" s="157">
        <f t="shared" si="19"/>
        <v>4348</v>
      </c>
      <c r="AH144" s="85" t="str">
        <f>IF(AG144&lt;&gt;AG93,"*","")</f>
        <v/>
      </c>
      <c r="AI144" t="s">
        <v>85</v>
      </c>
    </row>
    <row r="145" spans="1:34" ht="19.5" thickBot="1" x14ac:dyDescent="0.3">
      <c r="A145" s="325" t="s">
        <v>84</v>
      </c>
      <c r="B145" s="264">
        <f t="shared" ref="B145:AF145" si="21">+B149+B155+B157+B172</f>
        <v>7</v>
      </c>
      <c r="C145" s="155">
        <f t="shared" si="21"/>
        <v>7</v>
      </c>
      <c r="D145" s="155">
        <f t="shared" si="21"/>
        <v>3</v>
      </c>
      <c r="E145" s="155">
        <f t="shared" si="21"/>
        <v>13</v>
      </c>
      <c r="F145" s="155">
        <f t="shared" si="21"/>
        <v>5</v>
      </c>
      <c r="G145" s="155">
        <f t="shared" si="21"/>
        <v>4</v>
      </c>
      <c r="H145" s="155">
        <f t="shared" si="21"/>
        <v>15</v>
      </c>
      <c r="I145" s="155">
        <f t="shared" si="21"/>
        <v>10</v>
      </c>
      <c r="J145" s="155">
        <f t="shared" si="21"/>
        <v>4</v>
      </c>
      <c r="K145" s="155">
        <f t="shared" si="21"/>
        <v>4</v>
      </c>
      <c r="L145" s="155">
        <f t="shared" si="21"/>
        <v>8</v>
      </c>
      <c r="M145" s="155">
        <f t="shared" si="21"/>
        <v>6</v>
      </c>
      <c r="N145" s="155">
        <f t="shared" si="21"/>
        <v>3</v>
      </c>
      <c r="O145" s="155">
        <f t="shared" si="21"/>
        <v>16</v>
      </c>
      <c r="P145" s="155">
        <f t="shared" si="21"/>
        <v>3</v>
      </c>
      <c r="Q145" s="155">
        <f t="shared" si="21"/>
        <v>6</v>
      </c>
      <c r="R145" s="155">
        <f t="shared" si="21"/>
        <v>5</v>
      </c>
      <c r="S145" s="155">
        <f t="shared" si="21"/>
        <v>3</v>
      </c>
      <c r="T145" s="155">
        <f t="shared" si="21"/>
        <v>1</v>
      </c>
      <c r="U145" s="155">
        <f t="shared" si="21"/>
        <v>2</v>
      </c>
      <c r="V145" s="155">
        <f t="shared" si="21"/>
        <v>4</v>
      </c>
      <c r="W145" s="155">
        <f t="shared" si="21"/>
        <v>15</v>
      </c>
      <c r="X145" s="155">
        <f t="shared" si="21"/>
        <v>7</v>
      </c>
      <c r="Y145" s="155">
        <f t="shared" si="21"/>
        <v>2</v>
      </c>
      <c r="Z145" s="155">
        <f t="shared" si="21"/>
        <v>12</v>
      </c>
      <c r="AA145" s="155">
        <f t="shared" si="21"/>
        <v>1</v>
      </c>
      <c r="AB145" s="155">
        <f t="shared" si="21"/>
        <v>2</v>
      </c>
      <c r="AC145" s="155">
        <f t="shared" si="21"/>
        <v>2</v>
      </c>
      <c r="AD145" s="155">
        <f t="shared" si="21"/>
        <v>8</v>
      </c>
      <c r="AE145" s="155">
        <f t="shared" si="21"/>
        <v>4</v>
      </c>
      <c r="AF145" s="154">
        <f t="shared" si="21"/>
        <v>0</v>
      </c>
      <c r="AG145" s="153">
        <f t="shared" si="19"/>
        <v>182</v>
      </c>
      <c r="AH145" s="152"/>
    </row>
    <row r="146" spans="1:34" ht="19.5" thickBot="1" x14ac:dyDescent="0.3">
      <c r="A146" s="326" t="s">
        <v>83</v>
      </c>
      <c r="B146" s="265">
        <f t="shared" ref="B146:AG147" si="22">+B148+B154</f>
        <v>0</v>
      </c>
      <c r="C146" s="8">
        <f t="shared" si="22"/>
        <v>0</v>
      </c>
      <c r="D146" s="8">
        <f t="shared" si="22"/>
        <v>0</v>
      </c>
      <c r="E146" s="8">
        <f t="shared" si="22"/>
        <v>0</v>
      </c>
      <c r="F146" s="8">
        <f t="shared" si="22"/>
        <v>0</v>
      </c>
      <c r="G146" s="8">
        <f t="shared" si="22"/>
        <v>0</v>
      </c>
      <c r="H146" s="8">
        <f t="shared" si="22"/>
        <v>0</v>
      </c>
      <c r="I146" s="8">
        <f t="shared" si="22"/>
        <v>0</v>
      </c>
      <c r="J146" s="8">
        <f t="shared" si="22"/>
        <v>0</v>
      </c>
      <c r="K146" s="8">
        <f t="shared" si="22"/>
        <v>0</v>
      </c>
      <c r="L146" s="8">
        <f t="shared" si="22"/>
        <v>0</v>
      </c>
      <c r="M146" s="8">
        <f t="shared" si="22"/>
        <v>0</v>
      </c>
      <c r="N146" s="8">
        <f t="shared" si="22"/>
        <v>0</v>
      </c>
      <c r="O146" s="8">
        <f t="shared" si="22"/>
        <v>0</v>
      </c>
      <c r="P146" s="8">
        <f t="shared" si="22"/>
        <v>0</v>
      </c>
      <c r="Q146" s="8">
        <f t="shared" si="22"/>
        <v>0</v>
      </c>
      <c r="R146" s="8">
        <f t="shared" si="22"/>
        <v>0</v>
      </c>
      <c r="S146" s="8">
        <f t="shared" si="22"/>
        <v>0</v>
      </c>
      <c r="T146" s="8">
        <f t="shared" si="22"/>
        <v>0</v>
      </c>
      <c r="U146" s="8">
        <f t="shared" si="22"/>
        <v>0</v>
      </c>
      <c r="V146" s="8">
        <f t="shared" si="22"/>
        <v>0</v>
      </c>
      <c r="W146" s="8">
        <f t="shared" si="22"/>
        <v>0</v>
      </c>
      <c r="X146" s="8">
        <f t="shared" si="22"/>
        <v>0</v>
      </c>
      <c r="Y146" s="8">
        <f t="shared" si="22"/>
        <v>0</v>
      </c>
      <c r="Z146" s="8">
        <f t="shared" si="22"/>
        <v>0</v>
      </c>
      <c r="AA146" s="8">
        <f t="shared" si="22"/>
        <v>0</v>
      </c>
      <c r="AB146" s="8">
        <f t="shared" si="22"/>
        <v>0</v>
      </c>
      <c r="AC146" s="8">
        <f t="shared" si="22"/>
        <v>0</v>
      </c>
      <c r="AD146" s="8">
        <f t="shared" si="22"/>
        <v>0</v>
      </c>
      <c r="AE146" s="8">
        <f t="shared" si="22"/>
        <v>0</v>
      </c>
      <c r="AF146" s="150">
        <f t="shared" si="22"/>
        <v>0</v>
      </c>
      <c r="AG146" s="149">
        <f t="shared" si="22"/>
        <v>0</v>
      </c>
    </row>
    <row r="147" spans="1:34" ht="19.5" thickBot="1" x14ac:dyDescent="0.3">
      <c r="A147" s="327" t="s">
        <v>82</v>
      </c>
      <c r="B147" s="266">
        <f t="shared" si="22"/>
        <v>0</v>
      </c>
      <c r="C147" s="143">
        <f t="shared" si="22"/>
        <v>0</v>
      </c>
      <c r="D147" s="143">
        <f t="shared" si="22"/>
        <v>0</v>
      </c>
      <c r="E147" s="143">
        <f t="shared" si="22"/>
        <v>0</v>
      </c>
      <c r="F147" s="143">
        <f t="shared" si="22"/>
        <v>0</v>
      </c>
      <c r="G147" s="143">
        <f t="shared" si="22"/>
        <v>0</v>
      </c>
      <c r="H147" s="143">
        <f t="shared" si="22"/>
        <v>0</v>
      </c>
      <c r="I147" s="143">
        <f t="shared" si="22"/>
        <v>0</v>
      </c>
      <c r="J147" s="143">
        <f t="shared" si="22"/>
        <v>0</v>
      </c>
      <c r="K147" s="143">
        <f t="shared" si="22"/>
        <v>0</v>
      </c>
      <c r="L147" s="143">
        <f t="shared" si="22"/>
        <v>0</v>
      </c>
      <c r="M147" s="143">
        <f t="shared" si="22"/>
        <v>0</v>
      </c>
      <c r="N147" s="143">
        <f t="shared" si="22"/>
        <v>0</v>
      </c>
      <c r="O147" s="143">
        <f t="shared" si="22"/>
        <v>0</v>
      </c>
      <c r="P147" s="143">
        <f t="shared" si="22"/>
        <v>0</v>
      </c>
      <c r="Q147" s="143">
        <f t="shared" si="22"/>
        <v>0</v>
      </c>
      <c r="R147" s="143">
        <f t="shared" si="22"/>
        <v>0</v>
      </c>
      <c r="S147" s="143">
        <f t="shared" si="22"/>
        <v>0</v>
      </c>
      <c r="T147" s="143">
        <f t="shared" si="22"/>
        <v>0</v>
      </c>
      <c r="U147" s="143">
        <f t="shared" si="22"/>
        <v>0</v>
      </c>
      <c r="V147" s="143">
        <f t="shared" si="22"/>
        <v>0</v>
      </c>
      <c r="W147" s="143">
        <f t="shared" si="22"/>
        <v>0</v>
      </c>
      <c r="X147" s="143">
        <f t="shared" si="22"/>
        <v>0</v>
      </c>
      <c r="Y147" s="143">
        <f t="shared" si="22"/>
        <v>0</v>
      </c>
      <c r="Z147" s="143">
        <f t="shared" si="22"/>
        <v>0</v>
      </c>
      <c r="AA147" s="143">
        <f t="shared" si="22"/>
        <v>0</v>
      </c>
      <c r="AB147" s="143">
        <f t="shared" si="22"/>
        <v>0</v>
      </c>
      <c r="AC147" s="143">
        <f t="shared" si="22"/>
        <v>0</v>
      </c>
      <c r="AD147" s="143">
        <f t="shared" si="22"/>
        <v>0</v>
      </c>
      <c r="AE147" s="143">
        <f t="shared" si="22"/>
        <v>0</v>
      </c>
      <c r="AF147" s="142"/>
      <c r="AG147" s="86">
        <f t="shared" ref="AG147:AG179" si="23">SUM(B147:AF147)</f>
        <v>0</v>
      </c>
    </row>
    <row r="148" spans="1:34" ht="19.5" thickBot="1" x14ac:dyDescent="0.3">
      <c r="A148" s="328" t="s">
        <v>81</v>
      </c>
      <c r="B148" s="267">
        <f t="shared" ref="B148:AF148" si="24">SUM(B150:B153)</f>
        <v>0</v>
      </c>
      <c r="C148" s="147">
        <f t="shared" si="24"/>
        <v>0</v>
      </c>
      <c r="D148" s="147">
        <f t="shared" si="24"/>
        <v>0</v>
      </c>
      <c r="E148" s="147">
        <f t="shared" si="24"/>
        <v>0</v>
      </c>
      <c r="F148" s="147">
        <f t="shared" si="24"/>
        <v>0</v>
      </c>
      <c r="G148" s="147">
        <f t="shared" si="24"/>
        <v>0</v>
      </c>
      <c r="H148" s="147">
        <f t="shared" si="24"/>
        <v>0</v>
      </c>
      <c r="I148" s="147">
        <f t="shared" si="24"/>
        <v>0</v>
      </c>
      <c r="J148" s="147">
        <f t="shared" si="24"/>
        <v>0</v>
      </c>
      <c r="K148" s="147">
        <f t="shared" si="24"/>
        <v>0</v>
      </c>
      <c r="L148" s="147">
        <f t="shared" si="24"/>
        <v>0</v>
      </c>
      <c r="M148" s="147">
        <f t="shared" si="24"/>
        <v>0</v>
      </c>
      <c r="N148" s="147">
        <f t="shared" si="24"/>
        <v>0</v>
      </c>
      <c r="O148" s="147">
        <f t="shared" si="24"/>
        <v>0</v>
      </c>
      <c r="P148" s="147">
        <f t="shared" si="24"/>
        <v>0</v>
      </c>
      <c r="Q148" s="147">
        <f t="shared" si="24"/>
        <v>0</v>
      </c>
      <c r="R148" s="147">
        <f t="shared" si="24"/>
        <v>0</v>
      </c>
      <c r="S148" s="147">
        <f t="shared" si="24"/>
        <v>0</v>
      </c>
      <c r="T148" s="147">
        <f t="shared" si="24"/>
        <v>0</v>
      </c>
      <c r="U148" s="147">
        <f t="shared" si="24"/>
        <v>0</v>
      </c>
      <c r="V148" s="147">
        <f t="shared" si="24"/>
        <v>0</v>
      </c>
      <c r="W148" s="147">
        <f t="shared" si="24"/>
        <v>0</v>
      </c>
      <c r="X148" s="147">
        <f t="shared" si="24"/>
        <v>0</v>
      </c>
      <c r="Y148" s="147">
        <f t="shared" si="24"/>
        <v>0</v>
      </c>
      <c r="Z148" s="147">
        <f t="shared" si="24"/>
        <v>0</v>
      </c>
      <c r="AA148" s="147">
        <f t="shared" si="24"/>
        <v>0</v>
      </c>
      <c r="AB148" s="147">
        <f t="shared" si="24"/>
        <v>0</v>
      </c>
      <c r="AC148" s="147">
        <f t="shared" si="24"/>
        <v>0</v>
      </c>
      <c r="AD148" s="147">
        <f t="shared" si="24"/>
        <v>0</v>
      </c>
      <c r="AE148" s="147">
        <f t="shared" si="24"/>
        <v>0</v>
      </c>
      <c r="AF148" s="146">
        <f t="shared" si="24"/>
        <v>0</v>
      </c>
      <c r="AG148" s="145">
        <f t="shared" si="23"/>
        <v>0</v>
      </c>
    </row>
    <row r="149" spans="1:34" ht="19.5" thickBot="1" x14ac:dyDescent="0.3">
      <c r="A149" s="327" t="s">
        <v>80</v>
      </c>
      <c r="B149" s="266"/>
      <c r="C149" s="143"/>
      <c r="D149" s="143"/>
      <c r="E149" s="143"/>
      <c r="F149" s="143"/>
      <c r="G149" s="143"/>
      <c r="H149" s="143"/>
      <c r="I149" s="143"/>
      <c r="J149" s="143"/>
      <c r="K149" s="143"/>
      <c r="L149" s="143"/>
      <c r="M149" s="143"/>
      <c r="N149" s="143"/>
      <c r="O149" s="143"/>
      <c r="P149" s="143"/>
      <c r="Q149" s="143"/>
      <c r="R149" s="143"/>
      <c r="S149" s="143"/>
      <c r="T149" s="143"/>
      <c r="U149" s="143"/>
      <c r="V149" s="143"/>
      <c r="W149" s="143"/>
      <c r="X149" s="143"/>
      <c r="Y149" s="143"/>
      <c r="Z149" s="143"/>
      <c r="AA149" s="143"/>
      <c r="AB149" s="143"/>
      <c r="AC149" s="143"/>
      <c r="AD149" s="143"/>
      <c r="AE149" s="143"/>
      <c r="AF149" s="142"/>
      <c r="AG149" s="86">
        <f t="shared" si="23"/>
        <v>0</v>
      </c>
    </row>
    <row r="150" spans="1:34" ht="18.75" x14ac:dyDescent="0.25">
      <c r="A150" s="329" t="s">
        <v>79</v>
      </c>
      <c r="B150" s="268"/>
      <c r="C150" s="136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5"/>
      <c r="AG150" s="134">
        <f t="shared" si="23"/>
        <v>0</v>
      </c>
    </row>
    <row r="151" spans="1:34" ht="18.75" x14ac:dyDescent="0.25">
      <c r="A151" s="330" t="s">
        <v>78</v>
      </c>
      <c r="B151" s="269"/>
      <c r="C151" s="130"/>
      <c r="D151" s="130"/>
      <c r="E151" s="130"/>
      <c r="F151" s="130"/>
      <c r="G151" s="130"/>
      <c r="H151" s="130"/>
      <c r="I151" s="130"/>
      <c r="J151" s="130"/>
      <c r="K151" s="130"/>
      <c r="L151" s="130"/>
      <c r="M151" s="130"/>
      <c r="N151" s="130"/>
      <c r="O151" s="130"/>
      <c r="P151" s="130"/>
      <c r="Q151" s="130"/>
      <c r="R151" s="130"/>
      <c r="S151" s="130"/>
      <c r="T151" s="130"/>
      <c r="U151" s="130"/>
      <c r="V151" s="130"/>
      <c r="W151" s="130"/>
      <c r="X151" s="130"/>
      <c r="Y151" s="130"/>
      <c r="Z151" s="130"/>
      <c r="AA151" s="130"/>
      <c r="AB151" s="130"/>
      <c r="AC151" s="130"/>
      <c r="AD151" s="130"/>
      <c r="AE151" s="130"/>
      <c r="AF151" s="129"/>
      <c r="AG151" s="64">
        <f t="shared" si="23"/>
        <v>0</v>
      </c>
    </row>
    <row r="152" spans="1:34" ht="18.75" x14ac:dyDescent="0.25">
      <c r="A152" s="330" t="s">
        <v>77</v>
      </c>
      <c r="B152" s="269"/>
      <c r="C152" s="130"/>
      <c r="D152" s="130"/>
      <c r="E152" s="130"/>
      <c r="F152" s="130"/>
      <c r="G152" s="130"/>
      <c r="H152" s="130"/>
      <c r="I152" s="130"/>
      <c r="J152" s="130"/>
      <c r="K152" s="130"/>
      <c r="L152" s="130"/>
      <c r="M152" s="130"/>
      <c r="N152" s="130"/>
      <c r="O152" s="130"/>
      <c r="P152" s="130"/>
      <c r="Q152" s="130"/>
      <c r="R152" s="130"/>
      <c r="S152" s="130"/>
      <c r="T152" s="130"/>
      <c r="U152" s="130"/>
      <c r="V152" s="130"/>
      <c r="W152" s="130"/>
      <c r="X152" s="130"/>
      <c r="Y152" s="130"/>
      <c r="Z152" s="130"/>
      <c r="AA152" s="130"/>
      <c r="AB152" s="130"/>
      <c r="AC152" s="130"/>
      <c r="AD152" s="130"/>
      <c r="AE152" s="130"/>
      <c r="AF152" s="129"/>
      <c r="AG152" s="64">
        <f t="shared" si="23"/>
        <v>0</v>
      </c>
    </row>
    <row r="153" spans="1:34" ht="19.5" thickBot="1" x14ac:dyDescent="0.3">
      <c r="A153" s="331" t="s">
        <v>76</v>
      </c>
      <c r="B153" s="270"/>
      <c r="C153" s="127"/>
      <c r="D153" s="127"/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  <c r="Y153" s="127"/>
      <c r="Z153" s="127"/>
      <c r="AA153" s="127"/>
      <c r="AB153" s="127"/>
      <c r="AC153" s="127"/>
      <c r="AD153" s="127"/>
      <c r="AE153" s="127"/>
      <c r="AF153" s="126"/>
      <c r="AG153" s="10">
        <f t="shared" si="23"/>
        <v>0</v>
      </c>
    </row>
    <row r="154" spans="1:34" ht="19.5" thickBot="1" x14ac:dyDescent="0.3">
      <c r="A154" s="328" t="s">
        <v>75</v>
      </c>
      <c r="B154" s="267"/>
      <c r="C154" s="147"/>
      <c r="D154" s="147"/>
      <c r="E154" s="147"/>
      <c r="F154" s="147"/>
      <c r="G154" s="147"/>
      <c r="H154" s="147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  <c r="AA154" s="147"/>
      <c r="AB154" s="147"/>
      <c r="AC154" s="147"/>
      <c r="AD154" s="147"/>
      <c r="AE154" s="147"/>
      <c r="AF154" s="146"/>
      <c r="AG154" s="145">
        <f t="shared" si="23"/>
        <v>0</v>
      </c>
    </row>
    <row r="155" spans="1:34" ht="19.5" thickBot="1" x14ac:dyDescent="0.3">
      <c r="A155" s="327" t="s">
        <v>74</v>
      </c>
      <c r="B155" s="266"/>
      <c r="C155" s="143"/>
      <c r="D155" s="143"/>
      <c r="E155" s="143"/>
      <c r="F155" s="143"/>
      <c r="G155" s="143"/>
      <c r="H155" s="143"/>
      <c r="I155" s="143"/>
      <c r="J155" s="143"/>
      <c r="K155" s="143"/>
      <c r="L155" s="143"/>
      <c r="M155" s="143"/>
      <c r="N155" s="143"/>
      <c r="O155" s="143"/>
      <c r="P155" s="143"/>
      <c r="Q155" s="143"/>
      <c r="R155" s="143"/>
      <c r="S155" s="143"/>
      <c r="T155" s="143"/>
      <c r="U155" s="143"/>
      <c r="V155" s="143"/>
      <c r="W155" s="143"/>
      <c r="X155" s="143"/>
      <c r="Y155" s="143"/>
      <c r="Z155" s="143"/>
      <c r="AA155" s="143"/>
      <c r="AB155" s="143"/>
      <c r="AC155" s="143"/>
      <c r="AD155" s="143"/>
      <c r="AE155" s="143"/>
      <c r="AF155" s="142"/>
      <c r="AG155" s="86">
        <f t="shared" si="23"/>
        <v>0</v>
      </c>
    </row>
    <row r="156" spans="1:34" ht="18.75" x14ac:dyDescent="0.25">
      <c r="A156" s="332" t="s">
        <v>73</v>
      </c>
      <c r="B156" s="271">
        <v>144</v>
      </c>
      <c r="C156" s="18">
        <v>134</v>
      </c>
      <c r="D156" s="18">
        <v>169</v>
      </c>
      <c r="E156" s="18">
        <v>163</v>
      </c>
      <c r="F156" s="18">
        <v>143</v>
      </c>
      <c r="G156" s="18">
        <v>148</v>
      </c>
      <c r="H156" s="18">
        <v>162</v>
      </c>
      <c r="I156" s="18">
        <v>139</v>
      </c>
      <c r="J156" s="18">
        <v>137</v>
      </c>
      <c r="K156" s="18">
        <v>146</v>
      </c>
      <c r="L156" s="18">
        <v>134</v>
      </c>
      <c r="M156" s="18">
        <v>164</v>
      </c>
      <c r="N156" s="18">
        <v>154</v>
      </c>
      <c r="O156" s="18">
        <v>161</v>
      </c>
      <c r="P156" s="18">
        <v>115</v>
      </c>
      <c r="Q156" s="18">
        <v>145</v>
      </c>
      <c r="R156" s="18">
        <v>131</v>
      </c>
      <c r="S156" s="18">
        <v>122</v>
      </c>
      <c r="T156" s="18">
        <v>150</v>
      </c>
      <c r="U156" s="18">
        <v>129</v>
      </c>
      <c r="V156" s="18">
        <v>155</v>
      </c>
      <c r="W156" s="18">
        <v>172</v>
      </c>
      <c r="X156" s="18">
        <v>149</v>
      </c>
      <c r="Y156" s="18">
        <v>127</v>
      </c>
      <c r="Z156" s="18">
        <v>136</v>
      </c>
      <c r="AA156" s="18">
        <v>146</v>
      </c>
      <c r="AB156" s="18">
        <v>122</v>
      </c>
      <c r="AC156" s="18">
        <v>144</v>
      </c>
      <c r="AD156" s="18">
        <v>151</v>
      </c>
      <c r="AE156" s="18">
        <v>123</v>
      </c>
      <c r="AF156" s="17"/>
      <c r="AG156" s="7">
        <f t="shared" si="23"/>
        <v>4315</v>
      </c>
      <c r="AH156" s="98" t="s">
        <v>72</v>
      </c>
    </row>
    <row r="157" spans="1:34" ht="19.5" thickBot="1" x14ac:dyDescent="0.3">
      <c r="A157" s="324" t="s">
        <v>71</v>
      </c>
      <c r="B157" s="263">
        <v>7</v>
      </c>
      <c r="C157" s="140">
        <v>7</v>
      </c>
      <c r="D157" s="140">
        <v>3</v>
      </c>
      <c r="E157" s="140">
        <v>13</v>
      </c>
      <c r="F157" s="140">
        <v>5</v>
      </c>
      <c r="G157" s="140">
        <v>4</v>
      </c>
      <c r="H157" s="140">
        <v>15</v>
      </c>
      <c r="I157" s="140">
        <v>10</v>
      </c>
      <c r="J157" s="140">
        <v>4</v>
      </c>
      <c r="K157" s="140">
        <v>4</v>
      </c>
      <c r="L157" s="140">
        <v>8</v>
      </c>
      <c r="M157" s="140">
        <v>6</v>
      </c>
      <c r="N157" s="140">
        <v>3</v>
      </c>
      <c r="O157" s="140">
        <v>16</v>
      </c>
      <c r="P157" s="140">
        <v>3</v>
      </c>
      <c r="Q157" s="140">
        <v>6</v>
      </c>
      <c r="R157" s="140">
        <v>5</v>
      </c>
      <c r="S157" s="140">
        <v>3</v>
      </c>
      <c r="T157" s="140">
        <v>1</v>
      </c>
      <c r="U157" s="140">
        <v>2</v>
      </c>
      <c r="V157" s="140">
        <v>4</v>
      </c>
      <c r="W157" s="140">
        <v>15</v>
      </c>
      <c r="X157" s="140">
        <v>7</v>
      </c>
      <c r="Y157" s="140">
        <v>2</v>
      </c>
      <c r="Z157" s="140">
        <v>12</v>
      </c>
      <c r="AA157" s="140">
        <v>1</v>
      </c>
      <c r="AB157" s="140">
        <v>2</v>
      </c>
      <c r="AC157" s="140">
        <v>2</v>
      </c>
      <c r="AD157" s="140">
        <v>8</v>
      </c>
      <c r="AE157" s="140">
        <v>4</v>
      </c>
      <c r="AF157" s="139"/>
      <c r="AG157" s="138">
        <f t="shared" si="23"/>
        <v>182</v>
      </c>
      <c r="AH157" s="98"/>
    </row>
    <row r="158" spans="1:34" ht="19.5" thickBot="1" x14ac:dyDescent="0.3">
      <c r="A158" s="333" t="s">
        <v>70</v>
      </c>
      <c r="B158" s="272">
        <f t="shared" ref="B158:AF158" si="25">SUM(B159:B166)</f>
        <v>0</v>
      </c>
      <c r="C158" s="35">
        <f t="shared" si="25"/>
        <v>3</v>
      </c>
      <c r="D158" s="35">
        <f t="shared" si="25"/>
        <v>0</v>
      </c>
      <c r="E158" s="35">
        <f t="shared" si="25"/>
        <v>0</v>
      </c>
      <c r="F158" s="35">
        <f t="shared" si="25"/>
        <v>1</v>
      </c>
      <c r="G158" s="35">
        <f t="shared" si="25"/>
        <v>0</v>
      </c>
      <c r="H158" s="35">
        <f t="shared" si="25"/>
        <v>1</v>
      </c>
      <c r="I158" s="35">
        <f t="shared" si="25"/>
        <v>0</v>
      </c>
      <c r="J158" s="35">
        <f t="shared" si="25"/>
        <v>2</v>
      </c>
      <c r="K158" s="35">
        <f t="shared" si="25"/>
        <v>0</v>
      </c>
      <c r="L158" s="35">
        <f t="shared" si="25"/>
        <v>0</v>
      </c>
      <c r="M158" s="35">
        <f t="shared" si="25"/>
        <v>8</v>
      </c>
      <c r="N158" s="35">
        <f t="shared" si="25"/>
        <v>0</v>
      </c>
      <c r="O158" s="35">
        <f t="shared" si="25"/>
        <v>0</v>
      </c>
      <c r="P158" s="35">
        <f t="shared" si="25"/>
        <v>0</v>
      </c>
      <c r="Q158" s="35">
        <f t="shared" si="25"/>
        <v>1</v>
      </c>
      <c r="R158" s="35">
        <f t="shared" si="25"/>
        <v>0</v>
      </c>
      <c r="S158" s="35">
        <f t="shared" si="25"/>
        <v>0</v>
      </c>
      <c r="T158" s="35">
        <f t="shared" si="25"/>
        <v>0</v>
      </c>
      <c r="U158" s="35">
        <f t="shared" si="25"/>
        <v>1</v>
      </c>
      <c r="V158" s="35">
        <f t="shared" si="25"/>
        <v>0</v>
      </c>
      <c r="W158" s="35">
        <f t="shared" si="25"/>
        <v>0</v>
      </c>
      <c r="X158" s="35">
        <f t="shared" si="25"/>
        <v>0</v>
      </c>
      <c r="Y158" s="35">
        <f t="shared" si="25"/>
        <v>0</v>
      </c>
      <c r="Z158" s="35">
        <f t="shared" si="25"/>
        <v>0</v>
      </c>
      <c r="AA158" s="35">
        <f t="shared" si="25"/>
        <v>0</v>
      </c>
      <c r="AB158" s="35">
        <f t="shared" si="25"/>
        <v>0</v>
      </c>
      <c r="AC158" s="35">
        <f t="shared" si="25"/>
        <v>0</v>
      </c>
      <c r="AD158" s="35">
        <f t="shared" si="25"/>
        <v>0</v>
      </c>
      <c r="AE158" s="35">
        <f t="shared" si="25"/>
        <v>0</v>
      </c>
      <c r="AF158" s="34">
        <f t="shared" si="25"/>
        <v>0</v>
      </c>
      <c r="AG158" s="33">
        <f t="shared" si="23"/>
        <v>17</v>
      </c>
    </row>
    <row r="159" spans="1:34" ht="18.75" x14ac:dyDescent="0.25">
      <c r="A159" s="329" t="s">
        <v>69</v>
      </c>
      <c r="B159" s="268"/>
      <c r="C159" s="136"/>
      <c r="D159" s="136"/>
      <c r="E159" s="136"/>
      <c r="F159" s="136">
        <v>1</v>
      </c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A159" s="136"/>
      <c r="AB159" s="136"/>
      <c r="AC159" s="136"/>
      <c r="AD159" s="136"/>
      <c r="AE159" s="136"/>
      <c r="AF159" s="135"/>
      <c r="AG159" s="134">
        <f t="shared" si="23"/>
        <v>1</v>
      </c>
    </row>
    <row r="160" spans="1:34" ht="18.75" x14ac:dyDescent="0.25">
      <c r="A160" s="330" t="s">
        <v>68</v>
      </c>
      <c r="B160" s="269"/>
      <c r="C160" s="130">
        <v>1</v>
      </c>
      <c r="D160" s="130"/>
      <c r="E160" s="130"/>
      <c r="F160" s="130"/>
      <c r="G160" s="130"/>
      <c r="H160" s="130">
        <v>1</v>
      </c>
      <c r="I160" s="130"/>
      <c r="J160" s="130"/>
      <c r="K160" s="130"/>
      <c r="L160" s="130"/>
      <c r="M160" s="130">
        <v>1</v>
      </c>
      <c r="N160" s="130"/>
      <c r="O160" s="130"/>
      <c r="P160" s="130"/>
      <c r="Q160" s="130">
        <v>1</v>
      </c>
      <c r="R160" s="130"/>
      <c r="S160" s="130"/>
      <c r="T160" s="130"/>
      <c r="U160" s="130"/>
      <c r="V160" s="130"/>
      <c r="W160" s="130"/>
      <c r="X160" s="130"/>
      <c r="Y160" s="130"/>
      <c r="Z160" s="130"/>
      <c r="AA160" s="130"/>
      <c r="AB160" s="130"/>
      <c r="AC160" s="130"/>
      <c r="AD160" s="130"/>
      <c r="AE160" s="130"/>
      <c r="AF160" s="129"/>
      <c r="AG160" s="64">
        <f t="shared" si="23"/>
        <v>4</v>
      </c>
    </row>
    <row r="161" spans="1:34" ht="18.75" x14ac:dyDescent="0.25">
      <c r="A161" s="330" t="s">
        <v>67</v>
      </c>
      <c r="B161" s="269"/>
      <c r="C161" s="130"/>
      <c r="D161" s="130"/>
      <c r="E161" s="130"/>
      <c r="F161" s="130"/>
      <c r="G161" s="130"/>
      <c r="H161" s="130"/>
      <c r="I161" s="130"/>
      <c r="J161" s="130"/>
      <c r="K161" s="130"/>
      <c r="L161" s="130"/>
      <c r="M161" s="130">
        <v>7</v>
      </c>
      <c r="N161" s="130"/>
      <c r="O161" s="130"/>
      <c r="P161" s="130"/>
      <c r="Q161" s="130"/>
      <c r="R161" s="130"/>
      <c r="S161" s="130"/>
      <c r="T161" s="130"/>
      <c r="U161" s="130">
        <v>1</v>
      </c>
      <c r="V161" s="130"/>
      <c r="W161" s="130"/>
      <c r="X161" s="130"/>
      <c r="Y161" s="130"/>
      <c r="Z161" s="130"/>
      <c r="AA161" s="130"/>
      <c r="AB161" s="130"/>
      <c r="AC161" s="130"/>
      <c r="AD161" s="130"/>
      <c r="AE161" s="130"/>
      <c r="AF161" s="129"/>
      <c r="AG161" s="64">
        <f t="shared" si="23"/>
        <v>8</v>
      </c>
    </row>
    <row r="162" spans="1:34" ht="18.75" x14ac:dyDescent="0.25">
      <c r="A162" s="330" t="s">
        <v>66</v>
      </c>
      <c r="B162" s="269"/>
      <c r="C162" s="130">
        <v>1</v>
      </c>
      <c r="D162" s="130"/>
      <c r="E162" s="130"/>
      <c r="F162" s="130"/>
      <c r="G162" s="130"/>
      <c r="H162" s="130"/>
      <c r="I162" s="130"/>
      <c r="J162" s="130">
        <v>1</v>
      </c>
      <c r="K162" s="130"/>
      <c r="L162" s="130"/>
      <c r="M162" s="130"/>
      <c r="N162" s="130"/>
      <c r="O162" s="130"/>
      <c r="P162" s="130"/>
      <c r="Q162" s="130"/>
      <c r="R162" s="130"/>
      <c r="S162" s="130"/>
      <c r="T162" s="130"/>
      <c r="U162" s="130"/>
      <c r="V162" s="130"/>
      <c r="W162" s="130"/>
      <c r="X162" s="130"/>
      <c r="Y162" s="130"/>
      <c r="Z162" s="130"/>
      <c r="AA162" s="130"/>
      <c r="AB162" s="130"/>
      <c r="AC162" s="130"/>
      <c r="AD162" s="130"/>
      <c r="AE162" s="130"/>
      <c r="AF162" s="129"/>
      <c r="AG162" s="64">
        <f t="shared" si="23"/>
        <v>2</v>
      </c>
    </row>
    <row r="163" spans="1:34" ht="18.75" x14ac:dyDescent="0.25">
      <c r="A163" s="330" t="s">
        <v>65</v>
      </c>
      <c r="B163" s="269"/>
      <c r="C163" s="130"/>
      <c r="D163" s="130"/>
      <c r="E163" s="130"/>
      <c r="F163" s="130"/>
      <c r="G163" s="130"/>
      <c r="H163" s="130"/>
      <c r="I163" s="130"/>
      <c r="J163" s="130"/>
      <c r="K163" s="130"/>
      <c r="L163" s="130"/>
      <c r="M163" s="130"/>
      <c r="N163" s="130"/>
      <c r="O163" s="130"/>
      <c r="P163" s="130"/>
      <c r="Q163" s="130"/>
      <c r="R163" s="130"/>
      <c r="S163" s="130"/>
      <c r="T163" s="130"/>
      <c r="U163" s="130"/>
      <c r="V163" s="130"/>
      <c r="W163" s="130"/>
      <c r="X163" s="130"/>
      <c r="Y163" s="130"/>
      <c r="Z163" s="130"/>
      <c r="AA163" s="130"/>
      <c r="AB163" s="130"/>
      <c r="AC163" s="130"/>
      <c r="AD163" s="130"/>
      <c r="AE163" s="130"/>
      <c r="AF163" s="129"/>
      <c r="AG163" s="64">
        <f t="shared" si="23"/>
        <v>0</v>
      </c>
    </row>
    <row r="164" spans="1:34" ht="18.75" x14ac:dyDescent="0.25">
      <c r="A164" s="330" t="s">
        <v>64</v>
      </c>
      <c r="B164" s="269"/>
      <c r="C164" s="130">
        <v>1</v>
      </c>
      <c r="D164" s="130"/>
      <c r="E164" s="130"/>
      <c r="F164" s="130"/>
      <c r="G164" s="130"/>
      <c r="H164" s="130"/>
      <c r="I164" s="130"/>
      <c r="J164" s="130">
        <v>1</v>
      </c>
      <c r="K164" s="130"/>
      <c r="L164" s="130"/>
      <c r="M164" s="130"/>
      <c r="N164" s="130"/>
      <c r="O164" s="130"/>
      <c r="P164" s="130"/>
      <c r="Q164" s="130"/>
      <c r="R164" s="130"/>
      <c r="S164" s="130"/>
      <c r="T164" s="130"/>
      <c r="U164" s="130"/>
      <c r="V164" s="130"/>
      <c r="W164" s="130"/>
      <c r="X164" s="130"/>
      <c r="Y164" s="130"/>
      <c r="Z164" s="130"/>
      <c r="AA164" s="130"/>
      <c r="AB164" s="130"/>
      <c r="AC164" s="130"/>
      <c r="AD164" s="130"/>
      <c r="AE164" s="130"/>
      <c r="AF164" s="129"/>
      <c r="AG164" s="64">
        <f t="shared" si="23"/>
        <v>2</v>
      </c>
    </row>
    <row r="165" spans="1:34" ht="18.75" x14ac:dyDescent="0.25">
      <c r="A165" s="330" t="s">
        <v>63</v>
      </c>
      <c r="B165" s="269"/>
      <c r="C165" s="130"/>
      <c r="D165" s="130"/>
      <c r="E165" s="130"/>
      <c r="F165" s="130"/>
      <c r="G165" s="130"/>
      <c r="H165" s="130"/>
      <c r="I165" s="130"/>
      <c r="J165" s="130"/>
      <c r="K165" s="130"/>
      <c r="L165" s="130"/>
      <c r="M165" s="130"/>
      <c r="N165" s="130"/>
      <c r="O165" s="130"/>
      <c r="P165" s="130"/>
      <c r="Q165" s="130"/>
      <c r="R165" s="130"/>
      <c r="S165" s="130"/>
      <c r="T165" s="130"/>
      <c r="U165" s="130"/>
      <c r="V165" s="130"/>
      <c r="W165" s="130"/>
      <c r="X165" s="130"/>
      <c r="Y165" s="130"/>
      <c r="Z165" s="130"/>
      <c r="AA165" s="130"/>
      <c r="AB165" s="130"/>
      <c r="AC165" s="130"/>
      <c r="AD165" s="130"/>
      <c r="AE165" s="130"/>
      <c r="AF165" s="129"/>
      <c r="AG165" s="64">
        <f t="shared" si="23"/>
        <v>0</v>
      </c>
    </row>
    <row r="166" spans="1:34" ht="19.5" thickBot="1" x14ac:dyDescent="0.3">
      <c r="A166" s="331" t="s">
        <v>62</v>
      </c>
      <c r="B166" s="270"/>
      <c r="C166" s="127"/>
      <c r="D166" s="127"/>
      <c r="E166" s="127"/>
      <c r="F166" s="127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  <c r="Y166" s="127"/>
      <c r="Z166" s="127"/>
      <c r="AA166" s="127"/>
      <c r="AB166" s="127"/>
      <c r="AC166" s="127"/>
      <c r="AD166" s="127"/>
      <c r="AE166" s="127"/>
      <c r="AF166" s="126"/>
      <c r="AG166" s="10">
        <f t="shared" si="23"/>
        <v>0</v>
      </c>
    </row>
    <row r="167" spans="1:34" ht="18.75" x14ac:dyDescent="0.25">
      <c r="A167" s="332" t="s">
        <v>61</v>
      </c>
      <c r="B167" s="271">
        <f t="shared" ref="B167:AF167" si="26">SUM(B168:B171)</f>
        <v>1</v>
      </c>
      <c r="C167" s="18">
        <f t="shared" si="26"/>
        <v>0</v>
      </c>
      <c r="D167" s="18">
        <f t="shared" si="26"/>
        <v>0</v>
      </c>
      <c r="E167" s="18">
        <f t="shared" si="26"/>
        <v>1</v>
      </c>
      <c r="F167" s="18">
        <f t="shared" si="26"/>
        <v>0</v>
      </c>
      <c r="G167" s="18">
        <f t="shared" si="26"/>
        <v>1</v>
      </c>
      <c r="H167" s="18">
        <f t="shared" si="26"/>
        <v>1</v>
      </c>
      <c r="I167" s="18">
        <f t="shared" si="26"/>
        <v>0</v>
      </c>
      <c r="J167" s="18">
        <f t="shared" si="26"/>
        <v>0</v>
      </c>
      <c r="K167" s="18">
        <f t="shared" si="26"/>
        <v>0</v>
      </c>
      <c r="L167" s="18">
        <f t="shared" si="26"/>
        <v>0</v>
      </c>
      <c r="M167" s="18">
        <f t="shared" si="26"/>
        <v>0</v>
      </c>
      <c r="N167" s="18">
        <f t="shared" si="26"/>
        <v>0</v>
      </c>
      <c r="O167" s="18">
        <f t="shared" si="26"/>
        <v>1</v>
      </c>
      <c r="P167" s="18">
        <f t="shared" si="26"/>
        <v>0</v>
      </c>
      <c r="Q167" s="18">
        <f t="shared" si="26"/>
        <v>0</v>
      </c>
      <c r="R167" s="18">
        <f t="shared" si="26"/>
        <v>1</v>
      </c>
      <c r="S167" s="18">
        <f t="shared" si="26"/>
        <v>2</v>
      </c>
      <c r="T167" s="18">
        <f t="shared" si="26"/>
        <v>1</v>
      </c>
      <c r="U167" s="18">
        <f t="shared" si="26"/>
        <v>0</v>
      </c>
      <c r="V167" s="18">
        <f t="shared" si="26"/>
        <v>0</v>
      </c>
      <c r="W167" s="18">
        <f t="shared" si="26"/>
        <v>0</v>
      </c>
      <c r="X167" s="18">
        <f t="shared" si="26"/>
        <v>1</v>
      </c>
      <c r="Y167" s="18">
        <f t="shared" si="26"/>
        <v>1</v>
      </c>
      <c r="Z167" s="18">
        <f t="shared" si="26"/>
        <v>1</v>
      </c>
      <c r="AA167" s="18">
        <f t="shared" si="26"/>
        <v>0</v>
      </c>
      <c r="AB167" s="18">
        <f t="shared" si="26"/>
        <v>1</v>
      </c>
      <c r="AC167" s="18">
        <f t="shared" si="26"/>
        <v>0</v>
      </c>
      <c r="AD167" s="18">
        <f t="shared" si="26"/>
        <v>3</v>
      </c>
      <c r="AE167" s="18">
        <f t="shared" si="26"/>
        <v>0</v>
      </c>
      <c r="AF167" s="17">
        <f t="shared" si="26"/>
        <v>0</v>
      </c>
      <c r="AG167" s="7">
        <f t="shared" si="23"/>
        <v>16</v>
      </c>
    </row>
    <row r="168" spans="1:34" ht="18.75" x14ac:dyDescent="0.25">
      <c r="A168" s="334" t="s">
        <v>60</v>
      </c>
      <c r="B168" s="269"/>
      <c r="C168" s="130"/>
      <c r="D168" s="130"/>
      <c r="E168" s="130"/>
      <c r="F168" s="130"/>
      <c r="G168" s="130"/>
      <c r="H168" s="130"/>
      <c r="I168" s="130"/>
      <c r="J168" s="130"/>
      <c r="K168" s="130"/>
      <c r="L168" s="130"/>
      <c r="M168" s="130"/>
      <c r="N168" s="130"/>
      <c r="O168" s="130"/>
      <c r="P168" s="130"/>
      <c r="Q168" s="130"/>
      <c r="R168" s="130">
        <v>1</v>
      </c>
      <c r="S168" s="130"/>
      <c r="T168" s="130"/>
      <c r="U168" s="130"/>
      <c r="V168" s="130"/>
      <c r="W168" s="130"/>
      <c r="X168" s="130"/>
      <c r="Y168" s="130"/>
      <c r="Z168" s="130"/>
      <c r="AA168" s="130"/>
      <c r="AB168" s="130"/>
      <c r="AC168" s="130"/>
      <c r="AD168" s="130"/>
      <c r="AE168" s="130"/>
      <c r="AF168" s="129"/>
      <c r="AG168" s="64">
        <f t="shared" si="23"/>
        <v>1</v>
      </c>
    </row>
    <row r="169" spans="1:34" ht="18.75" x14ac:dyDescent="0.25">
      <c r="A169" s="334" t="s">
        <v>59</v>
      </c>
      <c r="B169" s="269"/>
      <c r="C169" s="130"/>
      <c r="D169" s="130"/>
      <c r="E169" s="130">
        <v>1</v>
      </c>
      <c r="F169" s="130"/>
      <c r="G169" s="130"/>
      <c r="H169" s="130"/>
      <c r="I169" s="130"/>
      <c r="J169" s="130"/>
      <c r="K169" s="130"/>
      <c r="L169" s="130"/>
      <c r="M169" s="130"/>
      <c r="N169" s="130"/>
      <c r="O169" s="130"/>
      <c r="P169" s="130"/>
      <c r="Q169" s="130"/>
      <c r="R169" s="130"/>
      <c r="S169" s="130">
        <v>1</v>
      </c>
      <c r="T169" s="130"/>
      <c r="U169" s="130"/>
      <c r="V169" s="130"/>
      <c r="W169" s="130"/>
      <c r="X169" s="130">
        <v>1</v>
      </c>
      <c r="Y169" s="130">
        <v>1</v>
      </c>
      <c r="Z169" s="130"/>
      <c r="AA169" s="130"/>
      <c r="AB169" s="130"/>
      <c r="AC169" s="130"/>
      <c r="AD169" s="130"/>
      <c r="AE169" s="130"/>
      <c r="AF169" s="129"/>
      <c r="AG169" s="64">
        <f t="shared" si="23"/>
        <v>4</v>
      </c>
    </row>
    <row r="170" spans="1:34" ht="18.75" x14ac:dyDescent="0.25">
      <c r="A170" s="334" t="s">
        <v>58</v>
      </c>
      <c r="B170" s="269"/>
      <c r="C170" s="130"/>
      <c r="D170" s="130"/>
      <c r="E170" s="130"/>
      <c r="F170" s="130"/>
      <c r="G170" s="130"/>
      <c r="H170" s="130"/>
      <c r="I170" s="130"/>
      <c r="J170" s="130"/>
      <c r="K170" s="130"/>
      <c r="L170" s="130"/>
      <c r="M170" s="130"/>
      <c r="N170" s="130"/>
      <c r="O170" s="130"/>
      <c r="P170" s="130"/>
      <c r="Q170" s="130"/>
      <c r="R170" s="130"/>
      <c r="S170" s="130"/>
      <c r="T170" s="130"/>
      <c r="U170" s="130"/>
      <c r="V170" s="130"/>
      <c r="W170" s="130"/>
      <c r="X170" s="130"/>
      <c r="Y170" s="130"/>
      <c r="Z170" s="130"/>
      <c r="AA170" s="130"/>
      <c r="AB170" s="130"/>
      <c r="AC170" s="130"/>
      <c r="AD170" s="130"/>
      <c r="AE170" s="130"/>
      <c r="AF170" s="129"/>
      <c r="AG170" s="64">
        <f t="shared" si="23"/>
        <v>0</v>
      </c>
    </row>
    <row r="171" spans="1:34" ht="19.5" thickBot="1" x14ac:dyDescent="0.3">
      <c r="A171" s="335" t="s">
        <v>57</v>
      </c>
      <c r="B171" s="270">
        <v>1</v>
      </c>
      <c r="C171" s="127"/>
      <c r="D171" s="127"/>
      <c r="E171" s="127"/>
      <c r="F171" s="127"/>
      <c r="G171" s="127">
        <v>1</v>
      </c>
      <c r="H171" s="127">
        <v>1</v>
      </c>
      <c r="I171" s="127"/>
      <c r="J171" s="127"/>
      <c r="K171" s="127"/>
      <c r="L171" s="127"/>
      <c r="M171" s="127"/>
      <c r="N171" s="127"/>
      <c r="O171" s="127">
        <v>1</v>
      </c>
      <c r="P171" s="127"/>
      <c r="Q171" s="127"/>
      <c r="R171" s="127"/>
      <c r="S171" s="127">
        <v>1</v>
      </c>
      <c r="T171" s="127">
        <v>1</v>
      </c>
      <c r="U171" s="127"/>
      <c r="V171" s="127"/>
      <c r="W171" s="127"/>
      <c r="X171" s="127"/>
      <c r="Y171" s="127"/>
      <c r="Z171" s="127">
        <v>1</v>
      </c>
      <c r="AA171" s="127"/>
      <c r="AB171" s="127">
        <v>1</v>
      </c>
      <c r="AC171" s="127"/>
      <c r="AD171" s="127">
        <v>3</v>
      </c>
      <c r="AE171" s="127"/>
      <c r="AF171" s="126"/>
      <c r="AG171" s="10">
        <f t="shared" si="23"/>
        <v>11</v>
      </c>
    </row>
    <row r="172" spans="1:34" ht="19.5" thickBot="1" x14ac:dyDescent="0.3">
      <c r="A172" s="336" t="s">
        <v>56</v>
      </c>
      <c r="B172" s="273"/>
      <c r="C172" s="124"/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  <c r="S172" s="124"/>
      <c r="T172" s="124"/>
      <c r="U172" s="124"/>
      <c r="V172" s="124"/>
      <c r="W172" s="124"/>
      <c r="X172" s="124"/>
      <c r="Y172" s="124"/>
      <c r="Z172" s="124"/>
      <c r="AA172" s="124"/>
      <c r="AB172" s="124"/>
      <c r="AC172" s="124"/>
      <c r="AD172" s="124"/>
      <c r="AE172" s="124"/>
      <c r="AF172" s="123"/>
      <c r="AG172" s="122">
        <f t="shared" si="23"/>
        <v>0</v>
      </c>
    </row>
    <row r="173" spans="1:34" ht="19.5" thickBot="1" x14ac:dyDescent="0.3">
      <c r="A173" s="299" t="s">
        <v>55</v>
      </c>
      <c r="B173" s="247">
        <f>SUM(B174:B176)</f>
        <v>3</v>
      </c>
      <c r="C173" s="120">
        <f t="shared" ref="C173:AF173" si="27">SUM(C174:C176)</f>
        <v>2</v>
      </c>
      <c r="D173" s="120">
        <f t="shared" si="27"/>
        <v>2</v>
      </c>
      <c r="E173" s="120">
        <f t="shared" si="27"/>
        <v>4</v>
      </c>
      <c r="F173" s="120">
        <f t="shared" si="27"/>
        <v>3</v>
      </c>
      <c r="G173" s="120">
        <f t="shared" si="27"/>
        <v>1</v>
      </c>
      <c r="H173" s="120">
        <f t="shared" si="27"/>
        <v>2</v>
      </c>
      <c r="I173" s="120">
        <f t="shared" si="27"/>
        <v>0</v>
      </c>
      <c r="J173" s="120">
        <f t="shared" si="27"/>
        <v>2</v>
      </c>
      <c r="K173" s="120">
        <f t="shared" si="27"/>
        <v>3</v>
      </c>
      <c r="L173" s="120">
        <f t="shared" si="27"/>
        <v>2</v>
      </c>
      <c r="M173" s="120">
        <f t="shared" si="27"/>
        <v>4</v>
      </c>
      <c r="N173" s="120">
        <f t="shared" si="27"/>
        <v>4</v>
      </c>
      <c r="O173" s="120">
        <f t="shared" si="27"/>
        <v>3</v>
      </c>
      <c r="P173" s="120">
        <f t="shared" si="27"/>
        <v>2</v>
      </c>
      <c r="Q173" s="120">
        <f t="shared" si="27"/>
        <v>4</v>
      </c>
      <c r="R173" s="120">
        <f t="shared" si="27"/>
        <v>1</v>
      </c>
      <c r="S173" s="120">
        <f t="shared" si="27"/>
        <v>2</v>
      </c>
      <c r="T173" s="120">
        <f t="shared" si="27"/>
        <v>5</v>
      </c>
      <c r="U173" s="120">
        <f t="shared" si="27"/>
        <v>3</v>
      </c>
      <c r="V173" s="120">
        <f t="shared" si="27"/>
        <v>2</v>
      </c>
      <c r="W173" s="120">
        <f t="shared" si="27"/>
        <v>3</v>
      </c>
      <c r="X173" s="120">
        <f t="shared" si="27"/>
        <v>3</v>
      </c>
      <c r="Y173" s="120">
        <f t="shared" si="27"/>
        <v>3</v>
      </c>
      <c r="Z173" s="120">
        <f t="shared" si="27"/>
        <v>3</v>
      </c>
      <c r="AA173" s="120">
        <f t="shared" si="27"/>
        <v>3</v>
      </c>
      <c r="AB173" s="120">
        <f t="shared" si="27"/>
        <v>1</v>
      </c>
      <c r="AC173" s="120">
        <f t="shared" si="27"/>
        <v>2</v>
      </c>
      <c r="AD173" s="120">
        <f t="shared" si="27"/>
        <v>1</v>
      </c>
      <c r="AE173" s="120">
        <f t="shared" si="27"/>
        <v>0</v>
      </c>
      <c r="AF173" s="119">
        <f t="shared" si="27"/>
        <v>0</v>
      </c>
      <c r="AG173" s="118">
        <f t="shared" si="23"/>
        <v>73</v>
      </c>
      <c r="AH173" s="98" t="s">
        <v>54</v>
      </c>
    </row>
    <row r="174" spans="1:34" ht="18.75" x14ac:dyDescent="0.25">
      <c r="A174" s="337" t="s">
        <v>53</v>
      </c>
      <c r="B174" s="274">
        <v>3</v>
      </c>
      <c r="C174" s="116">
        <v>2</v>
      </c>
      <c r="D174" s="116">
        <v>2</v>
      </c>
      <c r="E174" s="116">
        <v>4</v>
      </c>
      <c r="F174" s="116">
        <v>3</v>
      </c>
      <c r="G174" s="116">
        <v>1</v>
      </c>
      <c r="H174" s="116">
        <v>2</v>
      </c>
      <c r="I174" s="116">
        <v>0</v>
      </c>
      <c r="J174" s="116">
        <v>2</v>
      </c>
      <c r="K174" s="116">
        <v>2</v>
      </c>
      <c r="L174" s="116">
        <v>2</v>
      </c>
      <c r="M174" s="116">
        <v>4</v>
      </c>
      <c r="N174" s="116">
        <v>4</v>
      </c>
      <c r="O174" s="116">
        <v>3</v>
      </c>
      <c r="P174" s="116">
        <v>2</v>
      </c>
      <c r="Q174" s="116">
        <v>4</v>
      </c>
      <c r="R174" s="116">
        <v>1</v>
      </c>
      <c r="S174" s="116">
        <v>1</v>
      </c>
      <c r="T174" s="116">
        <v>5</v>
      </c>
      <c r="U174" s="116">
        <v>3</v>
      </c>
      <c r="V174" s="116">
        <v>2</v>
      </c>
      <c r="W174" s="116">
        <v>1</v>
      </c>
      <c r="X174" s="116">
        <v>3</v>
      </c>
      <c r="Y174" s="116">
        <v>3</v>
      </c>
      <c r="Z174" s="116">
        <v>3</v>
      </c>
      <c r="AA174" s="116">
        <v>3</v>
      </c>
      <c r="AB174" s="116">
        <v>1</v>
      </c>
      <c r="AC174" s="116">
        <v>2</v>
      </c>
      <c r="AD174" s="116">
        <v>1</v>
      </c>
      <c r="AE174" s="116">
        <v>0</v>
      </c>
      <c r="AF174" s="115"/>
      <c r="AG174" s="114">
        <f t="shared" si="23"/>
        <v>69</v>
      </c>
      <c r="AH174" s="98"/>
    </row>
    <row r="175" spans="1:34" ht="18.75" x14ac:dyDescent="0.25">
      <c r="A175" s="338" t="s">
        <v>52</v>
      </c>
      <c r="B175" s="275">
        <v>0</v>
      </c>
      <c r="C175" s="112">
        <v>0</v>
      </c>
      <c r="D175" s="112">
        <v>0</v>
      </c>
      <c r="E175" s="112">
        <v>0</v>
      </c>
      <c r="F175" s="112">
        <v>0</v>
      </c>
      <c r="G175" s="112">
        <v>0</v>
      </c>
      <c r="H175" s="112">
        <v>0</v>
      </c>
      <c r="I175" s="112">
        <v>0</v>
      </c>
      <c r="J175" s="112">
        <v>0</v>
      </c>
      <c r="K175" s="112">
        <v>0</v>
      </c>
      <c r="L175" s="112">
        <v>0</v>
      </c>
      <c r="M175" s="112">
        <v>0</v>
      </c>
      <c r="N175" s="112">
        <v>0</v>
      </c>
      <c r="O175" s="112">
        <v>0</v>
      </c>
      <c r="P175" s="112">
        <v>0</v>
      </c>
      <c r="Q175" s="112">
        <v>0</v>
      </c>
      <c r="R175" s="112">
        <v>0</v>
      </c>
      <c r="S175" s="112">
        <v>1</v>
      </c>
      <c r="T175" s="112">
        <v>0</v>
      </c>
      <c r="U175" s="112">
        <v>0</v>
      </c>
      <c r="V175" s="112">
        <v>0</v>
      </c>
      <c r="W175" s="112">
        <v>2</v>
      </c>
      <c r="X175" s="112">
        <v>0</v>
      </c>
      <c r="Y175" s="112">
        <v>0</v>
      </c>
      <c r="Z175" s="112">
        <v>0</v>
      </c>
      <c r="AA175" s="112">
        <v>0</v>
      </c>
      <c r="AB175" s="112">
        <v>0</v>
      </c>
      <c r="AC175" s="112">
        <v>0</v>
      </c>
      <c r="AD175" s="112">
        <v>0</v>
      </c>
      <c r="AE175" s="112">
        <v>0</v>
      </c>
      <c r="AF175" s="111"/>
      <c r="AG175" s="110">
        <f t="shared" si="23"/>
        <v>3</v>
      </c>
      <c r="AH175" s="98"/>
    </row>
    <row r="176" spans="1:34" ht="19.5" thickBot="1" x14ac:dyDescent="0.3">
      <c r="A176" s="371" t="s">
        <v>168</v>
      </c>
      <c r="B176" s="372">
        <v>0</v>
      </c>
      <c r="C176" s="373">
        <v>0</v>
      </c>
      <c r="D176" s="373">
        <v>0</v>
      </c>
      <c r="E176" s="373">
        <v>0</v>
      </c>
      <c r="F176" s="373">
        <v>0</v>
      </c>
      <c r="G176" s="373">
        <v>0</v>
      </c>
      <c r="H176" s="373">
        <v>0</v>
      </c>
      <c r="I176" s="373">
        <v>0</v>
      </c>
      <c r="J176" s="373">
        <v>0</v>
      </c>
      <c r="K176" s="373">
        <v>1</v>
      </c>
      <c r="L176" s="373">
        <v>0</v>
      </c>
      <c r="M176" s="373">
        <v>0</v>
      </c>
      <c r="N176" s="373">
        <v>0</v>
      </c>
      <c r="O176" s="373">
        <v>0</v>
      </c>
      <c r="P176" s="373">
        <v>0</v>
      </c>
      <c r="Q176" s="373">
        <v>0</v>
      </c>
      <c r="R176" s="373">
        <v>0</v>
      </c>
      <c r="S176" s="373">
        <v>0</v>
      </c>
      <c r="T176" s="373">
        <v>0</v>
      </c>
      <c r="U176" s="373">
        <v>0</v>
      </c>
      <c r="V176" s="373">
        <v>0</v>
      </c>
      <c r="W176" s="373">
        <v>0</v>
      </c>
      <c r="X176" s="373">
        <v>0</v>
      </c>
      <c r="Y176" s="373">
        <v>0</v>
      </c>
      <c r="Z176" s="373">
        <v>0</v>
      </c>
      <c r="AA176" s="373">
        <v>0</v>
      </c>
      <c r="AB176" s="373">
        <v>0</v>
      </c>
      <c r="AC176" s="373">
        <v>0</v>
      </c>
      <c r="AD176" s="373">
        <v>0</v>
      </c>
      <c r="AE176" s="373">
        <v>0</v>
      </c>
      <c r="AF176" s="374"/>
      <c r="AG176" s="375">
        <f t="shared" si="23"/>
        <v>1</v>
      </c>
      <c r="AH176" s="98"/>
    </row>
    <row r="177" spans="1:34" ht="19.5" thickBot="1" x14ac:dyDescent="0.3">
      <c r="A177" s="312" t="s">
        <v>51</v>
      </c>
      <c r="B177" s="376">
        <f t="shared" ref="B177:AF177" si="28">SUM(B178:B179)</f>
        <v>2</v>
      </c>
      <c r="C177" s="377">
        <f t="shared" si="28"/>
        <v>3</v>
      </c>
      <c r="D177" s="377">
        <f t="shared" si="28"/>
        <v>4</v>
      </c>
      <c r="E177" s="377">
        <f t="shared" si="28"/>
        <v>0</v>
      </c>
      <c r="F177" s="377">
        <f t="shared" si="28"/>
        <v>2</v>
      </c>
      <c r="G177" s="377">
        <f t="shared" si="28"/>
        <v>3</v>
      </c>
      <c r="H177" s="377">
        <f t="shared" si="28"/>
        <v>1</v>
      </c>
      <c r="I177" s="377">
        <f t="shared" si="28"/>
        <v>0</v>
      </c>
      <c r="J177" s="377">
        <f t="shared" si="28"/>
        <v>1</v>
      </c>
      <c r="K177" s="377">
        <f t="shared" si="28"/>
        <v>1</v>
      </c>
      <c r="L177" s="377">
        <f t="shared" si="28"/>
        <v>0</v>
      </c>
      <c r="M177" s="377">
        <f t="shared" si="28"/>
        <v>2</v>
      </c>
      <c r="N177" s="377">
        <f t="shared" si="28"/>
        <v>3</v>
      </c>
      <c r="O177" s="377">
        <f t="shared" si="28"/>
        <v>0</v>
      </c>
      <c r="P177" s="377">
        <f t="shared" si="28"/>
        <v>3</v>
      </c>
      <c r="Q177" s="377">
        <f t="shared" si="28"/>
        <v>1</v>
      </c>
      <c r="R177" s="377">
        <f t="shared" si="28"/>
        <v>0</v>
      </c>
      <c r="S177" s="377">
        <f t="shared" si="28"/>
        <v>0</v>
      </c>
      <c r="T177" s="377">
        <f t="shared" si="28"/>
        <v>4</v>
      </c>
      <c r="U177" s="377">
        <f t="shared" si="28"/>
        <v>1</v>
      </c>
      <c r="V177" s="377">
        <f t="shared" si="28"/>
        <v>1</v>
      </c>
      <c r="W177" s="377">
        <f t="shared" si="28"/>
        <v>3</v>
      </c>
      <c r="X177" s="377">
        <f t="shared" si="28"/>
        <v>3</v>
      </c>
      <c r="Y177" s="377">
        <f t="shared" si="28"/>
        <v>0</v>
      </c>
      <c r="Z177" s="377">
        <f t="shared" si="28"/>
        <v>0</v>
      </c>
      <c r="AA177" s="377">
        <f t="shared" si="28"/>
        <v>0</v>
      </c>
      <c r="AB177" s="377">
        <f t="shared" si="28"/>
        <v>2</v>
      </c>
      <c r="AC177" s="377">
        <f t="shared" si="28"/>
        <v>2</v>
      </c>
      <c r="AD177" s="377">
        <f t="shared" si="28"/>
        <v>1</v>
      </c>
      <c r="AE177" s="377">
        <f t="shared" si="28"/>
        <v>3</v>
      </c>
      <c r="AF177" s="378">
        <f t="shared" si="28"/>
        <v>0</v>
      </c>
      <c r="AG177" s="379">
        <f t="shared" si="23"/>
        <v>46</v>
      </c>
      <c r="AH177" s="98" t="s">
        <v>48</v>
      </c>
    </row>
    <row r="178" spans="1:34" ht="18.75" x14ac:dyDescent="0.25">
      <c r="A178" s="340" t="s">
        <v>50</v>
      </c>
      <c r="B178" s="277">
        <v>0</v>
      </c>
      <c r="C178" s="105">
        <v>0</v>
      </c>
      <c r="D178" s="105">
        <v>0</v>
      </c>
      <c r="E178" s="105">
        <v>0</v>
      </c>
      <c r="F178" s="105">
        <v>0</v>
      </c>
      <c r="G178" s="105">
        <v>1</v>
      </c>
      <c r="H178" s="105">
        <v>0</v>
      </c>
      <c r="I178" s="105">
        <v>0</v>
      </c>
      <c r="J178" s="105">
        <v>1</v>
      </c>
      <c r="K178" s="105">
        <v>0</v>
      </c>
      <c r="L178" s="105">
        <v>0</v>
      </c>
      <c r="M178" s="105">
        <v>0</v>
      </c>
      <c r="N178" s="105">
        <v>0</v>
      </c>
      <c r="O178" s="105">
        <v>0</v>
      </c>
      <c r="P178" s="105">
        <v>0</v>
      </c>
      <c r="Q178" s="105">
        <v>0</v>
      </c>
      <c r="R178" s="105">
        <v>0</v>
      </c>
      <c r="S178" s="105">
        <v>0</v>
      </c>
      <c r="T178" s="105">
        <v>0</v>
      </c>
      <c r="U178" s="105">
        <v>0</v>
      </c>
      <c r="V178" s="105">
        <v>1</v>
      </c>
      <c r="W178" s="105">
        <v>0</v>
      </c>
      <c r="X178" s="105">
        <v>0</v>
      </c>
      <c r="Y178" s="105">
        <v>0</v>
      </c>
      <c r="Z178" s="105">
        <v>0</v>
      </c>
      <c r="AA178" s="105">
        <v>0</v>
      </c>
      <c r="AB178" s="105">
        <v>0</v>
      </c>
      <c r="AC178" s="105">
        <v>0</v>
      </c>
      <c r="AD178" s="105">
        <v>0</v>
      </c>
      <c r="AE178" s="105">
        <v>1</v>
      </c>
      <c r="AF178" s="104"/>
      <c r="AG178" s="103">
        <f t="shared" si="23"/>
        <v>4</v>
      </c>
      <c r="AH178" s="98" t="s">
        <v>48</v>
      </c>
    </row>
    <row r="179" spans="1:34" ht="19.5" thickBot="1" x14ac:dyDescent="0.3">
      <c r="A179" s="313" t="s">
        <v>49</v>
      </c>
      <c r="B179" s="278">
        <v>2</v>
      </c>
      <c r="C179" s="101">
        <v>3</v>
      </c>
      <c r="D179" s="101">
        <v>4</v>
      </c>
      <c r="E179" s="101">
        <v>0</v>
      </c>
      <c r="F179" s="101">
        <v>2</v>
      </c>
      <c r="G179" s="101">
        <v>2</v>
      </c>
      <c r="H179" s="101">
        <v>1</v>
      </c>
      <c r="I179" s="101">
        <v>0</v>
      </c>
      <c r="J179" s="101">
        <v>0</v>
      </c>
      <c r="K179" s="101">
        <v>1</v>
      </c>
      <c r="L179" s="101">
        <v>0</v>
      </c>
      <c r="M179" s="101">
        <v>2</v>
      </c>
      <c r="N179" s="101">
        <v>3</v>
      </c>
      <c r="O179" s="101">
        <v>0</v>
      </c>
      <c r="P179" s="101">
        <v>3</v>
      </c>
      <c r="Q179" s="101">
        <v>1</v>
      </c>
      <c r="R179" s="101">
        <v>0</v>
      </c>
      <c r="S179" s="101">
        <v>0</v>
      </c>
      <c r="T179" s="101">
        <v>4</v>
      </c>
      <c r="U179" s="101">
        <v>1</v>
      </c>
      <c r="V179" s="101">
        <v>0</v>
      </c>
      <c r="W179" s="101">
        <v>3</v>
      </c>
      <c r="X179" s="101">
        <v>3</v>
      </c>
      <c r="Y179" s="101">
        <v>0</v>
      </c>
      <c r="Z179" s="101">
        <v>0</v>
      </c>
      <c r="AA179" s="101">
        <v>0</v>
      </c>
      <c r="AB179" s="101">
        <v>2</v>
      </c>
      <c r="AC179" s="101">
        <v>2</v>
      </c>
      <c r="AD179" s="101">
        <v>1</v>
      </c>
      <c r="AE179" s="101">
        <v>2</v>
      </c>
      <c r="AF179" s="100"/>
      <c r="AG179" s="99">
        <f t="shared" si="23"/>
        <v>42</v>
      </c>
      <c r="AH179" s="98" t="s">
        <v>48</v>
      </c>
    </row>
    <row r="180" spans="1:34" ht="18.75" x14ac:dyDescent="0.25">
      <c r="A180" s="341" t="s">
        <v>47</v>
      </c>
      <c r="B180" s="279"/>
      <c r="C180" s="96"/>
      <c r="D180" s="96"/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  <c r="AA180" s="96"/>
      <c r="AB180" s="96"/>
      <c r="AC180" s="96"/>
      <c r="AD180" s="96"/>
      <c r="AE180" s="96"/>
      <c r="AF180" s="95"/>
      <c r="AG180" s="94">
        <f t="shared" ref="AG180:AG211" si="29">SUM(B180:AF180)</f>
        <v>0</v>
      </c>
    </row>
    <row r="181" spans="1:34" ht="19.5" thickBot="1" x14ac:dyDescent="0.3">
      <c r="A181" s="342" t="s">
        <v>46</v>
      </c>
      <c r="B181" s="280"/>
      <c r="C181" s="92"/>
      <c r="D181" s="92"/>
      <c r="E181" s="92"/>
      <c r="F181" s="92"/>
      <c r="G181" s="92"/>
      <c r="H181" s="92"/>
      <c r="I181" s="92"/>
      <c r="J181" s="92"/>
      <c r="K181" s="92"/>
      <c r="L181" s="92"/>
      <c r="M181" s="92"/>
      <c r="N181" s="92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2"/>
      <c r="AA181" s="92"/>
      <c r="AB181" s="92"/>
      <c r="AC181" s="92"/>
      <c r="AD181" s="92"/>
      <c r="AE181" s="92"/>
      <c r="AF181" s="91"/>
      <c r="AG181" s="90">
        <f t="shared" si="29"/>
        <v>0</v>
      </c>
    </row>
    <row r="182" spans="1:34" ht="19.5" thickBot="1" x14ac:dyDescent="0.3">
      <c r="A182" s="343" t="s">
        <v>45</v>
      </c>
      <c r="B182" s="281">
        <f t="shared" ref="B182:AF182" si="30">SUM(B183:B208)</f>
        <v>89</v>
      </c>
      <c r="C182" s="88">
        <f t="shared" si="30"/>
        <v>78</v>
      </c>
      <c r="D182" s="88">
        <f t="shared" si="30"/>
        <v>114</v>
      </c>
      <c r="E182" s="88">
        <f t="shared" si="30"/>
        <v>102</v>
      </c>
      <c r="F182" s="88">
        <f t="shared" si="30"/>
        <v>71</v>
      </c>
      <c r="G182" s="88">
        <f t="shared" si="30"/>
        <v>69</v>
      </c>
      <c r="H182" s="88">
        <f t="shared" si="30"/>
        <v>93</v>
      </c>
      <c r="I182" s="88">
        <f t="shared" si="30"/>
        <v>83</v>
      </c>
      <c r="J182" s="88">
        <f t="shared" si="30"/>
        <v>83</v>
      </c>
      <c r="K182" s="88">
        <f t="shared" si="30"/>
        <v>103</v>
      </c>
      <c r="L182" s="88">
        <f t="shared" si="30"/>
        <v>82</v>
      </c>
      <c r="M182" s="88">
        <f t="shared" si="30"/>
        <v>87</v>
      </c>
      <c r="N182" s="88">
        <f t="shared" si="30"/>
        <v>73</v>
      </c>
      <c r="O182" s="88">
        <f t="shared" si="30"/>
        <v>102</v>
      </c>
      <c r="P182" s="88">
        <f t="shared" si="30"/>
        <v>68</v>
      </c>
      <c r="Q182" s="88">
        <f t="shared" si="30"/>
        <v>95</v>
      </c>
      <c r="R182" s="88">
        <f t="shared" si="30"/>
        <v>86</v>
      </c>
      <c r="S182" s="88">
        <f t="shared" si="30"/>
        <v>71</v>
      </c>
      <c r="T182" s="88">
        <f t="shared" si="30"/>
        <v>68</v>
      </c>
      <c r="U182" s="88">
        <f t="shared" si="30"/>
        <v>39</v>
      </c>
      <c r="V182" s="88">
        <f t="shared" si="30"/>
        <v>76</v>
      </c>
      <c r="W182" s="88">
        <f t="shared" si="30"/>
        <v>117</v>
      </c>
      <c r="X182" s="88">
        <f t="shared" si="30"/>
        <v>86</v>
      </c>
      <c r="Y182" s="88">
        <f t="shared" si="30"/>
        <v>75</v>
      </c>
      <c r="Z182" s="88">
        <f t="shared" si="30"/>
        <v>83</v>
      </c>
      <c r="AA182" s="88">
        <f t="shared" si="30"/>
        <v>61</v>
      </c>
      <c r="AB182" s="88">
        <f t="shared" si="30"/>
        <v>48</v>
      </c>
      <c r="AC182" s="88">
        <f t="shared" si="30"/>
        <v>55</v>
      </c>
      <c r="AD182" s="88">
        <f t="shared" si="30"/>
        <v>90</v>
      </c>
      <c r="AE182" s="88">
        <f t="shared" si="30"/>
        <v>77</v>
      </c>
      <c r="AF182" s="87">
        <f t="shared" si="30"/>
        <v>0</v>
      </c>
      <c r="AG182" s="86">
        <f t="shared" si="29"/>
        <v>2424</v>
      </c>
      <c r="AH182" s="85"/>
    </row>
    <row r="183" spans="1:34" ht="18.75" x14ac:dyDescent="0.25">
      <c r="A183" s="76" t="s">
        <v>44</v>
      </c>
      <c r="B183" s="282">
        <v>3</v>
      </c>
      <c r="C183" s="84">
        <v>2</v>
      </c>
      <c r="D183" s="84">
        <v>7</v>
      </c>
      <c r="E183" s="84">
        <v>6</v>
      </c>
      <c r="F183" s="84">
        <v>8</v>
      </c>
      <c r="G183" s="84">
        <v>4</v>
      </c>
      <c r="H183" s="84">
        <v>5</v>
      </c>
      <c r="I183" s="84">
        <v>1</v>
      </c>
      <c r="J183" s="84">
        <v>3</v>
      </c>
      <c r="K183" s="84">
        <v>2</v>
      </c>
      <c r="L183" s="84">
        <v>11</v>
      </c>
      <c r="M183" s="84">
        <v>6</v>
      </c>
      <c r="N183" s="83">
        <v>4</v>
      </c>
      <c r="O183" s="83">
        <v>8</v>
      </c>
      <c r="P183" s="83">
        <v>2</v>
      </c>
      <c r="Q183" s="83">
        <v>3</v>
      </c>
      <c r="R183" s="83">
        <v>4</v>
      </c>
      <c r="S183" s="83">
        <v>4</v>
      </c>
      <c r="T183" s="83">
        <v>7</v>
      </c>
      <c r="U183" s="83">
        <v>5</v>
      </c>
      <c r="V183" s="83">
        <v>9</v>
      </c>
      <c r="W183" s="83">
        <v>5</v>
      </c>
      <c r="X183" s="83">
        <v>1</v>
      </c>
      <c r="Y183" s="83">
        <v>1</v>
      </c>
      <c r="Z183" s="83">
        <v>1</v>
      </c>
      <c r="AA183" s="83">
        <v>3</v>
      </c>
      <c r="AB183" s="83">
        <v>4</v>
      </c>
      <c r="AC183" s="83">
        <v>3</v>
      </c>
      <c r="AD183" s="83">
        <v>2</v>
      </c>
      <c r="AE183" s="83">
        <v>4</v>
      </c>
      <c r="AF183" s="82"/>
      <c r="AG183" s="11">
        <f t="shared" si="29"/>
        <v>128</v>
      </c>
    </row>
    <row r="184" spans="1:34" ht="18.75" x14ac:dyDescent="0.25">
      <c r="A184" s="76" t="s">
        <v>43</v>
      </c>
      <c r="B184" s="283"/>
      <c r="C184" s="69"/>
      <c r="D184" s="69"/>
      <c r="E184" s="69"/>
      <c r="F184" s="69"/>
      <c r="G184" s="69"/>
      <c r="H184" s="69"/>
      <c r="I184" s="69"/>
      <c r="J184" s="69"/>
      <c r="K184" s="69">
        <v>4</v>
      </c>
      <c r="L184" s="69"/>
      <c r="M184" s="69"/>
      <c r="N184" s="68"/>
      <c r="O184" s="68"/>
      <c r="P184" s="68"/>
      <c r="Q184" s="68"/>
      <c r="R184" s="68">
        <v>2</v>
      </c>
      <c r="S184" s="68">
        <v>1</v>
      </c>
      <c r="T184" s="68"/>
      <c r="U184" s="68"/>
      <c r="V184" s="68"/>
      <c r="W184" s="68"/>
      <c r="X184" s="68"/>
      <c r="Y184" s="68"/>
      <c r="Z184" s="68"/>
      <c r="AA184" s="68"/>
      <c r="AB184" s="68">
        <v>1</v>
      </c>
      <c r="AC184" s="68"/>
      <c r="AD184" s="68"/>
      <c r="AE184" s="68"/>
      <c r="AF184" s="67"/>
      <c r="AG184" s="64">
        <f t="shared" si="29"/>
        <v>8</v>
      </c>
    </row>
    <row r="185" spans="1:34" ht="18.75" x14ac:dyDescent="0.25">
      <c r="A185" s="76" t="s">
        <v>42</v>
      </c>
      <c r="B185" s="283">
        <v>6</v>
      </c>
      <c r="C185" s="69"/>
      <c r="D185" s="69"/>
      <c r="E185" s="69">
        <v>5</v>
      </c>
      <c r="F185" s="69"/>
      <c r="G185" s="69"/>
      <c r="H185" s="69">
        <v>2</v>
      </c>
      <c r="I185" s="69">
        <v>4</v>
      </c>
      <c r="J185" s="69"/>
      <c r="K185" s="69"/>
      <c r="L185" s="69">
        <v>1</v>
      </c>
      <c r="M185" s="69"/>
      <c r="N185" s="68"/>
      <c r="O185" s="68"/>
      <c r="P185" s="68">
        <v>3</v>
      </c>
      <c r="Q185" s="68"/>
      <c r="R185" s="68"/>
      <c r="S185" s="68"/>
      <c r="T185" s="68"/>
      <c r="U185" s="68"/>
      <c r="V185" s="68"/>
      <c r="W185" s="68">
        <v>8</v>
      </c>
      <c r="X185" s="68"/>
      <c r="Y185" s="68"/>
      <c r="Z185" s="68">
        <v>12</v>
      </c>
      <c r="AA185" s="68"/>
      <c r="AB185" s="68"/>
      <c r="AC185" s="68"/>
      <c r="AD185" s="68">
        <v>9</v>
      </c>
      <c r="AE185" s="68"/>
      <c r="AF185" s="67"/>
      <c r="AG185" s="64">
        <f t="shared" si="29"/>
        <v>50</v>
      </c>
    </row>
    <row r="186" spans="1:34" ht="18.75" x14ac:dyDescent="0.25">
      <c r="A186" s="76" t="s">
        <v>41</v>
      </c>
      <c r="B186" s="283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8"/>
      <c r="O186" s="68"/>
      <c r="P186" s="68"/>
      <c r="Q186" s="68"/>
      <c r="R186" s="68"/>
      <c r="S186" s="68"/>
      <c r="T186" s="68"/>
      <c r="U186" s="68">
        <v>1</v>
      </c>
      <c r="V186" s="68"/>
      <c r="W186" s="68"/>
      <c r="X186" s="68"/>
      <c r="Y186" s="68"/>
      <c r="Z186" s="68"/>
      <c r="AA186" s="68"/>
      <c r="AB186" s="68"/>
      <c r="AC186" s="68"/>
      <c r="AD186" s="68"/>
      <c r="AE186" s="68"/>
      <c r="AF186" s="67"/>
      <c r="AG186" s="64">
        <f t="shared" si="29"/>
        <v>1</v>
      </c>
    </row>
    <row r="187" spans="1:34" s="77" customFormat="1" ht="18.75" x14ac:dyDescent="0.25">
      <c r="A187" s="81" t="s">
        <v>40</v>
      </c>
      <c r="B187" s="284">
        <v>75</v>
      </c>
      <c r="C187" s="80">
        <v>72</v>
      </c>
      <c r="D187" s="80">
        <v>97</v>
      </c>
      <c r="E187" s="80">
        <v>81</v>
      </c>
      <c r="F187" s="80">
        <v>63</v>
      </c>
      <c r="G187" s="80">
        <v>64</v>
      </c>
      <c r="H187" s="80">
        <v>85</v>
      </c>
      <c r="I187" s="80">
        <v>77</v>
      </c>
      <c r="J187" s="80">
        <v>79</v>
      </c>
      <c r="K187" s="80">
        <v>85</v>
      </c>
      <c r="L187" s="80">
        <v>62</v>
      </c>
      <c r="M187" s="80">
        <v>76</v>
      </c>
      <c r="N187" s="79">
        <v>67</v>
      </c>
      <c r="O187" s="79">
        <v>88</v>
      </c>
      <c r="P187" s="79">
        <v>62</v>
      </c>
      <c r="Q187" s="79">
        <v>89</v>
      </c>
      <c r="R187" s="79">
        <v>69</v>
      </c>
      <c r="S187" s="79">
        <v>56</v>
      </c>
      <c r="T187" s="79">
        <v>59</v>
      </c>
      <c r="U187" s="79">
        <v>32</v>
      </c>
      <c r="V187" s="79">
        <v>66</v>
      </c>
      <c r="W187" s="79">
        <v>102</v>
      </c>
      <c r="X187" s="79">
        <v>84</v>
      </c>
      <c r="Y187" s="79">
        <v>66</v>
      </c>
      <c r="Z187" s="79">
        <v>68</v>
      </c>
      <c r="AA187" s="79">
        <v>56</v>
      </c>
      <c r="AB187" s="79">
        <v>40</v>
      </c>
      <c r="AC187" s="79">
        <v>52</v>
      </c>
      <c r="AD187" s="79">
        <v>77</v>
      </c>
      <c r="AE187" s="79">
        <v>72</v>
      </c>
      <c r="AF187" s="78"/>
      <c r="AG187" s="21">
        <f t="shared" si="29"/>
        <v>2121</v>
      </c>
    </row>
    <row r="188" spans="1:34" ht="18.75" x14ac:dyDescent="0.25">
      <c r="A188" s="76" t="s">
        <v>39</v>
      </c>
      <c r="B188" s="283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  <c r="AA188" s="68"/>
      <c r="AB188" s="68"/>
      <c r="AC188" s="68"/>
      <c r="AD188" s="68"/>
      <c r="AE188" s="68"/>
      <c r="AF188" s="67"/>
      <c r="AG188" s="64">
        <f t="shared" si="29"/>
        <v>0</v>
      </c>
    </row>
    <row r="189" spans="1:34" ht="18.75" x14ac:dyDescent="0.25">
      <c r="A189" s="76" t="s">
        <v>38</v>
      </c>
      <c r="B189" s="283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8"/>
      <c r="O189" s="68"/>
      <c r="P189" s="68"/>
      <c r="Q189" s="68"/>
      <c r="R189" s="68">
        <v>1</v>
      </c>
      <c r="S189" s="68">
        <v>1</v>
      </c>
      <c r="T189" s="68"/>
      <c r="U189" s="68"/>
      <c r="V189" s="68"/>
      <c r="W189" s="68"/>
      <c r="X189" s="68"/>
      <c r="Y189" s="68"/>
      <c r="Z189" s="68"/>
      <c r="AA189" s="68"/>
      <c r="AB189" s="68"/>
      <c r="AC189" s="68"/>
      <c r="AD189" s="68"/>
      <c r="AE189" s="68"/>
      <c r="AF189" s="67"/>
      <c r="AG189" s="64">
        <f t="shared" si="29"/>
        <v>2</v>
      </c>
    </row>
    <row r="190" spans="1:34" ht="18.75" x14ac:dyDescent="0.25">
      <c r="A190" s="76" t="s">
        <v>37</v>
      </c>
      <c r="B190" s="283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8"/>
      <c r="O190" s="68"/>
      <c r="P190" s="68"/>
      <c r="Q190" s="68"/>
      <c r="R190" s="68"/>
      <c r="S190" s="68">
        <v>1</v>
      </c>
      <c r="T190" s="68"/>
      <c r="U190" s="68"/>
      <c r="V190" s="68"/>
      <c r="W190" s="68"/>
      <c r="X190" s="68"/>
      <c r="Y190" s="68">
        <v>1</v>
      </c>
      <c r="Z190" s="68"/>
      <c r="AA190" s="68"/>
      <c r="AB190" s="68"/>
      <c r="AC190" s="68"/>
      <c r="AD190" s="68"/>
      <c r="AE190" s="68"/>
      <c r="AF190" s="67"/>
      <c r="AG190" s="64">
        <f t="shared" si="29"/>
        <v>2</v>
      </c>
    </row>
    <row r="191" spans="1:34" ht="18.75" x14ac:dyDescent="0.25">
      <c r="A191" s="76" t="s">
        <v>36</v>
      </c>
      <c r="B191" s="283"/>
      <c r="C191" s="69"/>
      <c r="D191" s="69">
        <v>8</v>
      </c>
      <c r="E191" s="69"/>
      <c r="F191" s="69"/>
      <c r="G191" s="69"/>
      <c r="H191" s="69"/>
      <c r="I191" s="69"/>
      <c r="J191" s="69"/>
      <c r="K191" s="69">
        <v>6</v>
      </c>
      <c r="L191" s="69">
        <v>4</v>
      </c>
      <c r="M191" s="69"/>
      <c r="N191" s="68"/>
      <c r="O191" s="68">
        <v>2</v>
      </c>
      <c r="P191" s="68"/>
      <c r="Q191" s="68"/>
      <c r="R191" s="68">
        <v>6</v>
      </c>
      <c r="S191" s="68">
        <v>3</v>
      </c>
      <c r="T191" s="68"/>
      <c r="U191" s="68"/>
      <c r="V191" s="68"/>
      <c r="W191" s="68"/>
      <c r="X191" s="68"/>
      <c r="Y191" s="68">
        <v>7</v>
      </c>
      <c r="Z191" s="68"/>
      <c r="AA191" s="68"/>
      <c r="AB191" s="68">
        <v>2</v>
      </c>
      <c r="AC191" s="68"/>
      <c r="AD191" s="68"/>
      <c r="AE191" s="68"/>
      <c r="AF191" s="67"/>
      <c r="AG191" s="64">
        <f t="shared" si="29"/>
        <v>38</v>
      </c>
    </row>
    <row r="192" spans="1:34" ht="18.75" x14ac:dyDescent="0.25">
      <c r="A192" s="66" t="s">
        <v>35</v>
      </c>
      <c r="B192" s="283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>
        <v>1</v>
      </c>
      <c r="Y192" s="68"/>
      <c r="Z192" s="68"/>
      <c r="AA192" s="68"/>
      <c r="AB192" s="68"/>
      <c r="AC192" s="68"/>
      <c r="AD192" s="68"/>
      <c r="AE192" s="68"/>
      <c r="AF192" s="67"/>
      <c r="AG192" s="64">
        <f t="shared" si="29"/>
        <v>1</v>
      </c>
    </row>
    <row r="193" spans="1:33" ht="18.75" x14ac:dyDescent="0.25">
      <c r="A193" s="66" t="s">
        <v>34</v>
      </c>
      <c r="B193" s="283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  <c r="AA193" s="68"/>
      <c r="AB193" s="68"/>
      <c r="AC193" s="68"/>
      <c r="AD193" s="68"/>
      <c r="AE193" s="68"/>
      <c r="AF193" s="67"/>
      <c r="AG193" s="64">
        <f t="shared" si="29"/>
        <v>0</v>
      </c>
    </row>
    <row r="194" spans="1:33" ht="18.75" x14ac:dyDescent="0.25">
      <c r="A194" s="66" t="s">
        <v>33</v>
      </c>
      <c r="B194" s="283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  <c r="AA194" s="68"/>
      <c r="AB194" s="68"/>
      <c r="AC194" s="68"/>
      <c r="AD194" s="68"/>
      <c r="AE194" s="68"/>
      <c r="AF194" s="67"/>
      <c r="AG194" s="64">
        <f t="shared" si="29"/>
        <v>0</v>
      </c>
    </row>
    <row r="195" spans="1:33" ht="18.75" x14ac:dyDescent="0.25">
      <c r="A195" s="66" t="s">
        <v>32</v>
      </c>
      <c r="B195" s="283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  <c r="AA195" s="68"/>
      <c r="AB195" s="68"/>
      <c r="AC195" s="68"/>
      <c r="AD195" s="68"/>
      <c r="AE195" s="68"/>
      <c r="AF195" s="67"/>
      <c r="AG195" s="64">
        <f t="shared" si="29"/>
        <v>0</v>
      </c>
    </row>
    <row r="196" spans="1:33" ht="18.75" x14ac:dyDescent="0.25">
      <c r="A196" s="75" t="s">
        <v>31</v>
      </c>
      <c r="B196" s="285">
        <v>5</v>
      </c>
      <c r="C196" s="74">
        <v>4</v>
      </c>
      <c r="D196" s="74"/>
      <c r="E196" s="74">
        <v>4</v>
      </c>
      <c r="F196" s="74"/>
      <c r="G196" s="74"/>
      <c r="H196" s="74"/>
      <c r="I196" s="74"/>
      <c r="J196" s="74">
        <v>1</v>
      </c>
      <c r="K196" s="74">
        <v>2</v>
      </c>
      <c r="L196" s="74"/>
      <c r="M196" s="74">
        <v>4</v>
      </c>
      <c r="N196" s="73">
        <v>2</v>
      </c>
      <c r="O196" s="73">
        <v>3</v>
      </c>
      <c r="P196" s="73">
        <v>1</v>
      </c>
      <c r="Q196" s="73">
        <v>2</v>
      </c>
      <c r="R196" s="73">
        <v>2</v>
      </c>
      <c r="S196" s="73">
        <v>3</v>
      </c>
      <c r="T196" s="73">
        <v>1</v>
      </c>
      <c r="U196" s="73">
        <v>1</v>
      </c>
      <c r="V196" s="73"/>
      <c r="W196" s="73">
        <v>2</v>
      </c>
      <c r="X196" s="73"/>
      <c r="Y196" s="73"/>
      <c r="Z196" s="73">
        <v>2</v>
      </c>
      <c r="AA196" s="73"/>
      <c r="AB196" s="73"/>
      <c r="AC196" s="73"/>
      <c r="AD196" s="73">
        <v>2</v>
      </c>
      <c r="AE196" s="73"/>
      <c r="AF196" s="72"/>
      <c r="AG196" s="71">
        <f t="shared" si="29"/>
        <v>41</v>
      </c>
    </row>
    <row r="197" spans="1:33" ht="18.75" x14ac:dyDescent="0.25">
      <c r="A197" s="70" t="s">
        <v>30</v>
      </c>
      <c r="B197" s="283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  <c r="AA197" s="68"/>
      <c r="AB197" s="68"/>
      <c r="AC197" s="68"/>
      <c r="AD197" s="68"/>
      <c r="AE197" s="68"/>
      <c r="AF197" s="67"/>
      <c r="AG197" s="64">
        <f t="shared" si="29"/>
        <v>0</v>
      </c>
    </row>
    <row r="198" spans="1:33" ht="18.75" x14ac:dyDescent="0.25">
      <c r="A198" s="70" t="s">
        <v>29</v>
      </c>
      <c r="B198" s="283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  <c r="AA198" s="68"/>
      <c r="AB198" s="68"/>
      <c r="AC198" s="68"/>
      <c r="AD198" s="68"/>
      <c r="AE198" s="68"/>
      <c r="AF198" s="67"/>
      <c r="AG198" s="64">
        <f t="shared" si="29"/>
        <v>0</v>
      </c>
    </row>
    <row r="199" spans="1:33" ht="18.75" x14ac:dyDescent="0.25">
      <c r="A199" s="70" t="s">
        <v>28</v>
      </c>
      <c r="B199" s="283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  <c r="AA199" s="68"/>
      <c r="AB199" s="68">
        <v>1</v>
      </c>
      <c r="AC199" s="68"/>
      <c r="AD199" s="68"/>
      <c r="AE199" s="68"/>
      <c r="AF199" s="67"/>
      <c r="AG199" s="64">
        <f t="shared" si="29"/>
        <v>1</v>
      </c>
    </row>
    <row r="200" spans="1:33" ht="18.75" x14ac:dyDescent="0.25">
      <c r="A200" s="70" t="s">
        <v>27</v>
      </c>
      <c r="B200" s="283"/>
      <c r="C200" s="69"/>
      <c r="D200" s="69"/>
      <c r="E200" s="69">
        <v>1</v>
      </c>
      <c r="F200" s="69"/>
      <c r="G200" s="69"/>
      <c r="H200" s="69"/>
      <c r="I200" s="69"/>
      <c r="J200" s="69"/>
      <c r="K200" s="69"/>
      <c r="L200" s="69"/>
      <c r="M200" s="69"/>
      <c r="N200" s="68"/>
      <c r="O200" s="68"/>
      <c r="P200" s="68"/>
      <c r="Q200" s="68"/>
      <c r="R200" s="68"/>
      <c r="S200" s="68"/>
      <c r="T200" s="68"/>
      <c r="U200" s="68"/>
      <c r="V200" s="68">
        <v>1</v>
      </c>
      <c r="W200" s="68"/>
      <c r="X200" s="68"/>
      <c r="Y200" s="68"/>
      <c r="Z200" s="68"/>
      <c r="AA200" s="68"/>
      <c r="AB200" s="68"/>
      <c r="AC200" s="68"/>
      <c r="AD200" s="68"/>
      <c r="AE200" s="68"/>
      <c r="AF200" s="67"/>
      <c r="AG200" s="64">
        <f t="shared" si="29"/>
        <v>2</v>
      </c>
    </row>
    <row r="201" spans="1:33" ht="18.75" x14ac:dyDescent="0.25">
      <c r="A201" s="70" t="s">
        <v>26</v>
      </c>
      <c r="B201" s="283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  <c r="AA201" s="68"/>
      <c r="AB201" s="68"/>
      <c r="AC201" s="68"/>
      <c r="AD201" s="68"/>
      <c r="AE201" s="68"/>
      <c r="AF201" s="67"/>
      <c r="AG201" s="64">
        <f t="shared" si="29"/>
        <v>0</v>
      </c>
    </row>
    <row r="202" spans="1:33" ht="18.75" x14ac:dyDescent="0.25">
      <c r="A202" s="70" t="s">
        <v>25</v>
      </c>
      <c r="B202" s="283"/>
      <c r="C202" s="69"/>
      <c r="D202" s="69"/>
      <c r="E202" s="69"/>
      <c r="F202" s="69"/>
      <c r="G202" s="69"/>
      <c r="H202" s="69"/>
      <c r="I202" s="69"/>
      <c r="J202" s="69"/>
      <c r="K202" s="69">
        <v>1</v>
      </c>
      <c r="L202" s="69"/>
      <c r="M202" s="69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  <c r="AA202" s="68"/>
      <c r="AB202" s="68"/>
      <c r="AC202" s="68"/>
      <c r="AD202" s="68"/>
      <c r="AE202" s="68">
        <v>1</v>
      </c>
      <c r="AF202" s="67"/>
      <c r="AG202" s="64">
        <f t="shared" si="29"/>
        <v>2</v>
      </c>
    </row>
    <row r="203" spans="1:33" ht="18.75" x14ac:dyDescent="0.25">
      <c r="A203" s="66" t="s">
        <v>24</v>
      </c>
      <c r="B203" s="283"/>
      <c r="C203" s="69"/>
      <c r="D203" s="69"/>
      <c r="E203" s="69"/>
      <c r="F203" s="69"/>
      <c r="G203" s="69"/>
      <c r="H203" s="69"/>
      <c r="I203" s="69"/>
      <c r="J203" s="69"/>
      <c r="K203" s="69">
        <v>1</v>
      </c>
      <c r="L203" s="69"/>
      <c r="M203" s="69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  <c r="AA203" s="68"/>
      <c r="AB203" s="68"/>
      <c r="AC203" s="68"/>
      <c r="AD203" s="68"/>
      <c r="AE203" s="68"/>
      <c r="AF203" s="67"/>
      <c r="AG203" s="64">
        <f t="shared" si="29"/>
        <v>1</v>
      </c>
    </row>
    <row r="204" spans="1:33" ht="18.75" x14ac:dyDescent="0.25">
      <c r="A204" s="66" t="s">
        <v>23</v>
      </c>
      <c r="B204" s="283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  <c r="AA204" s="68"/>
      <c r="AB204" s="68"/>
      <c r="AC204" s="68"/>
      <c r="AD204" s="68"/>
      <c r="AE204" s="68"/>
      <c r="AF204" s="67"/>
      <c r="AG204" s="64">
        <f t="shared" si="29"/>
        <v>0</v>
      </c>
    </row>
    <row r="205" spans="1:33" ht="18.75" x14ac:dyDescent="0.25">
      <c r="A205" s="66" t="s">
        <v>22</v>
      </c>
      <c r="B205" s="283"/>
      <c r="C205" s="69"/>
      <c r="D205" s="69">
        <v>1</v>
      </c>
      <c r="E205" s="69"/>
      <c r="F205" s="69"/>
      <c r="G205" s="69">
        <v>1</v>
      </c>
      <c r="H205" s="69"/>
      <c r="I205" s="69"/>
      <c r="J205" s="69"/>
      <c r="K205" s="69"/>
      <c r="L205" s="69"/>
      <c r="M205" s="69">
        <v>1</v>
      </c>
      <c r="N205" s="68"/>
      <c r="O205" s="68"/>
      <c r="P205" s="68"/>
      <c r="Q205" s="68">
        <v>1</v>
      </c>
      <c r="R205" s="68"/>
      <c r="S205" s="68"/>
      <c r="T205" s="68"/>
      <c r="U205" s="68"/>
      <c r="V205" s="68"/>
      <c r="W205" s="68"/>
      <c r="X205" s="68"/>
      <c r="Y205" s="68"/>
      <c r="Z205" s="68"/>
      <c r="AA205" s="68">
        <v>1</v>
      </c>
      <c r="AB205" s="68"/>
      <c r="AC205" s="68"/>
      <c r="AD205" s="68"/>
      <c r="AE205" s="68"/>
      <c r="AF205" s="67"/>
      <c r="AG205" s="64">
        <f t="shared" si="29"/>
        <v>5</v>
      </c>
    </row>
    <row r="206" spans="1:33" ht="18.75" x14ac:dyDescent="0.25">
      <c r="A206" s="66" t="s">
        <v>21</v>
      </c>
      <c r="B206" s="286"/>
      <c r="C206" s="62"/>
      <c r="D206" s="62"/>
      <c r="E206" s="62">
        <v>4</v>
      </c>
      <c r="F206" s="62"/>
      <c r="G206" s="62"/>
      <c r="H206" s="62">
        <v>1</v>
      </c>
      <c r="I206" s="62">
        <v>1</v>
      </c>
      <c r="J206" s="62"/>
      <c r="K206" s="62">
        <v>2</v>
      </c>
      <c r="L206" s="62">
        <v>3</v>
      </c>
      <c r="M206" s="62"/>
      <c r="N206" s="61"/>
      <c r="O206" s="61">
        <v>1</v>
      </c>
      <c r="P206" s="61"/>
      <c r="Q206" s="61"/>
      <c r="R206" s="61">
        <v>2</v>
      </c>
      <c r="S206" s="61">
        <v>1</v>
      </c>
      <c r="T206" s="61">
        <v>1</v>
      </c>
      <c r="U206" s="61"/>
      <c r="V206" s="61"/>
      <c r="W206" s="61"/>
      <c r="X206" s="61"/>
      <c r="Y206" s="61"/>
      <c r="Z206" s="61"/>
      <c r="AA206" s="61">
        <v>1</v>
      </c>
      <c r="AB206" s="61"/>
      <c r="AC206" s="61"/>
      <c r="AD206" s="61"/>
      <c r="AE206" s="61"/>
      <c r="AF206" s="60"/>
      <c r="AG206" s="64">
        <f t="shared" si="29"/>
        <v>17</v>
      </c>
    </row>
    <row r="207" spans="1:33" ht="18.75" x14ac:dyDescent="0.25">
      <c r="A207" s="65" t="s">
        <v>20</v>
      </c>
      <c r="B207" s="286"/>
      <c r="C207" s="62"/>
      <c r="D207" s="62">
        <v>1</v>
      </c>
      <c r="E207" s="62">
        <v>1</v>
      </c>
      <c r="F207" s="62"/>
      <c r="G207" s="62"/>
      <c r="H207" s="62"/>
      <c r="I207" s="62"/>
      <c r="J207" s="62"/>
      <c r="K207" s="62"/>
      <c r="L207" s="62">
        <v>1</v>
      </c>
      <c r="M207" s="62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  <c r="AB207" s="61"/>
      <c r="AC207" s="61"/>
      <c r="AD207" s="61"/>
      <c r="AE207" s="61"/>
      <c r="AF207" s="60"/>
      <c r="AG207" s="64">
        <f t="shared" si="29"/>
        <v>3</v>
      </c>
    </row>
    <row r="208" spans="1:33" ht="19.5" thickBot="1" x14ac:dyDescent="0.3">
      <c r="A208" s="63" t="s">
        <v>19</v>
      </c>
      <c r="B208" s="286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1"/>
      <c r="O208" s="61"/>
      <c r="P208" s="61"/>
      <c r="Q208" s="61"/>
      <c r="R208" s="61"/>
      <c r="S208" s="61">
        <v>1</v>
      </c>
      <c r="T208" s="61"/>
      <c r="U208" s="61"/>
      <c r="V208" s="61"/>
      <c r="W208" s="61"/>
      <c r="X208" s="61"/>
      <c r="Y208" s="61"/>
      <c r="Z208" s="61"/>
      <c r="AA208" s="61"/>
      <c r="AB208" s="61"/>
      <c r="AC208" s="61"/>
      <c r="AD208" s="61"/>
      <c r="AE208" s="61"/>
      <c r="AF208" s="60"/>
      <c r="AG208" s="10">
        <f t="shared" si="29"/>
        <v>1</v>
      </c>
    </row>
    <row r="209" spans="1:34" ht="19.5" thickBot="1" x14ac:dyDescent="0.3">
      <c r="A209" s="59" t="s">
        <v>18</v>
      </c>
      <c r="B209" s="287">
        <f t="shared" ref="B209:AF209" si="31">SUM(B210:B214)</f>
        <v>145</v>
      </c>
      <c r="C209" s="57">
        <f t="shared" si="31"/>
        <v>137</v>
      </c>
      <c r="D209" s="57">
        <f t="shared" si="31"/>
        <v>169</v>
      </c>
      <c r="E209" s="57">
        <f t="shared" si="31"/>
        <v>164</v>
      </c>
      <c r="F209" s="57">
        <f t="shared" si="31"/>
        <v>144</v>
      </c>
      <c r="G209" s="57">
        <f t="shared" si="31"/>
        <v>149</v>
      </c>
      <c r="H209" s="57">
        <f t="shared" si="31"/>
        <v>164</v>
      </c>
      <c r="I209" s="57">
        <f t="shared" si="31"/>
        <v>139</v>
      </c>
      <c r="J209" s="57">
        <f t="shared" si="31"/>
        <v>139</v>
      </c>
      <c r="K209" s="57">
        <f t="shared" si="31"/>
        <v>146</v>
      </c>
      <c r="L209" s="57">
        <f t="shared" si="31"/>
        <v>134</v>
      </c>
      <c r="M209" s="57">
        <f t="shared" si="31"/>
        <v>172</v>
      </c>
      <c r="N209" s="56">
        <f t="shared" si="31"/>
        <v>154</v>
      </c>
      <c r="O209" s="56">
        <f t="shared" si="31"/>
        <v>162</v>
      </c>
      <c r="P209" s="56">
        <f t="shared" si="31"/>
        <v>115</v>
      </c>
      <c r="Q209" s="56">
        <f t="shared" si="31"/>
        <v>146</v>
      </c>
      <c r="R209" s="56">
        <f t="shared" si="31"/>
        <v>132</v>
      </c>
      <c r="S209" s="56">
        <f t="shared" si="31"/>
        <v>124</v>
      </c>
      <c r="T209" s="56">
        <f t="shared" si="31"/>
        <v>151</v>
      </c>
      <c r="U209" s="56">
        <f t="shared" si="31"/>
        <v>130</v>
      </c>
      <c r="V209" s="56">
        <f t="shared" si="31"/>
        <v>155</v>
      </c>
      <c r="W209" s="56">
        <f t="shared" si="31"/>
        <v>172</v>
      </c>
      <c r="X209" s="56">
        <f t="shared" si="31"/>
        <v>150</v>
      </c>
      <c r="Y209" s="56">
        <f t="shared" si="31"/>
        <v>128</v>
      </c>
      <c r="Z209" s="56">
        <f t="shared" si="31"/>
        <v>137</v>
      </c>
      <c r="AA209" s="56">
        <f t="shared" si="31"/>
        <v>146</v>
      </c>
      <c r="AB209" s="56">
        <f t="shared" si="31"/>
        <v>123</v>
      </c>
      <c r="AC209" s="56">
        <f t="shared" si="31"/>
        <v>144</v>
      </c>
      <c r="AD209" s="56">
        <f t="shared" si="31"/>
        <v>154</v>
      </c>
      <c r="AE209" s="56">
        <f t="shared" si="31"/>
        <v>123</v>
      </c>
      <c r="AF209" s="55">
        <f t="shared" si="31"/>
        <v>0</v>
      </c>
      <c r="AG209" s="54">
        <f t="shared" si="29"/>
        <v>4348</v>
      </c>
      <c r="AH209" s="53" t="str">
        <f>IF(AG209&lt;&gt;AG93,"X","")</f>
        <v/>
      </c>
    </row>
    <row r="210" spans="1:34" ht="18.75" x14ac:dyDescent="0.25">
      <c r="A210" s="344" t="s">
        <v>17</v>
      </c>
      <c r="B210" s="288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0"/>
      <c r="AB210" s="50"/>
      <c r="AC210" s="50"/>
      <c r="AD210" s="50"/>
      <c r="AE210" s="50"/>
      <c r="AF210" s="49"/>
      <c r="AG210" s="48">
        <f t="shared" si="29"/>
        <v>0</v>
      </c>
    </row>
    <row r="211" spans="1:34" ht="18.75" x14ac:dyDescent="0.25">
      <c r="A211" s="345" t="s">
        <v>16</v>
      </c>
      <c r="B211" s="289">
        <v>2</v>
      </c>
      <c r="C211" s="46"/>
      <c r="D211" s="46">
        <v>1</v>
      </c>
      <c r="E211" s="46">
        <v>1</v>
      </c>
      <c r="F211" s="46"/>
      <c r="G211" s="46">
        <v>2</v>
      </c>
      <c r="H211" s="46">
        <v>1</v>
      </c>
      <c r="I211" s="46"/>
      <c r="J211" s="46"/>
      <c r="K211" s="46">
        <v>2</v>
      </c>
      <c r="L211" s="46">
        <v>2</v>
      </c>
      <c r="M211" s="46">
        <v>1</v>
      </c>
      <c r="N211" s="45">
        <v>1</v>
      </c>
      <c r="O211" s="45"/>
      <c r="P211" s="45"/>
      <c r="Q211" s="45"/>
      <c r="R211" s="45"/>
      <c r="S211" s="45"/>
      <c r="T211" s="45"/>
      <c r="U211" s="45"/>
      <c r="V211" s="45">
        <v>1</v>
      </c>
      <c r="W211" s="45"/>
      <c r="X211" s="45">
        <v>1</v>
      </c>
      <c r="Y211" s="45"/>
      <c r="Z211" s="45"/>
      <c r="AA211" s="45"/>
      <c r="AB211" s="45"/>
      <c r="AC211" s="45">
        <v>1</v>
      </c>
      <c r="AD211" s="45"/>
      <c r="AE211" s="45"/>
      <c r="AF211" s="44"/>
      <c r="AG211" s="43">
        <f t="shared" si="29"/>
        <v>16</v>
      </c>
    </row>
    <row r="212" spans="1:34" ht="18.75" x14ac:dyDescent="0.25">
      <c r="A212" s="345" t="s">
        <v>15</v>
      </c>
      <c r="B212" s="289">
        <v>11</v>
      </c>
      <c r="C212" s="46">
        <v>8</v>
      </c>
      <c r="D212" s="46">
        <v>15</v>
      </c>
      <c r="E212" s="46">
        <v>26</v>
      </c>
      <c r="F212" s="46">
        <v>15</v>
      </c>
      <c r="G212" s="46">
        <v>15</v>
      </c>
      <c r="H212" s="46">
        <v>19</v>
      </c>
      <c r="I212" s="46">
        <v>7</v>
      </c>
      <c r="J212" s="46">
        <v>8</v>
      </c>
      <c r="K212" s="46">
        <v>11</v>
      </c>
      <c r="L212" s="46">
        <v>25</v>
      </c>
      <c r="M212" s="46">
        <v>23</v>
      </c>
      <c r="N212" s="45">
        <v>16</v>
      </c>
      <c r="O212" s="45">
        <v>18</v>
      </c>
      <c r="P212" s="45">
        <v>12</v>
      </c>
      <c r="Q212" s="45">
        <v>17</v>
      </c>
      <c r="R212" s="45">
        <v>25</v>
      </c>
      <c r="S212" s="45">
        <v>14</v>
      </c>
      <c r="T212" s="45">
        <v>23</v>
      </c>
      <c r="U212" s="45">
        <v>15</v>
      </c>
      <c r="V212" s="45">
        <v>22</v>
      </c>
      <c r="W212" s="45">
        <v>23</v>
      </c>
      <c r="X212" s="45">
        <v>11</v>
      </c>
      <c r="Y212" s="45">
        <v>4</v>
      </c>
      <c r="Z212" s="45">
        <v>9</v>
      </c>
      <c r="AA212" s="45">
        <v>12</v>
      </c>
      <c r="AB212" s="45">
        <v>9</v>
      </c>
      <c r="AC212" s="45">
        <v>9</v>
      </c>
      <c r="AD212" s="45">
        <v>10</v>
      </c>
      <c r="AE212" s="45">
        <v>7</v>
      </c>
      <c r="AF212" s="44"/>
      <c r="AG212" s="43">
        <f t="shared" ref="AG212:AG222" si="32">SUM(B212:AF212)</f>
        <v>439</v>
      </c>
    </row>
    <row r="213" spans="1:34" ht="18.75" x14ac:dyDescent="0.25">
      <c r="A213" s="345" t="s">
        <v>14</v>
      </c>
      <c r="B213" s="289">
        <v>120</v>
      </c>
      <c r="C213" s="46">
        <v>105</v>
      </c>
      <c r="D213" s="46">
        <v>135</v>
      </c>
      <c r="E213" s="46">
        <v>119</v>
      </c>
      <c r="F213" s="46">
        <v>96</v>
      </c>
      <c r="G213" s="46">
        <v>106</v>
      </c>
      <c r="H213" s="46">
        <v>134</v>
      </c>
      <c r="I213" s="46">
        <v>122</v>
      </c>
      <c r="J213" s="46">
        <v>118</v>
      </c>
      <c r="K213" s="46">
        <v>113</v>
      </c>
      <c r="L213" s="46">
        <v>87</v>
      </c>
      <c r="M213" s="46">
        <v>127</v>
      </c>
      <c r="N213" s="45">
        <v>119</v>
      </c>
      <c r="O213" s="45">
        <v>134</v>
      </c>
      <c r="P213" s="45">
        <v>84</v>
      </c>
      <c r="Q213" s="45">
        <v>122</v>
      </c>
      <c r="R213" s="45">
        <v>97</v>
      </c>
      <c r="S213" s="45">
        <v>98</v>
      </c>
      <c r="T213" s="45">
        <v>99</v>
      </c>
      <c r="U213" s="45">
        <v>98</v>
      </c>
      <c r="V213" s="45">
        <v>122</v>
      </c>
      <c r="W213" s="45">
        <v>142</v>
      </c>
      <c r="X213" s="45">
        <v>126</v>
      </c>
      <c r="Y213" s="45">
        <v>98</v>
      </c>
      <c r="Z213" s="45">
        <v>116</v>
      </c>
      <c r="AA213" s="45">
        <v>116</v>
      </c>
      <c r="AB213" s="45">
        <v>94</v>
      </c>
      <c r="AC213" s="45">
        <v>111</v>
      </c>
      <c r="AD213" s="45">
        <v>122</v>
      </c>
      <c r="AE213" s="45">
        <v>110</v>
      </c>
      <c r="AF213" s="44"/>
      <c r="AG213" s="43">
        <f t="shared" si="32"/>
        <v>3390</v>
      </c>
    </row>
    <row r="214" spans="1:34" ht="19.5" thickBot="1" x14ac:dyDescent="0.3">
      <c r="A214" s="346" t="s">
        <v>13</v>
      </c>
      <c r="B214" s="290">
        <v>12</v>
      </c>
      <c r="C214" s="41">
        <v>24</v>
      </c>
      <c r="D214" s="41">
        <v>18</v>
      </c>
      <c r="E214" s="41">
        <v>18</v>
      </c>
      <c r="F214" s="41">
        <v>33</v>
      </c>
      <c r="G214" s="41">
        <v>26</v>
      </c>
      <c r="H214" s="41">
        <v>10</v>
      </c>
      <c r="I214" s="41">
        <v>10</v>
      </c>
      <c r="J214" s="41">
        <v>13</v>
      </c>
      <c r="K214" s="41">
        <v>20</v>
      </c>
      <c r="L214" s="41">
        <v>20</v>
      </c>
      <c r="M214" s="41">
        <v>21</v>
      </c>
      <c r="N214" s="40">
        <v>18</v>
      </c>
      <c r="O214" s="40">
        <v>10</v>
      </c>
      <c r="P214" s="40">
        <v>19</v>
      </c>
      <c r="Q214" s="40">
        <v>7</v>
      </c>
      <c r="R214" s="40">
        <v>10</v>
      </c>
      <c r="S214" s="40">
        <v>12</v>
      </c>
      <c r="T214" s="40">
        <v>29</v>
      </c>
      <c r="U214" s="40">
        <v>17</v>
      </c>
      <c r="V214" s="40">
        <v>10</v>
      </c>
      <c r="W214" s="40">
        <v>7</v>
      </c>
      <c r="X214" s="40">
        <v>12</v>
      </c>
      <c r="Y214" s="40">
        <v>26</v>
      </c>
      <c r="Z214" s="40">
        <v>12</v>
      </c>
      <c r="AA214" s="40">
        <v>18</v>
      </c>
      <c r="AB214" s="40">
        <v>20</v>
      </c>
      <c r="AC214" s="40">
        <v>23</v>
      </c>
      <c r="AD214" s="40">
        <v>22</v>
      </c>
      <c r="AE214" s="40">
        <v>6</v>
      </c>
      <c r="AF214" s="39"/>
      <c r="AG214" s="38">
        <f t="shared" si="32"/>
        <v>503</v>
      </c>
    </row>
    <row r="215" spans="1:34" ht="19.5" thickBot="1" x14ac:dyDescent="0.3">
      <c r="A215" s="333" t="s">
        <v>12</v>
      </c>
      <c r="B215" s="291">
        <f t="shared" ref="B215:AF215" si="33">SUM(B216:B218)</f>
        <v>37</v>
      </c>
      <c r="C215" s="36">
        <f t="shared" si="33"/>
        <v>34</v>
      </c>
      <c r="D215" s="36">
        <f t="shared" si="33"/>
        <v>50</v>
      </c>
      <c r="E215" s="36">
        <f t="shared" si="33"/>
        <v>51</v>
      </c>
      <c r="F215" s="36">
        <f t="shared" si="33"/>
        <v>42</v>
      </c>
      <c r="G215" s="36">
        <f t="shared" si="33"/>
        <v>43</v>
      </c>
      <c r="H215" s="36">
        <f t="shared" si="33"/>
        <v>61</v>
      </c>
      <c r="I215" s="36">
        <f t="shared" si="33"/>
        <v>46</v>
      </c>
      <c r="J215" s="36">
        <f t="shared" si="33"/>
        <v>71</v>
      </c>
      <c r="K215" s="36">
        <f t="shared" si="33"/>
        <v>46</v>
      </c>
      <c r="L215" s="36">
        <f t="shared" si="33"/>
        <v>54</v>
      </c>
      <c r="M215" s="36">
        <f t="shared" si="33"/>
        <v>35</v>
      </c>
      <c r="N215" s="35">
        <f t="shared" si="33"/>
        <v>57</v>
      </c>
      <c r="O215" s="35">
        <f t="shared" si="33"/>
        <v>52</v>
      </c>
      <c r="P215" s="35">
        <f t="shared" si="33"/>
        <v>35</v>
      </c>
      <c r="Q215" s="35">
        <f t="shared" si="33"/>
        <v>44</v>
      </c>
      <c r="R215" s="35">
        <f t="shared" si="33"/>
        <v>41</v>
      </c>
      <c r="S215" s="35">
        <f t="shared" si="33"/>
        <v>31</v>
      </c>
      <c r="T215" s="35">
        <f t="shared" si="33"/>
        <v>34</v>
      </c>
      <c r="U215" s="35">
        <f t="shared" si="33"/>
        <v>26</v>
      </c>
      <c r="V215" s="35">
        <f t="shared" si="33"/>
        <v>41</v>
      </c>
      <c r="W215" s="35">
        <f t="shared" si="33"/>
        <v>78</v>
      </c>
      <c r="X215" s="35">
        <f t="shared" si="33"/>
        <v>64</v>
      </c>
      <c r="Y215" s="35">
        <f t="shared" si="33"/>
        <v>17</v>
      </c>
      <c r="Z215" s="35">
        <f t="shared" si="33"/>
        <v>39</v>
      </c>
      <c r="AA215" s="35">
        <f t="shared" si="33"/>
        <v>46</v>
      </c>
      <c r="AB215" s="35">
        <f t="shared" si="33"/>
        <v>28</v>
      </c>
      <c r="AC215" s="35">
        <f t="shared" si="33"/>
        <v>50</v>
      </c>
      <c r="AD215" s="35">
        <f t="shared" si="33"/>
        <v>46</v>
      </c>
      <c r="AE215" s="35">
        <f t="shared" si="33"/>
        <v>53</v>
      </c>
      <c r="AF215" s="34">
        <f t="shared" si="33"/>
        <v>0</v>
      </c>
      <c r="AG215" s="33">
        <f t="shared" si="32"/>
        <v>1352</v>
      </c>
    </row>
    <row r="216" spans="1:34" ht="18.75" x14ac:dyDescent="0.25">
      <c r="A216" s="81" t="s">
        <v>7</v>
      </c>
      <c r="B216" s="292">
        <v>7</v>
      </c>
      <c r="C216" s="31">
        <v>5</v>
      </c>
      <c r="D216" s="31">
        <v>8</v>
      </c>
      <c r="E216" s="31">
        <v>11</v>
      </c>
      <c r="F216" s="31">
        <v>6</v>
      </c>
      <c r="G216" s="31">
        <v>0</v>
      </c>
      <c r="H216" s="31">
        <v>13</v>
      </c>
      <c r="I216" s="31">
        <v>0</v>
      </c>
      <c r="J216" s="31">
        <v>8</v>
      </c>
      <c r="K216" s="31">
        <v>3</v>
      </c>
      <c r="L216" s="31">
        <v>7</v>
      </c>
      <c r="M216" s="31">
        <v>7</v>
      </c>
      <c r="N216" s="30">
        <v>6</v>
      </c>
      <c r="O216" s="30">
        <v>3</v>
      </c>
      <c r="P216" s="30">
        <v>1</v>
      </c>
      <c r="Q216" s="30">
        <v>4</v>
      </c>
      <c r="R216" s="30">
        <v>8</v>
      </c>
      <c r="S216" s="30">
        <v>1</v>
      </c>
      <c r="T216" s="30">
        <v>3</v>
      </c>
      <c r="U216" s="30">
        <v>1</v>
      </c>
      <c r="V216" s="30">
        <v>1</v>
      </c>
      <c r="W216" s="30">
        <v>6</v>
      </c>
      <c r="X216" s="30">
        <v>5</v>
      </c>
      <c r="Y216" s="30">
        <v>1</v>
      </c>
      <c r="Z216" s="30">
        <v>1</v>
      </c>
      <c r="AA216" s="30">
        <v>9</v>
      </c>
      <c r="AB216" s="30">
        <v>0</v>
      </c>
      <c r="AC216" s="30">
        <v>5</v>
      </c>
      <c r="AD216" s="30">
        <v>3</v>
      </c>
      <c r="AE216" s="30">
        <v>3</v>
      </c>
      <c r="AF216" s="29"/>
      <c r="AG216" s="28">
        <f t="shared" si="32"/>
        <v>136</v>
      </c>
    </row>
    <row r="217" spans="1:34" ht="18.75" x14ac:dyDescent="0.25">
      <c r="A217" s="347" t="s">
        <v>11</v>
      </c>
      <c r="B217" s="293">
        <v>29</v>
      </c>
      <c r="C217" s="25">
        <v>29</v>
      </c>
      <c r="D217" s="25">
        <v>42</v>
      </c>
      <c r="E217" s="25">
        <v>37</v>
      </c>
      <c r="F217" s="25">
        <v>35</v>
      </c>
      <c r="G217" s="25">
        <v>0</v>
      </c>
      <c r="H217" s="25">
        <v>48</v>
      </c>
      <c r="I217" s="25">
        <v>33</v>
      </c>
      <c r="J217" s="25">
        <v>60</v>
      </c>
      <c r="K217" s="25">
        <v>41</v>
      </c>
      <c r="L217" s="25">
        <v>47</v>
      </c>
      <c r="M217" s="25">
        <v>28</v>
      </c>
      <c r="N217" s="24">
        <v>51</v>
      </c>
      <c r="O217" s="24">
        <v>41</v>
      </c>
      <c r="P217" s="24">
        <v>34</v>
      </c>
      <c r="Q217" s="24">
        <v>39</v>
      </c>
      <c r="R217" s="24">
        <v>29</v>
      </c>
      <c r="S217" s="24">
        <v>30</v>
      </c>
      <c r="T217" s="24">
        <v>31</v>
      </c>
      <c r="U217" s="24">
        <v>24</v>
      </c>
      <c r="V217" s="24">
        <v>40</v>
      </c>
      <c r="W217" s="24">
        <v>72</v>
      </c>
      <c r="X217" s="24">
        <v>58</v>
      </c>
      <c r="Y217" s="24">
        <v>16</v>
      </c>
      <c r="Z217" s="24">
        <v>38</v>
      </c>
      <c r="AA217" s="24">
        <v>37</v>
      </c>
      <c r="AB217" s="24">
        <v>28</v>
      </c>
      <c r="AC217" s="24">
        <v>45</v>
      </c>
      <c r="AD217" s="24">
        <v>43</v>
      </c>
      <c r="AE217" s="24">
        <v>50</v>
      </c>
      <c r="AF217" s="23"/>
      <c r="AG217" s="21">
        <f t="shared" si="32"/>
        <v>1135</v>
      </c>
    </row>
    <row r="218" spans="1:34" ht="19.5" thickBot="1" x14ac:dyDescent="0.3">
      <c r="A218" s="348" t="s">
        <v>8</v>
      </c>
      <c r="B218" s="293">
        <v>1</v>
      </c>
      <c r="C218" s="25">
        <v>0</v>
      </c>
      <c r="D218" s="25">
        <v>0</v>
      </c>
      <c r="E218" s="25">
        <v>3</v>
      </c>
      <c r="F218" s="25">
        <v>1</v>
      </c>
      <c r="G218" s="25">
        <v>43</v>
      </c>
      <c r="H218" s="25">
        <v>0</v>
      </c>
      <c r="I218" s="25">
        <v>13</v>
      </c>
      <c r="J218" s="25">
        <v>3</v>
      </c>
      <c r="K218" s="25">
        <v>2</v>
      </c>
      <c r="L218" s="25">
        <v>0</v>
      </c>
      <c r="M218" s="25">
        <v>0</v>
      </c>
      <c r="N218" s="24">
        <v>0</v>
      </c>
      <c r="O218" s="24">
        <v>8</v>
      </c>
      <c r="P218" s="24">
        <v>0</v>
      </c>
      <c r="Q218" s="24">
        <v>1</v>
      </c>
      <c r="R218" s="24">
        <v>4</v>
      </c>
      <c r="S218" s="24">
        <v>0</v>
      </c>
      <c r="T218" s="24">
        <v>0</v>
      </c>
      <c r="U218" s="24">
        <v>1</v>
      </c>
      <c r="V218" s="24">
        <v>0</v>
      </c>
      <c r="W218" s="24">
        <v>0</v>
      </c>
      <c r="X218" s="24">
        <v>1</v>
      </c>
      <c r="Y218" s="24">
        <v>0</v>
      </c>
      <c r="Z218" s="24">
        <v>0</v>
      </c>
      <c r="AA218" s="24"/>
      <c r="AB218" s="24"/>
      <c r="AC218" s="24"/>
      <c r="AD218" s="24">
        <v>0</v>
      </c>
      <c r="AE218" s="24">
        <v>0</v>
      </c>
      <c r="AF218" s="23"/>
      <c r="AG218" s="21">
        <f t="shared" si="32"/>
        <v>81</v>
      </c>
    </row>
    <row r="219" spans="1:34" ht="19.5" thickBot="1" x14ac:dyDescent="0.3">
      <c r="A219" s="327" t="s">
        <v>164</v>
      </c>
      <c r="B219" s="266">
        <f t="shared" ref="B219:AF219" si="34">SUM(B220:B222)</f>
        <v>43</v>
      </c>
      <c r="C219" s="143">
        <f t="shared" si="34"/>
        <v>30</v>
      </c>
      <c r="D219" s="143">
        <f t="shared" si="34"/>
        <v>34</v>
      </c>
      <c r="E219" s="143">
        <f t="shared" si="34"/>
        <v>25</v>
      </c>
      <c r="F219" s="143">
        <f t="shared" si="34"/>
        <v>13</v>
      </c>
      <c r="G219" s="143">
        <f t="shared" si="34"/>
        <v>11</v>
      </c>
      <c r="H219" s="143">
        <f t="shared" si="34"/>
        <v>21</v>
      </c>
      <c r="I219" s="143">
        <f t="shared" si="34"/>
        <v>29</v>
      </c>
      <c r="J219" s="143">
        <f t="shared" si="34"/>
        <v>13</v>
      </c>
      <c r="K219" s="143">
        <f t="shared" si="34"/>
        <v>26</v>
      </c>
      <c r="L219" s="143">
        <f t="shared" si="34"/>
        <v>8</v>
      </c>
      <c r="M219" s="143">
        <f t="shared" si="34"/>
        <v>29</v>
      </c>
      <c r="N219" s="143">
        <f t="shared" si="34"/>
        <v>12</v>
      </c>
      <c r="O219" s="143">
        <f t="shared" si="34"/>
        <v>38</v>
      </c>
      <c r="P219" s="143">
        <f t="shared" si="34"/>
        <v>24</v>
      </c>
      <c r="Q219" s="143">
        <f t="shared" si="34"/>
        <v>28</v>
      </c>
      <c r="R219" s="143">
        <f t="shared" si="34"/>
        <v>29</v>
      </c>
      <c r="S219" s="143">
        <f t="shared" si="34"/>
        <v>27</v>
      </c>
      <c r="T219" s="143">
        <f t="shared" si="34"/>
        <v>11</v>
      </c>
      <c r="U219" s="143">
        <f t="shared" si="34"/>
        <v>6</v>
      </c>
      <c r="V219" s="143">
        <f t="shared" si="34"/>
        <v>18</v>
      </c>
      <c r="W219" s="143">
        <f t="shared" si="34"/>
        <v>12</v>
      </c>
      <c r="X219" s="143">
        <f t="shared" si="34"/>
        <v>11</v>
      </c>
      <c r="Y219" s="143">
        <f t="shared" si="34"/>
        <v>41</v>
      </c>
      <c r="Z219" s="143">
        <f t="shared" si="34"/>
        <v>33</v>
      </c>
      <c r="AA219" s="143">
        <f t="shared" si="34"/>
        <v>1</v>
      </c>
      <c r="AB219" s="143">
        <f t="shared" si="34"/>
        <v>0</v>
      </c>
      <c r="AC219" s="143">
        <f t="shared" si="34"/>
        <v>0</v>
      </c>
      <c r="AD219" s="143">
        <f t="shared" si="34"/>
        <v>31</v>
      </c>
      <c r="AE219" s="143">
        <f t="shared" si="34"/>
        <v>18</v>
      </c>
      <c r="AF219" s="143">
        <f t="shared" si="34"/>
        <v>0</v>
      </c>
      <c r="AG219" s="86">
        <f t="shared" si="32"/>
        <v>622</v>
      </c>
    </row>
    <row r="220" spans="1:34" ht="18.75" x14ac:dyDescent="0.25">
      <c r="A220" s="349" t="s">
        <v>165</v>
      </c>
      <c r="B220" s="355">
        <v>4</v>
      </c>
      <c r="C220" s="218">
        <v>3</v>
      </c>
      <c r="D220" s="218">
        <v>3</v>
      </c>
      <c r="E220" s="218">
        <v>3</v>
      </c>
      <c r="F220" s="218">
        <v>2</v>
      </c>
      <c r="G220" s="218">
        <v>1</v>
      </c>
      <c r="H220" s="218">
        <v>2</v>
      </c>
      <c r="I220" s="218">
        <v>5</v>
      </c>
      <c r="J220" s="218">
        <v>3</v>
      </c>
      <c r="K220" s="218">
        <v>2</v>
      </c>
      <c r="L220" s="218">
        <v>1</v>
      </c>
      <c r="M220" s="218">
        <v>2</v>
      </c>
      <c r="N220" s="218">
        <v>2</v>
      </c>
      <c r="O220" s="218">
        <v>4</v>
      </c>
      <c r="P220" s="218">
        <v>3</v>
      </c>
      <c r="Q220" s="218">
        <v>3</v>
      </c>
      <c r="R220" s="218">
        <v>3</v>
      </c>
      <c r="S220" s="218">
        <v>2</v>
      </c>
      <c r="T220" s="218">
        <v>2</v>
      </c>
      <c r="U220" s="218">
        <v>2</v>
      </c>
      <c r="V220" s="218">
        <v>5</v>
      </c>
      <c r="W220" s="218">
        <v>3</v>
      </c>
      <c r="X220" s="218">
        <v>0</v>
      </c>
      <c r="Y220" s="218">
        <v>3</v>
      </c>
      <c r="Z220" s="218">
        <v>10</v>
      </c>
      <c r="AA220" s="218"/>
      <c r="AB220" s="218">
        <v>0</v>
      </c>
      <c r="AC220" s="218">
        <v>0</v>
      </c>
      <c r="AD220" s="218">
        <v>0</v>
      </c>
      <c r="AE220" s="218">
        <v>1</v>
      </c>
      <c r="AF220" s="218"/>
      <c r="AG220" s="225">
        <f t="shared" si="32"/>
        <v>74</v>
      </c>
    </row>
    <row r="221" spans="1:34" ht="18.75" x14ac:dyDescent="0.25">
      <c r="A221" s="350" t="s">
        <v>166</v>
      </c>
      <c r="B221" s="273">
        <v>39</v>
      </c>
      <c r="C221" s="124">
        <v>27</v>
      </c>
      <c r="D221" s="124">
        <v>31</v>
      </c>
      <c r="E221" s="124">
        <v>22</v>
      </c>
      <c r="F221" s="124">
        <v>11</v>
      </c>
      <c r="G221" s="124">
        <v>10</v>
      </c>
      <c r="H221" s="124">
        <v>19</v>
      </c>
      <c r="I221" s="124">
        <v>24</v>
      </c>
      <c r="J221" s="124">
        <v>10</v>
      </c>
      <c r="K221" s="124">
        <v>24</v>
      </c>
      <c r="L221" s="124">
        <v>7</v>
      </c>
      <c r="M221" s="124">
        <v>27</v>
      </c>
      <c r="N221" s="124">
        <v>10</v>
      </c>
      <c r="O221" s="124">
        <v>34</v>
      </c>
      <c r="P221" s="124">
        <v>21</v>
      </c>
      <c r="Q221" s="124">
        <v>25</v>
      </c>
      <c r="R221" s="124">
        <v>26</v>
      </c>
      <c r="S221" s="124">
        <v>25</v>
      </c>
      <c r="T221" s="124">
        <v>9</v>
      </c>
      <c r="U221" s="124">
        <v>4</v>
      </c>
      <c r="V221" s="124">
        <v>13</v>
      </c>
      <c r="W221" s="124">
        <v>9</v>
      </c>
      <c r="X221" s="124">
        <v>11</v>
      </c>
      <c r="Y221" s="124">
        <v>38</v>
      </c>
      <c r="Z221" s="124">
        <v>23</v>
      </c>
      <c r="AA221" s="124">
        <v>1</v>
      </c>
      <c r="AB221" s="124">
        <v>0</v>
      </c>
      <c r="AC221" s="124">
        <v>0</v>
      </c>
      <c r="AD221" s="124">
        <v>31</v>
      </c>
      <c r="AE221" s="124">
        <v>17</v>
      </c>
      <c r="AF221" s="124"/>
      <c r="AG221" s="122">
        <f t="shared" si="32"/>
        <v>548</v>
      </c>
    </row>
    <row r="222" spans="1:34" ht="19.5" thickBot="1" x14ac:dyDescent="0.3">
      <c r="A222" s="324" t="s">
        <v>167</v>
      </c>
      <c r="B222" s="263">
        <v>0</v>
      </c>
      <c r="C222" s="140">
        <v>0</v>
      </c>
      <c r="D222" s="140">
        <v>0</v>
      </c>
      <c r="E222" s="140">
        <v>0</v>
      </c>
      <c r="F222" s="140">
        <v>0</v>
      </c>
      <c r="G222" s="140">
        <v>0</v>
      </c>
      <c r="H222" s="140">
        <v>0</v>
      </c>
      <c r="I222" s="140">
        <v>0</v>
      </c>
      <c r="J222" s="140">
        <v>0</v>
      </c>
      <c r="K222" s="140">
        <v>0</v>
      </c>
      <c r="L222" s="140">
        <v>0</v>
      </c>
      <c r="M222" s="140">
        <v>0</v>
      </c>
      <c r="N222" s="140">
        <v>0</v>
      </c>
      <c r="O222" s="140">
        <v>0</v>
      </c>
      <c r="P222" s="140">
        <v>0</v>
      </c>
      <c r="Q222" s="140">
        <v>0</v>
      </c>
      <c r="R222" s="140">
        <v>0</v>
      </c>
      <c r="S222" s="140">
        <v>0</v>
      </c>
      <c r="T222" s="140">
        <v>0</v>
      </c>
      <c r="U222" s="140">
        <v>0</v>
      </c>
      <c r="V222" s="140">
        <v>0</v>
      </c>
      <c r="W222" s="140">
        <v>0</v>
      </c>
      <c r="X222" s="140">
        <v>0</v>
      </c>
      <c r="Y222" s="140">
        <v>0</v>
      </c>
      <c r="Z222" s="140">
        <v>0</v>
      </c>
      <c r="AA222" s="140">
        <v>0</v>
      </c>
      <c r="AB222" s="140">
        <v>0</v>
      </c>
      <c r="AC222" s="140">
        <v>0</v>
      </c>
      <c r="AD222" s="140">
        <v>0</v>
      </c>
      <c r="AE222" s="140">
        <v>0</v>
      </c>
      <c r="AF222" s="140"/>
      <c r="AG222" s="138">
        <f t="shared" si="32"/>
        <v>0</v>
      </c>
    </row>
    <row r="223" spans="1:34" ht="18.75" x14ac:dyDescent="0.25">
      <c r="A223" s="351" t="s">
        <v>4</v>
      </c>
      <c r="B223" s="265">
        <f t="shared" ref="B223:AF223" si="35">SUM(B224:B226)</f>
        <v>10</v>
      </c>
      <c r="C223" s="8">
        <f t="shared" si="35"/>
        <v>4</v>
      </c>
      <c r="D223" s="8">
        <f t="shared" si="35"/>
        <v>8</v>
      </c>
      <c r="E223" s="8">
        <f t="shared" si="35"/>
        <v>5</v>
      </c>
      <c r="F223" s="8">
        <f t="shared" si="35"/>
        <v>5</v>
      </c>
      <c r="G223" s="8">
        <f t="shared" si="35"/>
        <v>11</v>
      </c>
      <c r="H223" s="8">
        <f t="shared" si="35"/>
        <v>11</v>
      </c>
      <c r="I223" s="8">
        <f t="shared" si="35"/>
        <v>11</v>
      </c>
      <c r="J223" s="8">
        <f t="shared" si="35"/>
        <v>11</v>
      </c>
      <c r="K223" s="8">
        <f t="shared" si="35"/>
        <v>9</v>
      </c>
      <c r="L223" s="8">
        <f t="shared" si="35"/>
        <v>13</v>
      </c>
      <c r="M223" s="8">
        <f t="shared" si="35"/>
        <v>9</v>
      </c>
      <c r="N223" s="8">
        <f t="shared" si="35"/>
        <v>7</v>
      </c>
      <c r="O223" s="8">
        <f t="shared" si="35"/>
        <v>13</v>
      </c>
      <c r="P223" s="8">
        <f t="shared" si="35"/>
        <v>8</v>
      </c>
      <c r="Q223" s="8">
        <f t="shared" si="35"/>
        <v>13</v>
      </c>
      <c r="R223" s="8">
        <f t="shared" si="35"/>
        <v>5</v>
      </c>
      <c r="S223" s="8">
        <f t="shared" si="35"/>
        <v>9</v>
      </c>
      <c r="T223" s="8">
        <f t="shared" si="35"/>
        <v>11</v>
      </c>
      <c r="U223" s="8">
        <f t="shared" si="35"/>
        <v>7</v>
      </c>
      <c r="V223" s="8">
        <f t="shared" si="35"/>
        <v>6</v>
      </c>
      <c r="W223" s="8">
        <f t="shared" si="35"/>
        <v>7</v>
      </c>
      <c r="X223" s="8">
        <f t="shared" si="35"/>
        <v>11</v>
      </c>
      <c r="Y223" s="8">
        <f t="shared" si="35"/>
        <v>9</v>
      </c>
      <c r="Z223" s="8">
        <f t="shared" si="35"/>
        <v>11</v>
      </c>
      <c r="AA223" s="8">
        <f t="shared" si="35"/>
        <v>8</v>
      </c>
      <c r="AB223" s="8">
        <f t="shared" si="35"/>
        <v>11</v>
      </c>
      <c r="AC223" s="8">
        <f t="shared" si="35"/>
        <v>6</v>
      </c>
      <c r="AD223" s="8">
        <f t="shared" si="35"/>
        <v>6</v>
      </c>
      <c r="AE223" s="8">
        <f t="shared" si="35"/>
        <v>9</v>
      </c>
      <c r="AF223" s="8">
        <f t="shared" si="35"/>
        <v>0</v>
      </c>
      <c r="AG223" s="7">
        <f t="shared" ref="AG223:AG226" si="36">SUM(B223:AF223)</f>
        <v>264</v>
      </c>
      <c r="AH223" s="406" t="s">
        <v>3</v>
      </c>
    </row>
    <row r="224" spans="1:34" ht="18.75" x14ac:dyDescent="0.25">
      <c r="A224" s="352" t="s">
        <v>2</v>
      </c>
      <c r="B224" s="5">
        <v>9</v>
      </c>
      <c r="C224" s="3">
        <v>0</v>
      </c>
      <c r="D224" s="3">
        <v>8</v>
      </c>
      <c r="E224" s="3">
        <v>0</v>
      </c>
      <c r="F224" s="3">
        <v>2</v>
      </c>
      <c r="G224" s="3">
        <v>6</v>
      </c>
      <c r="H224" s="3">
        <v>9</v>
      </c>
      <c r="I224" s="3">
        <v>10</v>
      </c>
      <c r="J224" s="3">
        <v>6</v>
      </c>
      <c r="K224" s="3">
        <v>6</v>
      </c>
      <c r="L224" s="3">
        <v>12</v>
      </c>
      <c r="M224" s="3">
        <v>3</v>
      </c>
      <c r="N224" s="5">
        <v>2</v>
      </c>
      <c r="O224" s="3">
        <v>9</v>
      </c>
      <c r="P224" s="3">
        <v>5</v>
      </c>
      <c r="Q224" s="3">
        <v>6</v>
      </c>
      <c r="R224" s="3">
        <v>3</v>
      </c>
      <c r="S224" s="3">
        <v>6</v>
      </c>
      <c r="T224" s="3">
        <v>5</v>
      </c>
      <c r="U224" s="3">
        <v>2</v>
      </c>
      <c r="V224" s="3">
        <v>1</v>
      </c>
      <c r="W224" s="3">
        <v>2</v>
      </c>
      <c r="X224" s="3">
        <v>6</v>
      </c>
      <c r="Y224" s="3">
        <v>6</v>
      </c>
      <c r="Z224" s="4">
        <v>4</v>
      </c>
      <c r="AA224" s="3">
        <v>2</v>
      </c>
      <c r="AB224" s="3">
        <v>1</v>
      </c>
      <c r="AC224" s="3">
        <v>0</v>
      </c>
      <c r="AD224" s="3">
        <v>2</v>
      </c>
      <c r="AE224" s="3">
        <v>5</v>
      </c>
      <c r="AF224" s="2"/>
      <c r="AG224" s="1">
        <f t="shared" si="36"/>
        <v>138</v>
      </c>
      <c r="AH224" s="407"/>
    </row>
    <row r="225" spans="1:34" ht="18.75" x14ac:dyDescent="0.25">
      <c r="A225" s="352" t="s">
        <v>1</v>
      </c>
      <c r="B225" s="5">
        <v>1</v>
      </c>
      <c r="C225" s="3">
        <v>4</v>
      </c>
      <c r="D225" s="3">
        <v>0</v>
      </c>
      <c r="E225" s="3">
        <v>5</v>
      </c>
      <c r="F225" s="3">
        <v>3</v>
      </c>
      <c r="G225" s="3">
        <v>5</v>
      </c>
      <c r="H225" s="3">
        <v>2</v>
      </c>
      <c r="I225" s="3">
        <v>1</v>
      </c>
      <c r="J225" s="3">
        <v>5</v>
      </c>
      <c r="K225" s="3">
        <v>3</v>
      </c>
      <c r="L225" s="3">
        <v>1</v>
      </c>
      <c r="M225" s="3">
        <v>6</v>
      </c>
      <c r="N225" s="5">
        <v>5</v>
      </c>
      <c r="O225" s="3">
        <v>4</v>
      </c>
      <c r="P225" s="3">
        <v>3</v>
      </c>
      <c r="Q225" s="3">
        <v>7</v>
      </c>
      <c r="R225" s="3">
        <v>2</v>
      </c>
      <c r="S225" s="3">
        <v>3</v>
      </c>
      <c r="T225" s="3">
        <v>6</v>
      </c>
      <c r="U225" s="3">
        <v>5</v>
      </c>
      <c r="V225" s="3">
        <v>5</v>
      </c>
      <c r="W225" s="3">
        <v>5</v>
      </c>
      <c r="X225" s="3">
        <v>5</v>
      </c>
      <c r="Y225" s="3">
        <v>3</v>
      </c>
      <c r="Z225" s="4">
        <v>7</v>
      </c>
      <c r="AA225" s="3">
        <v>6</v>
      </c>
      <c r="AB225" s="3">
        <v>10</v>
      </c>
      <c r="AC225" s="3">
        <v>6</v>
      </c>
      <c r="AD225" s="3">
        <v>4</v>
      </c>
      <c r="AE225" s="3">
        <v>4</v>
      </c>
      <c r="AF225" s="2"/>
      <c r="AG225" s="1">
        <f t="shared" si="36"/>
        <v>126</v>
      </c>
      <c r="AH225" s="407"/>
    </row>
    <row r="226" spans="1:34" ht="19.5" thickBot="1" x14ac:dyDescent="0.3">
      <c r="A226" s="353" t="s">
        <v>0</v>
      </c>
      <c r="B226" s="297"/>
      <c r="C226" s="240"/>
      <c r="D226" s="240"/>
      <c r="E226" s="240"/>
      <c r="F226" s="240"/>
      <c r="G226" s="240"/>
      <c r="H226" s="240"/>
      <c r="I226" s="240"/>
      <c r="J226" s="240"/>
      <c r="K226" s="241"/>
      <c r="L226" s="241"/>
      <c r="M226" s="241"/>
      <c r="N226" s="242"/>
      <c r="O226" s="243"/>
      <c r="P226" s="243"/>
      <c r="Q226" s="243"/>
      <c r="R226" s="243"/>
      <c r="S226" s="243"/>
      <c r="T226" s="243"/>
      <c r="U226" s="243"/>
      <c r="V226" s="243"/>
      <c r="W226" s="243"/>
      <c r="X226" s="243"/>
      <c r="Y226" s="243"/>
      <c r="Z226" s="243"/>
      <c r="AA226" s="243"/>
      <c r="AB226" s="243"/>
      <c r="AC226" s="243"/>
      <c r="AD226" s="243"/>
      <c r="AE226" s="243"/>
      <c r="AF226" s="244"/>
      <c r="AG226" s="10">
        <f t="shared" si="36"/>
        <v>0</v>
      </c>
      <c r="AH226" s="408"/>
    </row>
    <row r="246" ht="18.75" customHeight="1" x14ac:dyDescent="0.25"/>
    <row r="247" ht="18.75" customHeight="1" x14ac:dyDescent="0.25"/>
    <row r="248" ht="18.75" customHeight="1" x14ac:dyDescent="0.25"/>
    <row r="249" ht="18.75" customHeight="1" x14ac:dyDescent="0.25"/>
    <row r="250" ht="18.75" customHeight="1" x14ac:dyDescent="0.25"/>
    <row r="251" ht="18.75" customHeight="1" x14ac:dyDescent="0.25"/>
    <row r="252" ht="18.75" customHeight="1" x14ac:dyDescent="0.25"/>
    <row r="253" ht="18.75" customHeight="1" x14ac:dyDescent="0.25"/>
    <row r="254" ht="18.75" customHeight="1" x14ac:dyDescent="0.25"/>
    <row r="255" ht="18.75" customHeight="1" x14ac:dyDescent="0.25"/>
    <row r="256" ht="18.75" customHeight="1" x14ac:dyDescent="0.25"/>
    <row r="257" ht="19.5" customHeight="1" x14ac:dyDescent="0.25"/>
    <row r="259" ht="18.75" customHeight="1" x14ac:dyDescent="0.25"/>
    <row r="262" ht="18.75" customHeight="1" x14ac:dyDescent="0.25"/>
  </sheetData>
  <dataConsolidate link="1"/>
  <mergeCells count="3">
    <mergeCell ref="A1:AG1"/>
    <mergeCell ref="AI84:AI86"/>
    <mergeCell ref="AH223:AH226"/>
  </mergeCells>
  <conditionalFormatting sqref="B29:AF52">
    <cfRule type="cellIs" dxfId="69" priority="6" operator="lessThan">
      <formula>0</formula>
    </cfRule>
  </conditionalFormatting>
  <conditionalFormatting sqref="D54:D77">
    <cfRule type="cellIs" dxfId="68" priority="2" operator="lessThan">
      <formula>0</formula>
    </cfRule>
  </conditionalFormatting>
  <conditionalFormatting sqref="G54:G77">
    <cfRule type="cellIs" dxfId="67" priority="1" operator="lessThan">
      <formula>0</formula>
    </cfRule>
  </conditionalFormatting>
  <conditionalFormatting sqref="AH81">
    <cfRule type="cellIs" dxfId="66" priority="4" operator="equal">
      <formula>"*"</formula>
    </cfRule>
  </conditionalFormatting>
  <conditionalFormatting sqref="AH84 AH87">
    <cfRule type="cellIs" dxfId="65" priority="5" operator="equal">
      <formula>"*"</formula>
    </cfRule>
  </conditionalFormatting>
  <conditionalFormatting sqref="AH93">
    <cfRule type="cellIs" dxfId="64" priority="10" operator="equal">
      <formula>"*"</formula>
    </cfRule>
  </conditionalFormatting>
  <conditionalFormatting sqref="AH130">
    <cfRule type="cellIs" dxfId="63" priority="8" operator="equal">
      <formula>"*"</formula>
    </cfRule>
  </conditionalFormatting>
  <conditionalFormatting sqref="AH144:AH145">
    <cfRule type="cellIs" dxfId="62" priority="9" operator="equal">
      <formula>"*"</formula>
    </cfRule>
  </conditionalFormatting>
  <conditionalFormatting sqref="AH182">
    <cfRule type="cellIs" dxfId="61" priority="7" operator="equal">
      <formula>"*"</formula>
    </cfRule>
  </conditionalFormatting>
  <conditionalFormatting sqref="AH209">
    <cfRule type="cellIs" dxfId="60" priority="3" operator="equal">
      <formula>"X"</formula>
    </cfRule>
  </conditionalFormatting>
  <dataValidations disablePrompts="1" count="1">
    <dataValidation type="whole" allowBlank="1" showInputMessage="1" showErrorMessage="1" errorTitle="ERROR" error="Por favor ingrese solo Números" sqref="A98:A99 A101:A115" xr:uid="{B3672382-D5B0-482B-94E6-0E6C1D2D6B08}">
      <formula1>0</formula1>
      <formula2>1000000000</formula2>
    </dataValidation>
  </dataValidations>
  <pageMargins left="0.7" right="0.7" top="0.75" bottom="0.75" header="0.3" footer="0.3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83337-A0DF-4049-AB76-40E878022A44}">
  <sheetPr codeName="Hoja9"/>
  <dimension ref="A1:AI262"/>
  <sheetViews>
    <sheetView zoomScale="80" zoomScaleNormal="80" workbookViewId="0">
      <pane xSplit="1" ySplit="3" topLeftCell="B4" activePane="bottomRight" state="frozen"/>
      <selection activeCell="AG3" sqref="AG3"/>
      <selection pane="topRight" activeCell="AG3" sqref="AG3"/>
      <selection pane="bottomLeft" activeCell="AG3" sqref="AG3"/>
      <selection pane="bottomRight" activeCell="B4" sqref="B4"/>
    </sheetView>
  </sheetViews>
  <sheetFormatPr baseColWidth="10" defaultRowHeight="15" x14ac:dyDescent="0.25"/>
  <cols>
    <col min="1" max="1" width="34.7109375" customWidth="1"/>
    <col min="2" max="13" width="8.28515625" customWidth="1"/>
    <col min="14" max="14" width="7.5703125" customWidth="1"/>
    <col min="15" max="27" width="8.28515625" customWidth="1"/>
    <col min="28" max="28" width="9.7109375" customWidth="1"/>
    <col min="29" max="32" width="8.28515625" customWidth="1"/>
    <col min="33" max="33" width="11.140625" customWidth="1"/>
    <col min="34" max="34" width="12.42578125" customWidth="1"/>
  </cols>
  <sheetData>
    <row r="1" spans="1:33" ht="21.75" thickBot="1" x14ac:dyDescent="0.3">
      <c r="A1" s="400"/>
      <c r="B1" s="401"/>
      <c r="C1" s="401"/>
      <c r="D1" s="401"/>
      <c r="E1" s="401"/>
      <c r="F1" s="401"/>
      <c r="G1" s="401"/>
      <c r="H1" s="401"/>
      <c r="I1" s="401"/>
      <c r="J1" s="401"/>
      <c r="K1" s="401"/>
      <c r="L1" s="401"/>
      <c r="M1" s="401"/>
      <c r="N1" s="401"/>
      <c r="O1" s="401"/>
      <c r="P1" s="401"/>
      <c r="Q1" s="401"/>
      <c r="R1" s="401"/>
      <c r="S1" s="401"/>
      <c r="T1" s="401"/>
      <c r="U1" s="401"/>
      <c r="V1" s="401"/>
      <c r="W1" s="401"/>
      <c r="X1" s="401"/>
      <c r="Y1" s="401"/>
      <c r="Z1" s="401"/>
      <c r="AA1" s="401"/>
      <c r="AB1" s="401"/>
      <c r="AC1" s="401"/>
      <c r="AD1" s="401"/>
      <c r="AE1" s="401"/>
      <c r="AF1" s="401"/>
      <c r="AG1" s="402"/>
    </row>
    <row r="2" spans="1:33" ht="21.75" thickBot="1" x14ac:dyDescent="0.3">
      <c r="A2" s="298" t="s">
        <v>158</v>
      </c>
      <c r="B2" s="246">
        <v>1</v>
      </c>
      <c r="C2" s="215">
        <f t="shared" ref="C2:AA2" si="0">+B2+1</f>
        <v>2</v>
      </c>
      <c r="D2" s="217">
        <f t="shared" si="0"/>
        <v>3</v>
      </c>
      <c r="E2" s="217">
        <f t="shared" si="0"/>
        <v>4</v>
      </c>
      <c r="F2" s="215">
        <f t="shared" si="0"/>
        <v>5</v>
      </c>
      <c r="G2" s="215">
        <f t="shared" si="0"/>
        <v>6</v>
      </c>
      <c r="H2" s="215">
        <f t="shared" si="0"/>
        <v>7</v>
      </c>
      <c r="I2" s="215">
        <f t="shared" si="0"/>
        <v>8</v>
      </c>
      <c r="J2" s="215">
        <f t="shared" si="0"/>
        <v>9</v>
      </c>
      <c r="K2" s="217">
        <f t="shared" si="0"/>
        <v>10</v>
      </c>
      <c r="L2" s="217">
        <f t="shared" si="0"/>
        <v>11</v>
      </c>
      <c r="M2" s="215">
        <f t="shared" si="0"/>
        <v>12</v>
      </c>
      <c r="N2" s="215">
        <f t="shared" si="0"/>
        <v>13</v>
      </c>
      <c r="O2" s="215">
        <f t="shared" si="0"/>
        <v>14</v>
      </c>
      <c r="P2" s="215">
        <f t="shared" si="0"/>
        <v>15</v>
      </c>
      <c r="Q2" s="217">
        <f t="shared" si="0"/>
        <v>16</v>
      </c>
      <c r="R2" s="217">
        <f t="shared" si="0"/>
        <v>17</v>
      </c>
      <c r="S2" s="217">
        <f t="shared" si="0"/>
        <v>18</v>
      </c>
      <c r="T2" s="215">
        <f t="shared" si="0"/>
        <v>19</v>
      </c>
      <c r="U2" s="215">
        <f t="shared" si="0"/>
        <v>20</v>
      </c>
      <c r="V2" s="215">
        <f t="shared" si="0"/>
        <v>21</v>
      </c>
      <c r="W2" s="215">
        <f t="shared" si="0"/>
        <v>22</v>
      </c>
      <c r="X2" s="215">
        <f t="shared" si="0"/>
        <v>23</v>
      </c>
      <c r="Y2" s="217">
        <f t="shared" si="0"/>
        <v>24</v>
      </c>
      <c r="Z2" s="217">
        <f t="shared" si="0"/>
        <v>25</v>
      </c>
      <c r="AA2" s="215">
        <f t="shared" si="0"/>
        <v>26</v>
      </c>
      <c r="AB2" s="215">
        <v>27</v>
      </c>
      <c r="AC2" s="215">
        <f>+AB2+1</f>
        <v>28</v>
      </c>
      <c r="AD2" s="215">
        <v>29</v>
      </c>
      <c r="AE2" s="215">
        <v>30</v>
      </c>
      <c r="AF2" s="217">
        <v>31</v>
      </c>
      <c r="AG2" s="214" t="s">
        <v>148</v>
      </c>
    </row>
    <row r="3" spans="1:33" ht="19.5" thickBot="1" x14ac:dyDescent="0.3">
      <c r="A3" s="299" t="s">
        <v>147</v>
      </c>
      <c r="B3" s="247">
        <f t="shared" ref="B3:AF3" si="1">SUM(B4:B27)</f>
        <v>129</v>
      </c>
      <c r="C3" s="120">
        <f t="shared" si="1"/>
        <v>110</v>
      </c>
      <c r="D3" s="120">
        <f t="shared" si="1"/>
        <v>178</v>
      </c>
      <c r="E3" s="120">
        <f t="shared" si="1"/>
        <v>122</v>
      </c>
      <c r="F3" s="120">
        <f t="shared" si="1"/>
        <v>139</v>
      </c>
      <c r="G3" s="120">
        <f t="shared" si="1"/>
        <v>146</v>
      </c>
      <c r="H3" s="120">
        <f t="shared" si="1"/>
        <v>147</v>
      </c>
      <c r="I3" s="120">
        <f t="shared" si="1"/>
        <v>126</v>
      </c>
      <c r="J3" s="120">
        <f t="shared" si="1"/>
        <v>98</v>
      </c>
      <c r="K3" s="120">
        <f t="shared" si="1"/>
        <v>119</v>
      </c>
      <c r="L3" s="120">
        <f t="shared" si="1"/>
        <v>121</v>
      </c>
      <c r="M3" s="120">
        <f t="shared" si="1"/>
        <v>127</v>
      </c>
      <c r="N3" s="120">
        <f t="shared" si="1"/>
        <v>117</v>
      </c>
      <c r="O3" s="120">
        <f t="shared" si="1"/>
        <v>121</v>
      </c>
      <c r="P3" s="120">
        <f t="shared" si="1"/>
        <v>134</v>
      </c>
      <c r="Q3" s="120">
        <f t="shared" si="1"/>
        <v>161</v>
      </c>
      <c r="R3" s="120">
        <f t="shared" si="1"/>
        <v>185</v>
      </c>
      <c r="S3" s="120">
        <f t="shared" si="1"/>
        <v>172</v>
      </c>
      <c r="T3" s="120">
        <f t="shared" si="1"/>
        <v>177</v>
      </c>
      <c r="U3" s="120">
        <f t="shared" si="1"/>
        <v>165</v>
      </c>
      <c r="V3" s="120">
        <f t="shared" si="1"/>
        <v>154</v>
      </c>
      <c r="W3" s="120">
        <f t="shared" si="1"/>
        <v>150</v>
      </c>
      <c r="X3" s="120">
        <f t="shared" si="1"/>
        <v>160</v>
      </c>
      <c r="Y3" s="120">
        <f t="shared" si="1"/>
        <v>145</v>
      </c>
      <c r="Z3" s="120">
        <f t="shared" si="1"/>
        <v>152</v>
      </c>
      <c r="AA3" s="120">
        <f t="shared" si="1"/>
        <v>166</v>
      </c>
      <c r="AB3" s="120">
        <f t="shared" si="1"/>
        <v>171</v>
      </c>
      <c r="AC3" s="120">
        <f t="shared" si="1"/>
        <v>156</v>
      </c>
      <c r="AD3" s="120">
        <f t="shared" si="1"/>
        <v>147</v>
      </c>
      <c r="AE3" s="120">
        <f t="shared" si="1"/>
        <v>122</v>
      </c>
      <c r="AF3" s="120">
        <f t="shared" si="1"/>
        <v>160</v>
      </c>
      <c r="AG3" s="118">
        <f t="shared" ref="AG3:AG66" si="2">SUM(B3:AF3)</f>
        <v>4477</v>
      </c>
    </row>
    <row r="4" spans="1:33" ht="18.75" x14ac:dyDescent="0.25">
      <c r="A4" s="300" t="s">
        <v>144</v>
      </c>
      <c r="B4" s="248">
        <v>2</v>
      </c>
      <c r="C4" s="199">
        <v>2</v>
      </c>
      <c r="D4" s="199">
        <v>3</v>
      </c>
      <c r="E4" s="199">
        <v>2</v>
      </c>
      <c r="F4" s="199">
        <v>7</v>
      </c>
      <c r="G4" s="199">
        <v>3</v>
      </c>
      <c r="H4" s="199">
        <v>3</v>
      </c>
      <c r="I4" s="199">
        <v>5</v>
      </c>
      <c r="J4" s="199">
        <v>2</v>
      </c>
      <c r="K4" s="199">
        <v>9</v>
      </c>
      <c r="L4" s="199">
        <v>4</v>
      </c>
      <c r="M4" s="199">
        <v>1</v>
      </c>
      <c r="N4" s="199">
        <v>4</v>
      </c>
      <c r="O4" s="199">
        <v>2</v>
      </c>
      <c r="P4" s="199">
        <v>1</v>
      </c>
      <c r="Q4" s="199">
        <v>10</v>
      </c>
      <c r="R4" s="199">
        <v>3</v>
      </c>
      <c r="S4" s="199">
        <v>2</v>
      </c>
      <c r="T4" s="199">
        <v>7</v>
      </c>
      <c r="U4" s="199">
        <v>3</v>
      </c>
      <c r="V4" s="199">
        <v>1</v>
      </c>
      <c r="W4" s="199">
        <v>2</v>
      </c>
      <c r="X4" s="199">
        <v>4</v>
      </c>
      <c r="Y4" s="199">
        <v>2</v>
      </c>
      <c r="Z4" s="199">
        <v>2</v>
      </c>
      <c r="AA4" s="199">
        <v>3</v>
      </c>
      <c r="AB4" s="199">
        <v>2</v>
      </c>
      <c r="AC4" s="199">
        <v>1</v>
      </c>
      <c r="AD4" s="199">
        <v>3</v>
      </c>
      <c r="AE4" s="199">
        <v>2</v>
      </c>
      <c r="AF4" s="206">
        <v>3</v>
      </c>
      <c r="AG4" s="134">
        <f t="shared" si="2"/>
        <v>100</v>
      </c>
    </row>
    <row r="5" spans="1:33" ht="18.75" x14ac:dyDescent="0.25">
      <c r="A5" s="301" t="s">
        <v>143</v>
      </c>
      <c r="B5" s="249">
        <v>5</v>
      </c>
      <c r="C5" s="162">
        <v>4</v>
      </c>
      <c r="D5" s="162">
        <v>7</v>
      </c>
      <c r="E5" s="162">
        <v>1</v>
      </c>
      <c r="F5" s="162">
        <v>6</v>
      </c>
      <c r="G5" s="162">
        <v>4</v>
      </c>
      <c r="H5" s="162">
        <v>4</v>
      </c>
      <c r="I5" s="162">
        <v>7</v>
      </c>
      <c r="J5" s="162">
        <v>1</v>
      </c>
      <c r="K5" s="162">
        <v>3</v>
      </c>
      <c r="L5" s="162">
        <v>6</v>
      </c>
      <c r="M5" s="162">
        <v>1</v>
      </c>
      <c r="N5" s="162">
        <v>1</v>
      </c>
      <c r="O5" s="162">
        <v>4</v>
      </c>
      <c r="P5" s="162">
        <v>3</v>
      </c>
      <c r="Q5" s="162">
        <v>7</v>
      </c>
      <c r="R5" s="162">
        <v>7</v>
      </c>
      <c r="S5" s="162">
        <v>6</v>
      </c>
      <c r="T5" s="162">
        <v>8</v>
      </c>
      <c r="U5" s="162">
        <v>3</v>
      </c>
      <c r="V5" s="162">
        <v>6</v>
      </c>
      <c r="W5" s="162">
        <v>3</v>
      </c>
      <c r="X5" s="162">
        <v>1</v>
      </c>
      <c r="Y5" s="162">
        <v>9</v>
      </c>
      <c r="Z5" s="162">
        <v>7</v>
      </c>
      <c r="AA5" s="162">
        <v>3</v>
      </c>
      <c r="AB5" s="162">
        <v>3</v>
      </c>
      <c r="AC5" s="162">
        <v>3</v>
      </c>
      <c r="AD5" s="162">
        <v>5</v>
      </c>
      <c r="AE5" s="162">
        <v>1</v>
      </c>
      <c r="AF5" s="161">
        <v>9</v>
      </c>
      <c r="AG5" s="64">
        <f t="shared" si="2"/>
        <v>138</v>
      </c>
    </row>
    <row r="6" spans="1:33" ht="18.75" x14ac:dyDescent="0.25">
      <c r="A6" s="301" t="s">
        <v>142</v>
      </c>
      <c r="B6" s="249">
        <v>8</v>
      </c>
      <c r="C6" s="162">
        <v>6</v>
      </c>
      <c r="D6" s="162">
        <v>8</v>
      </c>
      <c r="E6" s="162">
        <v>4</v>
      </c>
      <c r="F6" s="162">
        <v>7</v>
      </c>
      <c r="G6" s="162">
        <v>5</v>
      </c>
      <c r="H6" s="162">
        <v>3</v>
      </c>
      <c r="I6" s="162">
        <v>3</v>
      </c>
      <c r="J6" s="162">
        <v>7</v>
      </c>
      <c r="K6" s="162">
        <v>9</v>
      </c>
      <c r="L6" s="162">
        <v>3</v>
      </c>
      <c r="M6" s="162">
        <v>2</v>
      </c>
      <c r="N6" s="162">
        <v>6</v>
      </c>
      <c r="O6" s="162">
        <v>4</v>
      </c>
      <c r="P6" s="162"/>
      <c r="Q6" s="162">
        <v>7</v>
      </c>
      <c r="R6" s="162">
        <v>12</v>
      </c>
      <c r="S6" s="162">
        <v>5</v>
      </c>
      <c r="T6" s="162">
        <v>3</v>
      </c>
      <c r="U6" s="162">
        <v>9</v>
      </c>
      <c r="V6" s="162">
        <v>3</v>
      </c>
      <c r="W6" s="162">
        <v>3</v>
      </c>
      <c r="X6" s="162">
        <v>4</v>
      </c>
      <c r="Y6" s="162">
        <v>8</v>
      </c>
      <c r="Z6" s="162">
        <v>7</v>
      </c>
      <c r="AA6" s="162">
        <v>7</v>
      </c>
      <c r="AB6" s="162">
        <v>2</v>
      </c>
      <c r="AC6" s="162">
        <v>6</v>
      </c>
      <c r="AD6" s="162">
        <v>7</v>
      </c>
      <c r="AE6" s="162">
        <v>1</v>
      </c>
      <c r="AF6" s="161">
        <v>9</v>
      </c>
      <c r="AG6" s="64">
        <f t="shared" si="2"/>
        <v>168</v>
      </c>
    </row>
    <row r="7" spans="1:33" ht="18.75" x14ac:dyDescent="0.25">
      <c r="A7" s="301" t="s">
        <v>141</v>
      </c>
      <c r="B7" s="249">
        <v>2</v>
      </c>
      <c r="C7" s="162">
        <v>4</v>
      </c>
      <c r="D7" s="162">
        <v>12</v>
      </c>
      <c r="E7" s="162">
        <v>8</v>
      </c>
      <c r="F7" s="162">
        <v>5</v>
      </c>
      <c r="G7" s="162">
        <v>6</v>
      </c>
      <c r="H7" s="162">
        <v>6</v>
      </c>
      <c r="I7" s="162">
        <v>2</v>
      </c>
      <c r="J7" s="162">
        <v>4</v>
      </c>
      <c r="K7" s="162">
        <v>8</v>
      </c>
      <c r="L7" s="162">
        <v>10</v>
      </c>
      <c r="M7" s="162">
        <v>6</v>
      </c>
      <c r="N7" s="162">
        <v>6</v>
      </c>
      <c r="O7" s="162">
        <v>3</v>
      </c>
      <c r="P7" s="162">
        <v>4</v>
      </c>
      <c r="Q7" s="162">
        <v>15</v>
      </c>
      <c r="R7" s="162">
        <v>15</v>
      </c>
      <c r="S7" s="162">
        <v>8</v>
      </c>
      <c r="T7" s="162">
        <v>6</v>
      </c>
      <c r="U7" s="162">
        <v>3</v>
      </c>
      <c r="V7" s="162">
        <v>4</v>
      </c>
      <c r="W7" s="162">
        <v>3</v>
      </c>
      <c r="X7" s="162">
        <v>6</v>
      </c>
      <c r="Y7" s="162">
        <v>7</v>
      </c>
      <c r="Z7" s="162">
        <v>14</v>
      </c>
      <c r="AA7" s="162">
        <v>3</v>
      </c>
      <c r="AB7" s="162">
        <v>6</v>
      </c>
      <c r="AC7" s="162">
        <v>5</v>
      </c>
      <c r="AD7" s="162">
        <v>1</v>
      </c>
      <c r="AE7" s="162">
        <v>2</v>
      </c>
      <c r="AF7" s="161">
        <v>15</v>
      </c>
      <c r="AG7" s="64">
        <f t="shared" si="2"/>
        <v>199</v>
      </c>
    </row>
    <row r="8" spans="1:33" ht="18.75" x14ac:dyDescent="0.25">
      <c r="A8" s="301" t="s">
        <v>140</v>
      </c>
      <c r="B8" s="249">
        <v>6</v>
      </c>
      <c r="C8" s="162">
        <v>6</v>
      </c>
      <c r="D8" s="162">
        <v>16</v>
      </c>
      <c r="E8" s="162">
        <v>10</v>
      </c>
      <c r="F8" s="162">
        <v>6</v>
      </c>
      <c r="G8" s="162">
        <v>5</v>
      </c>
      <c r="H8" s="162">
        <v>3</v>
      </c>
      <c r="I8" s="162">
        <v>9</v>
      </c>
      <c r="J8" s="162">
        <v>1</v>
      </c>
      <c r="K8" s="162">
        <v>9</v>
      </c>
      <c r="L8" s="162">
        <v>12</v>
      </c>
      <c r="M8" s="162">
        <v>5</v>
      </c>
      <c r="N8" s="162">
        <v>1</v>
      </c>
      <c r="O8" s="162">
        <v>5</v>
      </c>
      <c r="P8" s="162">
        <v>6</v>
      </c>
      <c r="Q8" s="162">
        <v>17</v>
      </c>
      <c r="R8" s="162">
        <v>18</v>
      </c>
      <c r="S8" s="162">
        <v>14</v>
      </c>
      <c r="T8" s="162">
        <v>9</v>
      </c>
      <c r="U8" s="162">
        <v>6</v>
      </c>
      <c r="V8" s="162">
        <v>6</v>
      </c>
      <c r="W8" s="162">
        <v>5</v>
      </c>
      <c r="X8" s="162">
        <v>6</v>
      </c>
      <c r="Y8" s="162">
        <v>15</v>
      </c>
      <c r="Z8" s="162">
        <v>12</v>
      </c>
      <c r="AA8" s="162">
        <v>8</v>
      </c>
      <c r="AB8" s="162">
        <v>7</v>
      </c>
      <c r="AC8" s="162">
        <v>11</v>
      </c>
      <c r="AD8" s="162">
        <v>4</v>
      </c>
      <c r="AE8" s="162">
        <v>2</v>
      </c>
      <c r="AF8" s="161">
        <v>7</v>
      </c>
      <c r="AG8" s="64">
        <f t="shared" si="2"/>
        <v>247</v>
      </c>
    </row>
    <row r="9" spans="1:33" ht="18.75" x14ac:dyDescent="0.25">
      <c r="A9" s="301" t="s">
        <v>139</v>
      </c>
      <c r="B9" s="249">
        <v>3</v>
      </c>
      <c r="C9" s="162">
        <v>2</v>
      </c>
      <c r="D9" s="162">
        <v>16</v>
      </c>
      <c r="E9" s="162">
        <v>7</v>
      </c>
      <c r="F9" s="162">
        <v>3</v>
      </c>
      <c r="G9" s="162">
        <v>2</v>
      </c>
      <c r="H9" s="162">
        <v>3</v>
      </c>
      <c r="I9" s="162">
        <v>5</v>
      </c>
      <c r="J9" s="162">
        <v>4</v>
      </c>
      <c r="K9" s="162">
        <v>4</v>
      </c>
      <c r="L9" s="162">
        <v>4</v>
      </c>
      <c r="M9" s="162">
        <v>3</v>
      </c>
      <c r="N9" s="162">
        <v>2</v>
      </c>
      <c r="O9" s="162">
        <v>3</v>
      </c>
      <c r="P9" s="162">
        <v>5</v>
      </c>
      <c r="Q9" s="162">
        <v>7</v>
      </c>
      <c r="R9" s="162">
        <v>22</v>
      </c>
      <c r="S9" s="162">
        <v>12</v>
      </c>
      <c r="T9" s="162">
        <v>7</v>
      </c>
      <c r="U9" s="162">
        <v>3</v>
      </c>
      <c r="V9" s="162"/>
      <c r="W9" s="162">
        <v>4</v>
      </c>
      <c r="X9" s="162">
        <v>6</v>
      </c>
      <c r="Y9" s="162">
        <v>5</v>
      </c>
      <c r="Z9" s="162">
        <v>5</v>
      </c>
      <c r="AA9" s="162">
        <v>7</v>
      </c>
      <c r="AB9" s="162">
        <v>6</v>
      </c>
      <c r="AC9" s="162">
        <v>2</v>
      </c>
      <c r="AD9" s="162">
        <v>4</v>
      </c>
      <c r="AE9" s="162">
        <v>1</v>
      </c>
      <c r="AF9" s="161">
        <v>11</v>
      </c>
      <c r="AG9" s="64">
        <f t="shared" si="2"/>
        <v>168</v>
      </c>
    </row>
    <row r="10" spans="1:33" ht="18.75" x14ac:dyDescent="0.25">
      <c r="A10" s="301" t="s">
        <v>138</v>
      </c>
      <c r="B10" s="249">
        <v>5</v>
      </c>
      <c r="C10" s="162">
        <v>4</v>
      </c>
      <c r="D10" s="162">
        <v>11</v>
      </c>
      <c r="E10" s="162">
        <v>7</v>
      </c>
      <c r="F10" s="162">
        <v>3</v>
      </c>
      <c r="G10" s="162">
        <v>7</v>
      </c>
      <c r="H10" s="162">
        <v>7</v>
      </c>
      <c r="I10" s="162">
        <v>3</v>
      </c>
      <c r="J10" s="162"/>
      <c r="K10" s="162">
        <v>6</v>
      </c>
      <c r="L10" s="162">
        <v>10</v>
      </c>
      <c r="M10" s="162">
        <v>3</v>
      </c>
      <c r="N10" s="162">
        <v>2</v>
      </c>
      <c r="O10" s="162">
        <v>1</v>
      </c>
      <c r="P10" s="162">
        <v>1</v>
      </c>
      <c r="Q10" s="162">
        <v>3</v>
      </c>
      <c r="R10" s="162">
        <v>11</v>
      </c>
      <c r="S10" s="162">
        <v>4</v>
      </c>
      <c r="T10" s="162">
        <v>3</v>
      </c>
      <c r="U10" s="162">
        <v>4</v>
      </c>
      <c r="V10" s="162">
        <v>2</v>
      </c>
      <c r="W10" s="162">
        <v>2</v>
      </c>
      <c r="X10" s="162">
        <v>9</v>
      </c>
      <c r="Y10" s="162">
        <v>10</v>
      </c>
      <c r="Z10" s="162">
        <v>6</v>
      </c>
      <c r="AA10" s="162">
        <v>3</v>
      </c>
      <c r="AB10" s="162">
        <v>6</v>
      </c>
      <c r="AC10" s="162">
        <v>2</v>
      </c>
      <c r="AD10" s="162">
        <v>2</v>
      </c>
      <c r="AE10" s="162">
        <v>4</v>
      </c>
      <c r="AF10" s="161">
        <v>14</v>
      </c>
      <c r="AG10" s="64">
        <f t="shared" si="2"/>
        <v>155</v>
      </c>
    </row>
    <row r="11" spans="1:33" ht="18.75" x14ac:dyDescent="0.25">
      <c r="A11" s="301" t="s">
        <v>137</v>
      </c>
      <c r="B11" s="249">
        <v>2</v>
      </c>
      <c r="C11" s="162">
        <v>2</v>
      </c>
      <c r="D11" s="162">
        <v>16</v>
      </c>
      <c r="E11" s="162">
        <v>10</v>
      </c>
      <c r="F11" s="162">
        <v>4</v>
      </c>
      <c r="G11" s="162"/>
      <c r="H11" s="162">
        <v>3</v>
      </c>
      <c r="I11" s="162">
        <v>6</v>
      </c>
      <c r="J11" s="162">
        <v>3</v>
      </c>
      <c r="K11" s="162">
        <v>8</v>
      </c>
      <c r="L11" s="162">
        <v>7</v>
      </c>
      <c r="M11" s="162">
        <v>1</v>
      </c>
      <c r="N11" s="162">
        <v>4</v>
      </c>
      <c r="O11" s="162">
        <v>3</v>
      </c>
      <c r="P11" s="162">
        <v>1</v>
      </c>
      <c r="Q11" s="162">
        <v>11</v>
      </c>
      <c r="R11" s="162">
        <v>10</v>
      </c>
      <c r="S11" s="162">
        <v>18</v>
      </c>
      <c r="T11" s="162">
        <v>6</v>
      </c>
      <c r="U11" s="162">
        <v>3</v>
      </c>
      <c r="V11" s="162">
        <v>12</v>
      </c>
      <c r="W11" s="162">
        <v>6</v>
      </c>
      <c r="X11" s="162">
        <v>3</v>
      </c>
      <c r="Y11" s="162">
        <v>9</v>
      </c>
      <c r="Z11" s="162">
        <v>10</v>
      </c>
      <c r="AA11" s="162">
        <v>5</v>
      </c>
      <c r="AB11" s="162">
        <v>4</v>
      </c>
      <c r="AC11" s="162">
        <v>6</v>
      </c>
      <c r="AD11" s="162">
        <v>5</v>
      </c>
      <c r="AE11" s="162">
        <v>1</v>
      </c>
      <c r="AF11" s="161">
        <v>10</v>
      </c>
      <c r="AG11" s="64">
        <f t="shared" si="2"/>
        <v>189</v>
      </c>
    </row>
    <row r="12" spans="1:33" ht="18.75" x14ac:dyDescent="0.25">
      <c r="A12" s="301" t="s">
        <v>136</v>
      </c>
      <c r="B12" s="249">
        <v>6</v>
      </c>
      <c r="C12" s="162">
        <v>2</v>
      </c>
      <c r="D12" s="162">
        <v>19</v>
      </c>
      <c r="E12" s="162">
        <v>11</v>
      </c>
      <c r="F12" s="162">
        <v>5</v>
      </c>
      <c r="G12" s="162">
        <v>9</v>
      </c>
      <c r="H12" s="162">
        <v>7</v>
      </c>
      <c r="I12" s="162">
        <v>4</v>
      </c>
      <c r="J12" s="162">
        <v>7</v>
      </c>
      <c r="K12" s="162">
        <v>10</v>
      </c>
      <c r="L12" s="162">
        <v>15</v>
      </c>
      <c r="M12" s="162">
        <v>5</v>
      </c>
      <c r="N12" s="162">
        <v>2</v>
      </c>
      <c r="O12" s="162">
        <v>4</v>
      </c>
      <c r="P12" s="162">
        <v>2</v>
      </c>
      <c r="Q12" s="162">
        <v>17</v>
      </c>
      <c r="R12" s="162">
        <v>5</v>
      </c>
      <c r="S12" s="162">
        <v>10</v>
      </c>
      <c r="T12" s="162">
        <v>6</v>
      </c>
      <c r="U12" s="162">
        <v>9</v>
      </c>
      <c r="V12" s="162">
        <v>4</v>
      </c>
      <c r="W12" s="162">
        <v>5</v>
      </c>
      <c r="X12" s="162">
        <v>7</v>
      </c>
      <c r="Y12" s="162">
        <v>8</v>
      </c>
      <c r="Z12" s="162">
        <v>12</v>
      </c>
      <c r="AA12" s="162">
        <v>1</v>
      </c>
      <c r="AB12" s="162">
        <v>8</v>
      </c>
      <c r="AC12" s="162">
        <v>2</v>
      </c>
      <c r="AD12" s="162">
        <v>3</v>
      </c>
      <c r="AE12" s="162">
        <v>3</v>
      </c>
      <c r="AF12" s="161">
        <v>13</v>
      </c>
      <c r="AG12" s="64">
        <f t="shared" si="2"/>
        <v>221</v>
      </c>
    </row>
    <row r="13" spans="1:33" ht="18.75" x14ac:dyDescent="0.25">
      <c r="A13" s="301" t="s">
        <v>135</v>
      </c>
      <c r="B13" s="249">
        <v>35</v>
      </c>
      <c r="C13" s="162">
        <v>31</v>
      </c>
      <c r="D13" s="162">
        <v>21</v>
      </c>
      <c r="E13" s="162">
        <v>7</v>
      </c>
      <c r="F13" s="162">
        <v>21</v>
      </c>
      <c r="G13" s="162">
        <v>37</v>
      </c>
      <c r="H13" s="162">
        <v>39</v>
      </c>
      <c r="I13" s="162">
        <v>31</v>
      </c>
      <c r="J13" s="162">
        <v>25</v>
      </c>
      <c r="K13" s="162">
        <v>15</v>
      </c>
      <c r="L13" s="162">
        <v>5</v>
      </c>
      <c r="M13" s="162">
        <v>48</v>
      </c>
      <c r="N13" s="162">
        <v>35</v>
      </c>
      <c r="O13" s="162">
        <v>29</v>
      </c>
      <c r="P13" s="162">
        <v>28</v>
      </c>
      <c r="Q13" s="162">
        <v>8</v>
      </c>
      <c r="R13" s="162">
        <v>14</v>
      </c>
      <c r="S13" s="162">
        <v>21</v>
      </c>
      <c r="T13" s="162">
        <v>49</v>
      </c>
      <c r="U13" s="162">
        <v>43</v>
      </c>
      <c r="V13" s="162">
        <v>34</v>
      </c>
      <c r="W13" s="162">
        <v>37</v>
      </c>
      <c r="X13" s="162">
        <v>35</v>
      </c>
      <c r="Y13" s="162">
        <v>14</v>
      </c>
      <c r="Z13" s="162">
        <v>16</v>
      </c>
      <c r="AA13" s="162">
        <v>41</v>
      </c>
      <c r="AB13" s="162">
        <v>43</v>
      </c>
      <c r="AC13" s="162">
        <v>38</v>
      </c>
      <c r="AD13" s="162">
        <v>36</v>
      </c>
      <c r="AE13" s="162">
        <v>42</v>
      </c>
      <c r="AF13" s="161">
        <v>12</v>
      </c>
      <c r="AG13" s="64">
        <f t="shared" si="2"/>
        <v>890</v>
      </c>
    </row>
    <row r="14" spans="1:33" ht="18.75" x14ac:dyDescent="0.25">
      <c r="A14" s="301" t="s">
        <v>134</v>
      </c>
      <c r="B14" s="249">
        <v>14</v>
      </c>
      <c r="C14" s="162">
        <v>7</v>
      </c>
      <c r="D14" s="162">
        <v>12</v>
      </c>
      <c r="E14" s="162">
        <v>11</v>
      </c>
      <c r="F14" s="162">
        <v>21</v>
      </c>
      <c r="G14" s="162">
        <v>12</v>
      </c>
      <c r="H14" s="162">
        <v>14</v>
      </c>
      <c r="I14" s="162">
        <v>16</v>
      </c>
      <c r="J14" s="162">
        <v>9</v>
      </c>
      <c r="K14" s="162">
        <v>10</v>
      </c>
      <c r="L14" s="162">
        <v>7</v>
      </c>
      <c r="M14" s="162">
        <v>11</v>
      </c>
      <c r="N14" s="162">
        <v>17</v>
      </c>
      <c r="O14" s="162">
        <v>15</v>
      </c>
      <c r="P14" s="162">
        <v>15</v>
      </c>
      <c r="Q14" s="162">
        <v>11</v>
      </c>
      <c r="R14" s="162">
        <v>15</v>
      </c>
      <c r="S14" s="162">
        <v>10</v>
      </c>
      <c r="T14" s="162">
        <v>20</v>
      </c>
      <c r="U14" s="162">
        <v>22</v>
      </c>
      <c r="V14" s="162">
        <v>17</v>
      </c>
      <c r="W14" s="162">
        <v>23</v>
      </c>
      <c r="X14" s="162">
        <v>14</v>
      </c>
      <c r="Y14" s="162">
        <v>9</v>
      </c>
      <c r="Z14" s="162">
        <v>6</v>
      </c>
      <c r="AA14" s="162">
        <v>20</v>
      </c>
      <c r="AB14" s="162">
        <v>20</v>
      </c>
      <c r="AC14" s="162">
        <v>14</v>
      </c>
      <c r="AD14" s="162">
        <v>10</v>
      </c>
      <c r="AE14" s="162">
        <v>16</v>
      </c>
      <c r="AF14" s="161">
        <v>6</v>
      </c>
      <c r="AG14" s="64">
        <f t="shared" si="2"/>
        <v>424</v>
      </c>
    </row>
    <row r="15" spans="1:33" ht="18.75" x14ac:dyDescent="0.25">
      <c r="A15" s="301" t="s">
        <v>133</v>
      </c>
      <c r="B15" s="249">
        <v>13</v>
      </c>
      <c r="C15" s="162">
        <v>9</v>
      </c>
      <c r="D15" s="162">
        <v>3</v>
      </c>
      <c r="E15" s="162">
        <v>15</v>
      </c>
      <c r="F15" s="162">
        <v>10</v>
      </c>
      <c r="G15" s="162">
        <v>16</v>
      </c>
      <c r="H15" s="162">
        <v>15</v>
      </c>
      <c r="I15" s="162">
        <v>8</v>
      </c>
      <c r="J15" s="162">
        <v>8</v>
      </c>
      <c r="K15" s="162">
        <v>4</v>
      </c>
      <c r="L15" s="162">
        <v>3</v>
      </c>
      <c r="M15" s="162">
        <v>13</v>
      </c>
      <c r="N15" s="162">
        <v>5</v>
      </c>
      <c r="O15" s="162">
        <v>10</v>
      </c>
      <c r="P15" s="162">
        <v>10</v>
      </c>
      <c r="Q15" s="162">
        <v>7</v>
      </c>
      <c r="R15" s="162">
        <v>5</v>
      </c>
      <c r="S15" s="162">
        <v>10</v>
      </c>
      <c r="T15" s="162">
        <v>13</v>
      </c>
      <c r="U15" s="162">
        <v>14</v>
      </c>
      <c r="V15" s="162">
        <v>17</v>
      </c>
      <c r="W15" s="162">
        <v>13</v>
      </c>
      <c r="X15" s="162">
        <v>16</v>
      </c>
      <c r="Y15" s="162">
        <v>9</v>
      </c>
      <c r="Z15" s="162">
        <v>6</v>
      </c>
      <c r="AA15" s="162">
        <v>11</v>
      </c>
      <c r="AB15" s="162">
        <v>19</v>
      </c>
      <c r="AC15" s="162">
        <v>9</v>
      </c>
      <c r="AD15" s="162">
        <v>16</v>
      </c>
      <c r="AE15" s="162">
        <v>8</v>
      </c>
      <c r="AF15" s="161">
        <v>9</v>
      </c>
      <c r="AG15" s="64">
        <f t="shared" si="2"/>
        <v>324</v>
      </c>
    </row>
    <row r="16" spans="1:33" ht="18.75" x14ac:dyDescent="0.25">
      <c r="A16" s="301" t="s">
        <v>132</v>
      </c>
      <c r="B16" s="249">
        <v>8</v>
      </c>
      <c r="C16" s="162">
        <v>7</v>
      </c>
      <c r="D16" s="162">
        <v>12</v>
      </c>
      <c r="E16" s="162">
        <v>1</v>
      </c>
      <c r="F16" s="162">
        <v>9</v>
      </c>
      <c r="G16" s="162">
        <v>10</v>
      </c>
      <c r="H16" s="162">
        <v>8</v>
      </c>
      <c r="I16" s="162">
        <v>10</v>
      </c>
      <c r="J16" s="162">
        <v>5</v>
      </c>
      <c r="K16" s="162">
        <v>7</v>
      </c>
      <c r="L16" s="162">
        <v>9</v>
      </c>
      <c r="M16" s="162">
        <v>7</v>
      </c>
      <c r="N16" s="162">
        <v>9</v>
      </c>
      <c r="O16" s="162">
        <v>11</v>
      </c>
      <c r="P16" s="162">
        <v>13</v>
      </c>
      <c r="Q16" s="162">
        <v>7</v>
      </c>
      <c r="R16" s="162">
        <v>8</v>
      </c>
      <c r="S16" s="162">
        <v>15</v>
      </c>
      <c r="T16" s="162">
        <v>12</v>
      </c>
      <c r="U16" s="162">
        <v>13</v>
      </c>
      <c r="V16" s="162">
        <v>13</v>
      </c>
      <c r="W16" s="162">
        <v>11</v>
      </c>
      <c r="X16" s="162">
        <v>13</v>
      </c>
      <c r="Y16" s="162">
        <v>6</v>
      </c>
      <c r="Z16" s="162">
        <v>9</v>
      </c>
      <c r="AA16" s="162">
        <v>15</v>
      </c>
      <c r="AB16" s="162">
        <v>12</v>
      </c>
      <c r="AC16" s="162">
        <v>14</v>
      </c>
      <c r="AD16" s="162">
        <v>9</v>
      </c>
      <c r="AE16" s="162">
        <v>7</v>
      </c>
      <c r="AF16" s="161">
        <v>8</v>
      </c>
      <c r="AG16" s="64">
        <f t="shared" si="2"/>
        <v>298</v>
      </c>
    </row>
    <row r="17" spans="1:33" ht="18.75" x14ac:dyDescent="0.25">
      <c r="A17" s="301" t="s">
        <v>131</v>
      </c>
      <c r="B17" s="249">
        <v>3</v>
      </c>
      <c r="C17" s="162">
        <v>3</v>
      </c>
      <c r="D17" s="162">
        <v>9</v>
      </c>
      <c r="E17" s="162">
        <v>4</v>
      </c>
      <c r="F17" s="162">
        <v>17</v>
      </c>
      <c r="G17" s="162">
        <v>4</v>
      </c>
      <c r="H17" s="162">
        <v>8</v>
      </c>
      <c r="I17" s="162">
        <v>7</v>
      </c>
      <c r="J17" s="162">
        <v>8</v>
      </c>
      <c r="K17" s="162">
        <v>6</v>
      </c>
      <c r="L17" s="162">
        <v>8</v>
      </c>
      <c r="M17" s="162">
        <v>3</v>
      </c>
      <c r="N17" s="162">
        <v>8</v>
      </c>
      <c r="O17" s="162">
        <v>5</v>
      </c>
      <c r="P17" s="162">
        <v>16</v>
      </c>
      <c r="Q17" s="162">
        <v>5</v>
      </c>
      <c r="R17" s="162">
        <v>11</v>
      </c>
      <c r="S17" s="162">
        <v>17</v>
      </c>
      <c r="T17" s="162">
        <v>9</v>
      </c>
      <c r="U17" s="162">
        <v>8</v>
      </c>
      <c r="V17" s="162">
        <v>9</v>
      </c>
      <c r="W17" s="162">
        <v>6</v>
      </c>
      <c r="X17" s="162">
        <v>11</v>
      </c>
      <c r="Y17" s="162">
        <v>3</v>
      </c>
      <c r="Z17" s="162">
        <v>13</v>
      </c>
      <c r="AA17" s="162">
        <v>12</v>
      </c>
      <c r="AB17" s="162">
        <v>10</v>
      </c>
      <c r="AC17" s="162">
        <v>15</v>
      </c>
      <c r="AD17" s="162">
        <v>18</v>
      </c>
      <c r="AE17" s="162">
        <v>7</v>
      </c>
      <c r="AF17" s="161">
        <v>8</v>
      </c>
      <c r="AG17" s="64">
        <f t="shared" si="2"/>
        <v>271</v>
      </c>
    </row>
    <row r="18" spans="1:33" ht="18.75" x14ac:dyDescent="0.25">
      <c r="A18" s="301" t="s">
        <v>130</v>
      </c>
      <c r="B18" s="249">
        <v>8</v>
      </c>
      <c r="C18" s="162">
        <v>5</v>
      </c>
      <c r="D18" s="162">
        <v>2</v>
      </c>
      <c r="E18" s="162">
        <v>9</v>
      </c>
      <c r="F18" s="162">
        <v>7</v>
      </c>
      <c r="G18" s="162">
        <v>7</v>
      </c>
      <c r="H18" s="162">
        <v>5</v>
      </c>
      <c r="I18" s="162">
        <v>2</v>
      </c>
      <c r="J18" s="162">
        <v>2</v>
      </c>
      <c r="K18" s="162">
        <v>2</v>
      </c>
      <c r="L18" s="162">
        <v>8</v>
      </c>
      <c r="M18" s="162">
        <v>8</v>
      </c>
      <c r="N18" s="162">
        <v>2</v>
      </c>
      <c r="O18" s="162">
        <v>4</v>
      </c>
      <c r="P18" s="162">
        <v>15</v>
      </c>
      <c r="Q18" s="162">
        <v>9</v>
      </c>
      <c r="R18" s="162">
        <v>10</v>
      </c>
      <c r="S18" s="162">
        <v>6</v>
      </c>
      <c r="T18" s="162">
        <v>8</v>
      </c>
      <c r="U18" s="162">
        <v>10</v>
      </c>
      <c r="V18" s="162">
        <v>9</v>
      </c>
      <c r="W18" s="162">
        <v>8</v>
      </c>
      <c r="X18" s="162">
        <v>5</v>
      </c>
      <c r="Y18" s="162">
        <v>12</v>
      </c>
      <c r="Z18" s="162">
        <v>14</v>
      </c>
      <c r="AA18" s="162">
        <v>11</v>
      </c>
      <c r="AB18" s="162">
        <v>8</v>
      </c>
      <c r="AC18" s="162">
        <v>12</v>
      </c>
      <c r="AD18" s="162">
        <v>5</v>
      </c>
      <c r="AE18" s="162">
        <v>6</v>
      </c>
      <c r="AF18" s="161">
        <v>5</v>
      </c>
      <c r="AG18" s="64">
        <f t="shared" si="2"/>
        <v>224</v>
      </c>
    </row>
    <row r="19" spans="1:33" ht="18.75" x14ac:dyDescent="0.25">
      <c r="A19" s="301" t="s">
        <v>129</v>
      </c>
      <c r="B19" s="249">
        <v>2</v>
      </c>
      <c r="C19" s="162">
        <v>6</v>
      </c>
      <c r="D19" s="162">
        <v>5</v>
      </c>
      <c r="E19" s="162">
        <v>5</v>
      </c>
      <c r="F19" s="162">
        <v>1</v>
      </c>
      <c r="G19" s="162">
        <v>7</v>
      </c>
      <c r="H19" s="162">
        <v>8</v>
      </c>
      <c r="I19" s="162">
        <v>3</v>
      </c>
      <c r="J19" s="162">
        <v>3</v>
      </c>
      <c r="K19" s="162">
        <v>3</v>
      </c>
      <c r="L19" s="162">
        <v>8</v>
      </c>
      <c r="M19" s="162">
        <v>3</v>
      </c>
      <c r="N19" s="162">
        <v>2</v>
      </c>
      <c r="O19" s="162">
        <v>5</v>
      </c>
      <c r="P19" s="162">
        <v>7</v>
      </c>
      <c r="Q19" s="162">
        <v>2</v>
      </c>
      <c r="R19" s="162">
        <v>6</v>
      </c>
      <c r="S19" s="162">
        <v>7</v>
      </c>
      <c r="T19" s="162">
        <v>4</v>
      </c>
      <c r="U19" s="162">
        <v>4</v>
      </c>
      <c r="V19" s="162">
        <v>4</v>
      </c>
      <c r="W19" s="162">
        <v>5</v>
      </c>
      <c r="X19" s="162">
        <v>6</v>
      </c>
      <c r="Y19" s="162">
        <v>5</v>
      </c>
      <c r="Z19" s="162">
        <v>5</v>
      </c>
      <c r="AA19" s="162">
        <v>6</v>
      </c>
      <c r="AB19" s="162">
        <v>10</v>
      </c>
      <c r="AC19" s="162">
        <v>9</v>
      </c>
      <c r="AD19" s="162">
        <v>5</v>
      </c>
      <c r="AE19" s="162">
        <v>5</v>
      </c>
      <c r="AF19" s="161">
        <v>3</v>
      </c>
      <c r="AG19" s="64">
        <f t="shared" si="2"/>
        <v>154</v>
      </c>
    </row>
    <row r="20" spans="1:33" ht="18.75" x14ac:dyDescent="0.25">
      <c r="A20" s="301" t="s">
        <v>128</v>
      </c>
      <c r="B20" s="249">
        <v>1</v>
      </c>
      <c r="C20" s="162">
        <v>6</v>
      </c>
      <c r="D20" s="162">
        <v>2</v>
      </c>
      <c r="E20" s="162">
        <v>2</v>
      </c>
      <c r="F20" s="162">
        <v>1</v>
      </c>
      <c r="G20" s="162">
        <v>3</v>
      </c>
      <c r="H20" s="162">
        <v>2</v>
      </c>
      <c r="I20" s="162">
        <v>3</v>
      </c>
      <c r="J20" s="162">
        <v>2</v>
      </c>
      <c r="K20" s="162">
        <v>2</v>
      </c>
      <c r="L20" s="162">
        <v>1</v>
      </c>
      <c r="M20" s="162">
        <v>1</v>
      </c>
      <c r="N20" s="162">
        <v>3</v>
      </c>
      <c r="O20" s="162">
        <v>4</v>
      </c>
      <c r="P20" s="162">
        <v>2</v>
      </c>
      <c r="Q20" s="162">
        <v>4</v>
      </c>
      <c r="R20" s="162">
        <v>5</v>
      </c>
      <c r="S20" s="162">
        <v>1</v>
      </c>
      <c r="T20" s="162">
        <v>1</v>
      </c>
      <c r="U20" s="162">
        <v>3</v>
      </c>
      <c r="V20" s="162">
        <v>6</v>
      </c>
      <c r="W20" s="162">
        <v>3</v>
      </c>
      <c r="X20" s="162">
        <v>4</v>
      </c>
      <c r="Y20" s="162">
        <v>4</v>
      </c>
      <c r="Z20" s="162">
        <v>2</v>
      </c>
      <c r="AA20" s="162">
        <v>4</v>
      </c>
      <c r="AB20" s="162"/>
      <c r="AC20" s="162">
        <v>2</v>
      </c>
      <c r="AD20" s="162">
        <v>7</v>
      </c>
      <c r="AE20" s="162">
        <v>4</v>
      </c>
      <c r="AF20" s="161">
        <v>3</v>
      </c>
      <c r="AG20" s="64">
        <f t="shared" si="2"/>
        <v>88</v>
      </c>
    </row>
    <row r="21" spans="1:33" ht="18.75" x14ac:dyDescent="0.25">
      <c r="A21" s="301" t="s">
        <v>127</v>
      </c>
      <c r="B21" s="249"/>
      <c r="C21" s="162">
        <v>1</v>
      </c>
      <c r="D21" s="162">
        <v>1</v>
      </c>
      <c r="E21" s="162">
        <v>3</v>
      </c>
      <c r="F21" s="162">
        <v>4</v>
      </c>
      <c r="G21" s="162">
        <v>2</v>
      </c>
      <c r="H21" s="162">
        <v>3</v>
      </c>
      <c r="I21" s="162"/>
      <c r="J21" s="162">
        <v>4</v>
      </c>
      <c r="K21" s="162">
        <v>1</v>
      </c>
      <c r="L21" s="162"/>
      <c r="M21" s="162">
        <v>1</v>
      </c>
      <c r="N21" s="162">
        <v>3</v>
      </c>
      <c r="O21" s="162">
        <v>3</v>
      </c>
      <c r="P21" s="162">
        <v>1</v>
      </c>
      <c r="Q21" s="162">
        <v>8</v>
      </c>
      <c r="R21" s="162">
        <v>1</v>
      </c>
      <c r="S21" s="162">
        <v>2</v>
      </c>
      <c r="T21" s="162">
        <v>3</v>
      </c>
      <c r="U21" s="162"/>
      <c r="V21" s="162"/>
      <c r="W21" s="162">
        <v>2</v>
      </c>
      <c r="X21" s="162">
        <v>4</v>
      </c>
      <c r="Y21" s="162">
        <v>3</v>
      </c>
      <c r="Z21" s="162">
        <v>1</v>
      </c>
      <c r="AA21" s="162">
        <v>3</v>
      </c>
      <c r="AB21" s="162">
        <v>3</v>
      </c>
      <c r="AC21" s="162">
        <v>2</v>
      </c>
      <c r="AD21" s="162">
        <v>3</v>
      </c>
      <c r="AE21" s="162">
        <v>1</v>
      </c>
      <c r="AF21" s="161">
        <v>2</v>
      </c>
      <c r="AG21" s="64">
        <f t="shared" si="2"/>
        <v>65</v>
      </c>
    </row>
    <row r="22" spans="1:33" ht="18.75" x14ac:dyDescent="0.25">
      <c r="A22" s="301" t="s">
        <v>126</v>
      </c>
      <c r="B22" s="249">
        <v>3</v>
      </c>
      <c r="C22" s="162"/>
      <c r="D22" s="162">
        <v>2</v>
      </c>
      <c r="E22" s="162">
        <v>1</v>
      </c>
      <c r="F22" s="162">
        <v>2</v>
      </c>
      <c r="G22" s="162">
        <v>2</v>
      </c>
      <c r="H22" s="162">
        <v>2</v>
      </c>
      <c r="I22" s="162">
        <v>1</v>
      </c>
      <c r="J22" s="162"/>
      <c r="K22" s="162"/>
      <c r="L22" s="162"/>
      <c r="M22" s="162">
        <v>2</v>
      </c>
      <c r="N22" s="162"/>
      <c r="O22" s="162">
        <v>3</v>
      </c>
      <c r="P22" s="162">
        <v>2</v>
      </c>
      <c r="Q22" s="162">
        <v>1</v>
      </c>
      <c r="R22" s="162">
        <v>1</v>
      </c>
      <c r="S22" s="162">
        <v>1</v>
      </c>
      <c r="T22" s="162"/>
      <c r="U22" s="162"/>
      <c r="V22" s="162">
        <v>1</v>
      </c>
      <c r="W22" s="162">
        <v>4</v>
      </c>
      <c r="X22" s="162">
        <v>3</v>
      </c>
      <c r="Y22" s="162">
        <v>2</v>
      </c>
      <c r="Z22" s="162">
        <v>1</v>
      </c>
      <c r="AA22" s="162">
        <v>2</v>
      </c>
      <c r="AB22" s="162"/>
      <c r="AC22" s="162"/>
      <c r="AD22" s="162"/>
      <c r="AE22" s="162">
        <v>3</v>
      </c>
      <c r="AF22" s="161">
        <v>2</v>
      </c>
      <c r="AG22" s="64">
        <f t="shared" si="2"/>
        <v>41</v>
      </c>
    </row>
    <row r="23" spans="1:33" ht="18.75" x14ac:dyDescent="0.25">
      <c r="A23" s="301" t="s">
        <v>125</v>
      </c>
      <c r="B23" s="249"/>
      <c r="C23" s="162">
        <v>1</v>
      </c>
      <c r="D23" s="162"/>
      <c r="E23" s="162">
        <v>1</v>
      </c>
      <c r="F23" s="162"/>
      <c r="G23" s="162">
        <v>2</v>
      </c>
      <c r="H23" s="162">
        <v>1</v>
      </c>
      <c r="I23" s="162">
        <v>1</v>
      </c>
      <c r="J23" s="162"/>
      <c r="K23" s="162">
        <v>1</v>
      </c>
      <c r="L23" s="162"/>
      <c r="M23" s="162"/>
      <c r="N23" s="162">
        <v>1</v>
      </c>
      <c r="O23" s="162">
        <v>1</v>
      </c>
      <c r="P23" s="162"/>
      <c r="Q23" s="162">
        <v>2</v>
      </c>
      <c r="R23" s="162"/>
      <c r="S23" s="162"/>
      <c r="T23" s="162"/>
      <c r="U23" s="162"/>
      <c r="V23" s="162">
        <v>2</v>
      </c>
      <c r="W23" s="162">
        <v>1</v>
      </c>
      <c r="X23" s="162"/>
      <c r="Y23" s="162">
        <v>1</v>
      </c>
      <c r="Z23" s="162">
        <v>3</v>
      </c>
      <c r="AA23" s="162"/>
      <c r="AB23" s="162"/>
      <c r="AC23" s="162">
        <v>1</v>
      </c>
      <c r="AD23" s="162"/>
      <c r="AE23" s="162">
        <v>1</v>
      </c>
      <c r="AF23" s="161">
        <v>1</v>
      </c>
      <c r="AG23" s="64">
        <f t="shared" si="2"/>
        <v>21</v>
      </c>
    </row>
    <row r="24" spans="1:33" ht="18.75" x14ac:dyDescent="0.25">
      <c r="A24" s="301" t="s">
        <v>124</v>
      </c>
      <c r="B24" s="249"/>
      <c r="C24" s="162">
        <v>1</v>
      </c>
      <c r="D24" s="162"/>
      <c r="E24" s="162"/>
      <c r="F24" s="162"/>
      <c r="G24" s="162">
        <v>3</v>
      </c>
      <c r="H24" s="162"/>
      <c r="I24" s="162"/>
      <c r="J24" s="162">
        <v>1</v>
      </c>
      <c r="K24" s="162">
        <v>1</v>
      </c>
      <c r="L24" s="162"/>
      <c r="M24" s="162"/>
      <c r="N24" s="162"/>
      <c r="O24" s="162">
        <v>1</v>
      </c>
      <c r="P24" s="162"/>
      <c r="Q24" s="162"/>
      <c r="R24" s="162"/>
      <c r="S24" s="162">
        <v>1</v>
      </c>
      <c r="T24" s="162">
        <v>1</v>
      </c>
      <c r="U24" s="162">
        <v>1</v>
      </c>
      <c r="V24" s="162">
        <v>2</v>
      </c>
      <c r="W24" s="162">
        <v>2</v>
      </c>
      <c r="X24" s="162"/>
      <c r="Y24" s="162"/>
      <c r="Z24" s="162"/>
      <c r="AA24" s="162"/>
      <c r="AB24" s="162">
        <v>1</v>
      </c>
      <c r="AC24" s="162">
        <v>1</v>
      </c>
      <c r="AD24" s="162">
        <v>3</v>
      </c>
      <c r="AE24" s="162"/>
      <c r="AF24" s="161">
        <v>2</v>
      </c>
      <c r="AG24" s="64">
        <f t="shared" si="2"/>
        <v>21</v>
      </c>
    </row>
    <row r="25" spans="1:33" ht="18.75" x14ac:dyDescent="0.25">
      <c r="A25" s="301" t="s">
        <v>123</v>
      </c>
      <c r="B25" s="249"/>
      <c r="C25" s="162">
        <v>1</v>
      </c>
      <c r="D25" s="162">
        <v>1</v>
      </c>
      <c r="E25" s="162"/>
      <c r="F25" s="162"/>
      <c r="G25" s="162"/>
      <c r="H25" s="162">
        <v>1</v>
      </c>
      <c r="I25" s="162"/>
      <c r="J25" s="162"/>
      <c r="K25" s="162"/>
      <c r="L25" s="162">
        <v>1</v>
      </c>
      <c r="M25" s="162">
        <v>1</v>
      </c>
      <c r="N25" s="162">
        <v>4</v>
      </c>
      <c r="O25" s="162">
        <v>1</v>
      </c>
      <c r="P25" s="162">
        <v>1</v>
      </c>
      <c r="Q25" s="162"/>
      <c r="R25" s="162">
        <v>2</v>
      </c>
      <c r="S25" s="162">
        <v>2</v>
      </c>
      <c r="T25" s="162"/>
      <c r="U25" s="162"/>
      <c r="V25" s="162">
        <v>1</v>
      </c>
      <c r="W25" s="162">
        <v>1</v>
      </c>
      <c r="X25" s="162"/>
      <c r="Y25" s="162">
        <v>1</v>
      </c>
      <c r="Z25" s="162">
        <v>1</v>
      </c>
      <c r="AA25" s="162"/>
      <c r="AB25" s="162">
        <v>1</v>
      </c>
      <c r="AC25" s="162"/>
      <c r="AD25" s="162"/>
      <c r="AE25" s="162">
        <v>2</v>
      </c>
      <c r="AF25" s="161"/>
      <c r="AG25" s="64">
        <f t="shared" si="2"/>
        <v>22</v>
      </c>
    </row>
    <row r="26" spans="1:33" ht="18.75" x14ac:dyDescent="0.25">
      <c r="A26" s="301" t="s">
        <v>122</v>
      </c>
      <c r="B26" s="249">
        <v>1</v>
      </c>
      <c r="C26" s="162"/>
      <c r="D26" s="162"/>
      <c r="E26" s="162">
        <v>2</v>
      </c>
      <c r="F26" s="162"/>
      <c r="G26" s="162"/>
      <c r="H26" s="162">
        <v>1</v>
      </c>
      <c r="I26" s="162"/>
      <c r="J26" s="162">
        <v>1</v>
      </c>
      <c r="K26" s="162"/>
      <c r="L26" s="162"/>
      <c r="M26" s="162">
        <v>1</v>
      </c>
      <c r="N26" s="162"/>
      <c r="O26" s="162"/>
      <c r="P26" s="162">
        <v>1</v>
      </c>
      <c r="Q26" s="162">
        <v>1</v>
      </c>
      <c r="R26" s="162">
        <v>3</v>
      </c>
      <c r="S26" s="162"/>
      <c r="T26" s="162">
        <v>1</v>
      </c>
      <c r="U26" s="162">
        <v>3</v>
      </c>
      <c r="V26" s="162"/>
      <c r="W26" s="162">
        <v>1</v>
      </c>
      <c r="X26" s="162">
        <v>2</v>
      </c>
      <c r="Y26" s="162">
        <v>3</v>
      </c>
      <c r="Z26" s="162"/>
      <c r="AA26" s="162">
        <v>1</v>
      </c>
      <c r="AB26" s="162"/>
      <c r="AC26" s="162">
        <v>1</v>
      </c>
      <c r="AD26" s="162">
        <v>1</v>
      </c>
      <c r="AE26" s="162">
        <v>2</v>
      </c>
      <c r="AF26" s="161">
        <v>3</v>
      </c>
      <c r="AG26" s="64">
        <f t="shared" si="2"/>
        <v>29</v>
      </c>
    </row>
    <row r="27" spans="1:33" ht="19.5" thickBot="1" x14ac:dyDescent="0.3">
      <c r="A27" s="302" t="s">
        <v>121</v>
      </c>
      <c r="B27" s="250">
        <v>2</v>
      </c>
      <c r="C27" s="212"/>
      <c r="D27" s="212"/>
      <c r="E27" s="212">
        <v>1</v>
      </c>
      <c r="F27" s="212"/>
      <c r="G27" s="212"/>
      <c r="H27" s="212">
        <v>1</v>
      </c>
      <c r="I27" s="212"/>
      <c r="J27" s="212">
        <v>1</v>
      </c>
      <c r="K27" s="212">
        <v>1</v>
      </c>
      <c r="L27" s="212"/>
      <c r="M27" s="212">
        <v>1</v>
      </c>
      <c r="N27" s="212"/>
      <c r="O27" s="212"/>
      <c r="P27" s="212"/>
      <c r="Q27" s="212">
        <v>2</v>
      </c>
      <c r="R27" s="212">
        <v>1</v>
      </c>
      <c r="S27" s="212"/>
      <c r="T27" s="212">
        <v>1</v>
      </c>
      <c r="U27" s="212">
        <v>1</v>
      </c>
      <c r="V27" s="212">
        <v>1</v>
      </c>
      <c r="W27" s="212"/>
      <c r="X27" s="212">
        <v>1</v>
      </c>
      <c r="Y27" s="212"/>
      <c r="Z27" s="212"/>
      <c r="AA27" s="212"/>
      <c r="AB27" s="212"/>
      <c r="AC27" s="212"/>
      <c r="AD27" s="212"/>
      <c r="AE27" s="212">
        <v>1</v>
      </c>
      <c r="AF27" s="211">
        <v>5</v>
      </c>
      <c r="AG27" s="64">
        <f t="shared" si="2"/>
        <v>20</v>
      </c>
    </row>
    <row r="28" spans="1:33" ht="18.75" x14ac:dyDescent="0.25">
      <c r="A28" s="303" t="s">
        <v>146</v>
      </c>
      <c r="B28" s="251">
        <f t="shared" ref="B28:AF28" si="3">SUM(B29:B52)</f>
        <v>125</v>
      </c>
      <c r="C28" s="209">
        <f t="shared" si="3"/>
        <v>104</v>
      </c>
      <c r="D28" s="209">
        <f t="shared" si="3"/>
        <v>175</v>
      </c>
      <c r="E28" s="209">
        <f t="shared" si="3"/>
        <v>120</v>
      </c>
      <c r="F28" s="209">
        <f t="shared" si="3"/>
        <v>130</v>
      </c>
      <c r="G28" s="209">
        <f t="shared" si="3"/>
        <v>141</v>
      </c>
      <c r="H28" s="209">
        <f t="shared" si="3"/>
        <v>140</v>
      </c>
      <c r="I28" s="209">
        <f t="shared" si="3"/>
        <v>126</v>
      </c>
      <c r="J28" s="209">
        <f t="shared" si="3"/>
        <v>93</v>
      </c>
      <c r="K28" s="209">
        <f t="shared" si="3"/>
        <v>117</v>
      </c>
      <c r="L28" s="209">
        <f t="shared" si="3"/>
        <v>120</v>
      </c>
      <c r="M28" s="209">
        <f t="shared" si="3"/>
        <v>117</v>
      </c>
      <c r="N28" s="209">
        <f t="shared" si="3"/>
        <v>112</v>
      </c>
      <c r="O28" s="209">
        <f t="shared" si="3"/>
        <v>120</v>
      </c>
      <c r="P28" s="209">
        <f t="shared" si="3"/>
        <v>130</v>
      </c>
      <c r="Q28" s="209">
        <f t="shared" si="3"/>
        <v>155</v>
      </c>
      <c r="R28" s="209">
        <f t="shared" si="3"/>
        <v>181</v>
      </c>
      <c r="S28" s="209">
        <f t="shared" si="3"/>
        <v>169</v>
      </c>
      <c r="T28" s="209">
        <f t="shared" si="3"/>
        <v>169</v>
      </c>
      <c r="U28" s="209">
        <f t="shared" si="3"/>
        <v>154</v>
      </c>
      <c r="V28" s="209">
        <f t="shared" si="3"/>
        <v>148</v>
      </c>
      <c r="W28" s="209">
        <f t="shared" si="3"/>
        <v>141</v>
      </c>
      <c r="X28" s="209">
        <f t="shared" si="3"/>
        <v>157</v>
      </c>
      <c r="Y28" s="209">
        <f t="shared" si="3"/>
        <v>137</v>
      </c>
      <c r="Z28" s="209">
        <f t="shared" si="3"/>
        <v>151</v>
      </c>
      <c r="AA28" s="209">
        <f t="shared" si="3"/>
        <v>160</v>
      </c>
      <c r="AB28" s="209">
        <f t="shared" si="3"/>
        <v>156</v>
      </c>
      <c r="AC28" s="209">
        <f t="shared" si="3"/>
        <v>151</v>
      </c>
      <c r="AD28" s="209">
        <f t="shared" si="3"/>
        <v>145</v>
      </c>
      <c r="AE28" s="209">
        <f t="shared" si="3"/>
        <v>117</v>
      </c>
      <c r="AF28" s="209">
        <f t="shared" si="3"/>
        <v>157</v>
      </c>
      <c r="AG28" s="164">
        <f t="shared" si="2"/>
        <v>4318</v>
      </c>
    </row>
    <row r="29" spans="1:33" ht="18.75" x14ac:dyDescent="0.25">
      <c r="A29" s="301" t="s">
        <v>144</v>
      </c>
      <c r="B29" s="249">
        <v>2</v>
      </c>
      <c r="C29" s="162"/>
      <c r="D29" s="162">
        <v>1</v>
      </c>
      <c r="E29" s="162"/>
      <c r="F29" s="162">
        <v>1</v>
      </c>
      <c r="G29" s="162">
        <v>2</v>
      </c>
      <c r="H29" s="162">
        <v>2</v>
      </c>
      <c r="I29" s="162">
        <v>3</v>
      </c>
      <c r="J29" s="162"/>
      <c r="K29" s="162">
        <v>3</v>
      </c>
      <c r="L29" s="162">
        <v>1</v>
      </c>
      <c r="M29" s="162">
        <v>1</v>
      </c>
      <c r="N29" s="162">
        <v>2</v>
      </c>
      <c r="O29" s="162"/>
      <c r="P29" s="162"/>
      <c r="Q29" s="162">
        <v>4</v>
      </c>
      <c r="R29" s="162">
        <v>2</v>
      </c>
      <c r="S29" s="162">
        <v>1</v>
      </c>
      <c r="T29" s="162">
        <v>4</v>
      </c>
      <c r="U29" s="162">
        <v>1</v>
      </c>
      <c r="V29" s="162">
        <v>1</v>
      </c>
      <c r="W29" s="162">
        <v>2</v>
      </c>
      <c r="X29" s="162">
        <v>3</v>
      </c>
      <c r="Y29" s="162">
        <v>1</v>
      </c>
      <c r="Z29" s="162">
        <v>1</v>
      </c>
      <c r="AA29" s="162"/>
      <c r="AB29" s="162">
        <v>1</v>
      </c>
      <c r="AC29" s="162">
        <v>1</v>
      </c>
      <c r="AD29" s="162">
        <v>2</v>
      </c>
      <c r="AE29" s="162">
        <v>2</v>
      </c>
      <c r="AF29" s="161">
        <v>2</v>
      </c>
      <c r="AG29" s="64">
        <f t="shared" si="2"/>
        <v>46</v>
      </c>
    </row>
    <row r="30" spans="1:33" ht="18.75" x14ac:dyDescent="0.25">
      <c r="A30" s="301" t="s">
        <v>143</v>
      </c>
      <c r="B30" s="249">
        <v>5</v>
      </c>
      <c r="C30" s="162">
        <v>3</v>
      </c>
      <c r="D30" s="162">
        <v>3</v>
      </c>
      <c r="E30" s="162">
        <v>3</v>
      </c>
      <c r="F30" s="162">
        <v>8</v>
      </c>
      <c r="G30" s="162">
        <v>3</v>
      </c>
      <c r="H30" s="162">
        <v>4</v>
      </c>
      <c r="I30" s="162">
        <v>6</v>
      </c>
      <c r="J30" s="162">
        <v>4</v>
      </c>
      <c r="K30" s="162">
        <v>9</v>
      </c>
      <c r="L30" s="162">
        <v>3</v>
      </c>
      <c r="M30" s="162"/>
      <c r="N30" s="162">
        <v>2</v>
      </c>
      <c r="O30" s="162">
        <v>2</v>
      </c>
      <c r="P30" s="162">
        <v>2</v>
      </c>
      <c r="Q30" s="162">
        <v>9</v>
      </c>
      <c r="R30" s="162">
        <v>6</v>
      </c>
      <c r="S30" s="162">
        <v>3</v>
      </c>
      <c r="T30" s="162">
        <v>8</v>
      </c>
      <c r="U30" s="162">
        <v>4</v>
      </c>
      <c r="V30" s="162">
        <v>2</v>
      </c>
      <c r="W30" s="162">
        <v>3</v>
      </c>
      <c r="X30" s="162">
        <v>3</v>
      </c>
      <c r="Y30" s="162">
        <v>3</v>
      </c>
      <c r="Z30" s="162">
        <v>7</v>
      </c>
      <c r="AA30" s="162">
        <v>2</v>
      </c>
      <c r="AB30" s="162">
        <v>3</v>
      </c>
      <c r="AC30" s="162">
        <v>1</v>
      </c>
      <c r="AD30" s="162">
        <v>3</v>
      </c>
      <c r="AE30" s="162">
        <v>1</v>
      </c>
      <c r="AF30" s="161">
        <v>1</v>
      </c>
      <c r="AG30" s="64">
        <f t="shared" si="2"/>
        <v>116</v>
      </c>
    </row>
    <row r="31" spans="1:33" ht="18.75" x14ac:dyDescent="0.25">
      <c r="A31" s="301" t="s">
        <v>142</v>
      </c>
      <c r="B31" s="249">
        <v>3</v>
      </c>
      <c r="C31" s="162">
        <v>1</v>
      </c>
      <c r="D31" s="162">
        <v>9</v>
      </c>
      <c r="E31" s="162">
        <v>2</v>
      </c>
      <c r="F31" s="162">
        <v>4</v>
      </c>
      <c r="G31" s="162">
        <v>4</v>
      </c>
      <c r="H31" s="162">
        <v>4</v>
      </c>
      <c r="I31" s="162">
        <v>3</v>
      </c>
      <c r="J31" s="162">
        <v>1</v>
      </c>
      <c r="K31" s="162">
        <v>7</v>
      </c>
      <c r="L31" s="162">
        <v>9</v>
      </c>
      <c r="M31" s="162">
        <v>2</v>
      </c>
      <c r="N31" s="162">
        <v>5</v>
      </c>
      <c r="O31" s="162">
        <v>7</v>
      </c>
      <c r="P31" s="162">
        <v>2</v>
      </c>
      <c r="Q31" s="162">
        <v>5</v>
      </c>
      <c r="R31" s="162">
        <v>6</v>
      </c>
      <c r="S31" s="162">
        <v>6</v>
      </c>
      <c r="T31" s="162">
        <v>5</v>
      </c>
      <c r="U31" s="162">
        <v>7</v>
      </c>
      <c r="V31" s="162">
        <v>7</v>
      </c>
      <c r="W31" s="162">
        <v>3</v>
      </c>
      <c r="X31" s="162">
        <v>4</v>
      </c>
      <c r="Y31" s="162">
        <v>9</v>
      </c>
      <c r="Z31" s="162">
        <v>7</v>
      </c>
      <c r="AA31" s="162">
        <v>2</v>
      </c>
      <c r="AB31" s="162">
        <v>2</v>
      </c>
      <c r="AC31" s="162">
        <v>5</v>
      </c>
      <c r="AD31" s="162">
        <v>7</v>
      </c>
      <c r="AE31" s="162">
        <v>2</v>
      </c>
      <c r="AF31" s="161">
        <v>9</v>
      </c>
      <c r="AG31" s="64">
        <f t="shared" si="2"/>
        <v>149</v>
      </c>
    </row>
    <row r="32" spans="1:33" ht="18.75" x14ac:dyDescent="0.25">
      <c r="A32" s="301" t="s">
        <v>141</v>
      </c>
      <c r="B32" s="249">
        <v>6</v>
      </c>
      <c r="C32" s="162">
        <v>8</v>
      </c>
      <c r="D32" s="162">
        <v>10</v>
      </c>
      <c r="E32" s="162">
        <v>7</v>
      </c>
      <c r="F32" s="162">
        <v>10</v>
      </c>
      <c r="G32" s="162">
        <v>8</v>
      </c>
      <c r="H32" s="162">
        <v>2</v>
      </c>
      <c r="I32" s="162">
        <v>4</v>
      </c>
      <c r="J32" s="162">
        <v>7</v>
      </c>
      <c r="K32" s="162">
        <v>7</v>
      </c>
      <c r="L32" s="162">
        <v>5</v>
      </c>
      <c r="M32" s="162">
        <v>3</v>
      </c>
      <c r="N32" s="162">
        <v>4</v>
      </c>
      <c r="O32" s="162">
        <v>3</v>
      </c>
      <c r="P32" s="162">
        <v>3</v>
      </c>
      <c r="Q32" s="162">
        <v>8</v>
      </c>
      <c r="R32" s="162">
        <v>13</v>
      </c>
      <c r="S32" s="162">
        <v>6</v>
      </c>
      <c r="T32" s="162">
        <v>4</v>
      </c>
      <c r="U32" s="162">
        <v>3</v>
      </c>
      <c r="V32" s="162">
        <v>3</v>
      </c>
      <c r="W32" s="162">
        <v>1</v>
      </c>
      <c r="X32" s="162">
        <v>3</v>
      </c>
      <c r="Y32" s="162">
        <v>7</v>
      </c>
      <c r="Z32" s="162">
        <v>10</v>
      </c>
      <c r="AA32" s="162">
        <v>8</v>
      </c>
      <c r="AB32" s="162">
        <v>2</v>
      </c>
      <c r="AC32" s="162">
        <v>6</v>
      </c>
      <c r="AD32" s="162">
        <v>4</v>
      </c>
      <c r="AE32" s="162">
        <v>1</v>
      </c>
      <c r="AF32" s="161">
        <v>12</v>
      </c>
      <c r="AG32" s="64">
        <f t="shared" si="2"/>
        <v>178</v>
      </c>
    </row>
    <row r="33" spans="1:33" ht="18.75" x14ac:dyDescent="0.25">
      <c r="A33" s="301" t="s">
        <v>140</v>
      </c>
      <c r="B33" s="249">
        <v>4</v>
      </c>
      <c r="C33" s="162">
        <v>6</v>
      </c>
      <c r="D33" s="162">
        <v>9</v>
      </c>
      <c r="E33" s="162">
        <v>6</v>
      </c>
      <c r="F33" s="162">
        <v>5</v>
      </c>
      <c r="G33" s="162">
        <v>6</v>
      </c>
      <c r="H33" s="162">
        <v>7</v>
      </c>
      <c r="I33" s="162">
        <v>7</v>
      </c>
      <c r="J33" s="162">
        <v>4</v>
      </c>
      <c r="K33" s="162">
        <v>9</v>
      </c>
      <c r="L33" s="162">
        <v>14</v>
      </c>
      <c r="M33" s="162">
        <v>4</v>
      </c>
      <c r="N33" s="162">
        <v>3</v>
      </c>
      <c r="O33" s="162">
        <v>2</v>
      </c>
      <c r="P33" s="162">
        <v>3</v>
      </c>
      <c r="Q33" s="162">
        <v>16</v>
      </c>
      <c r="R33" s="162">
        <v>21</v>
      </c>
      <c r="S33" s="162">
        <v>15</v>
      </c>
      <c r="T33" s="162">
        <v>8</v>
      </c>
      <c r="U33" s="162">
        <v>5</v>
      </c>
      <c r="V33" s="162">
        <v>6</v>
      </c>
      <c r="W33" s="162">
        <v>6</v>
      </c>
      <c r="X33" s="162">
        <v>6</v>
      </c>
      <c r="Y33" s="162">
        <v>13</v>
      </c>
      <c r="Z33" s="162">
        <v>9</v>
      </c>
      <c r="AA33" s="162">
        <v>6</v>
      </c>
      <c r="AB33" s="162">
        <v>7</v>
      </c>
      <c r="AC33" s="162">
        <v>7</v>
      </c>
      <c r="AD33" s="162">
        <v>1</v>
      </c>
      <c r="AE33" s="162">
        <v>2</v>
      </c>
      <c r="AF33" s="161">
        <v>16</v>
      </c>
      <c r="AG33" s="64">
        <f t="shared" si="2"/>
        <v>233</v>
      </c>
    </row>
    <row r="34" spans="1:33" ht="18.75" x14ac:dyDescent="0.25">
      <c r="A34" s="301" t="s">
        <v>139</v>
      </c>
      <c r="B34" s="249">
        <v>3</v>
      </c>
      <c r="C34" s="162">
        <v>2</v>
      </c>
      <c r="D34" s="162">
        <v>19</v>
      </c>
      <c r="E34" s="162">
        <v>10</v>
      </c>
      <c r="F34" s="162">
        <v>3</v>
      </c>
      <c r="G34" s="162">
        <v>1</v>
      </c>
      <c r="H34" s="162">
        <v>5</v>
      </c>
      <c r="I34" s="162">
        <v>2</v>
      </c>
      <c r="J34" s="162"/>
      <c r="K34" s="162">
        <v>6</v>
      </c>
      <c r="L34" s="162">
        <v>5</v>
      </c>
      <c r="M34" s="162">
        <v>4</v>
      </c>
      <c r="N34" s="162">
        <v>2</v>
      </c>
      <c r="O34" s="162">
        <v>1</v>
      </c>
      <c r="P34" s="162">
        <v>6</v>
      </c>
      <c r="Q34" s="162">
        <v>15</v>
      </c>
      <c r="R34" s="162">
        <v>13</v>
      </c>
      <c r="S34" s="162">
        <v>6</v>
      </c>
      <c r="T34" s="162">
        <v>8</v>
      </c>
      <c r="U34" s="162">
        <v>5</v>
      </c>
      <c r="V34" s="162">
        <v>1</v>
      </c>
      <c r="W34" s="162">
        <v>1</v>
      </c>
      <c r="X34" s="162">
        <v>2</v>
      </c>
      <c r="Y34" s="162">
        <v>9</v>
      </c>
      <c r="Z34" s="162">
        <v>7</v>
      </c>
      <c r="AA34" s="162">
        <v>12</v>
      </c>
      <c r="AB34" s="162">
        <v>3</v>
      </c>
      <c r="AC34" s="162">
        <v>6</v>
      </c>
      <c r="AD34" s="162">
        <v>6</v>
      </c>
      <c r="AE34" s="162">
        <v>2</v>
      </c>
      <c r="AF34" s="161">
        <v>8</v>
      </c>
      <c r="AG34" s="64">
        <f t="shared" si="2"/>
        <v>173</v>
      </c>
    </row>
    <row r="35" spans="1:33" ht="18.75" x14ac:dyDescent="0.25">
      <c r="A35" s="301" t="s">
        <v>138</v>
      </c>
      <c r="B35" s="249">
        <v>5</v>
      </c>
      <c r="C35" s="162">
        <v>6</v>
      </c>
      <c r="D35" s="162">
        <v>13</v>
      </c>
      <c r="E35" s="162">
        <v>7</v>
      </c>
      <c r="F35" s="162">
        <v>3</v>
      </c>
      <c r="G35" s="162">
        <v>3</v>
      </c>
      <c r="H35" s="162">
        <v>4</v>
      </c>
      <c r="I35" s="162">
        <v>5</v>
      </c>
      <c r="J35" s="162">
        <v>4</v>
      </c>
      <c r="K35" s="162">
        <v>2</v>
      </c>
      <c r="L35" s="162">
        <v>8</v>
      </c>
      <c r="M35" s="162">
        <v>5</v>
      </c>
      <c r="N35" s="162">
        <v>1</v>
      </c>
      <c r="O35" s="162">
        <v>7</v>
      </c>
      <c r="P35" s="162">
        <v>4</v>
      </c>
      <c r="Q35" s="162">
        <v>6</v>
      </c>
      <c r="R35" s="162">
        <v>15</v>
      </c>
      <c r="S35" s="162">
        <v>10</v>
      </c>
      <c r="T35" s="162">
        <v>4</v>
      </c>
      <c r="U35" s="162">
        <v>2</v>
      </c>
      <c r="V35" s="162">
        <v>1</v>
      </c>
      <c r="W35" s="162">
        <v>4</v>
      </c>
      <c r="X35" s="162">
        <v>7</v>
      </c>
      <c r="Y35" s="162">
        <v>6</v>
      </c>
      <c r="Z35" s="162">
        <v>9</v>
      </c>
      <c r="AA35" s="162">
        <v>1</v>
      </c>
      <c r="AB35" s="162">
        <v>3</v>
      </c>
      <c r="AC35" s="162">
        <v>2</v>
      </c>
      <c r="AD35" s="162">
        <v>2</v>
      </c>
      <c r="AE35" s="162">
        <v>4</v>
      </c>
      <c r="AF35" s="161">
        <v>17</v>
      </c>
      <c r="AG35" s="64">
        <f t="shared" si="2"/>
        <v>170</v>
      </c>
    </row>
    <row r="36" spans="1:33" ht="18.75" x14ac:dyDescent="0.25">
      <c r="A36" s="301" t="s">
        <v>137</v>
      </c>
      <c r="B36" s="249">
        <v>4</v>
      </c>
      <c r="C36" s="162">
        <v>2</v>
      </c>
      <c r="D36" s="162">
        <v>5</v>
      </c>
      <c r="E36" s="162">
        <v>9</v>
      </c>
      <c r="F36" s="162">
        <v>4</v>
      </c>
      <c r="G36" s="162">
        <v>5</v>
      </c>
      <c r="H36" s="162">
        <v>6</v>
      </c>
      <c r="I36" s="162">
        <v>7</v>
      </c>
      <c r="J36" s="162">
        <v>3</v>
      </c>
      <c r="K36" s="162">
        <v>14</v>
      </c>
      <c r="L36" s="162">
        <v>8</v>
      </c>
      <c r="M36" s="162">
        <v>1</v>
      </c>
      <c r="N36" s="162">
        <v>3</v>
      </c>
      <c r="O36" s="162">
        <v>1</v>
      </c>
      <c r="P36" s="162">
        <v>1</v>
      </c>
      <c r="Q36" s="162">
        <v>8</v>
      </c>
      <c r="R36" s="162">
        <v>8</v>
      </c>
      <c r="S36" s="162">
        <v>10</v>
      </c>
      <c r="T36" s="162">
        <v>6</v>
      </c>
      <c r="U36" s="162">
        <v>5</v>
      </c>
      <c r="V36" s="162">
        <v>8</v>
      </c>
      <c r="W36" s="162">
        <v>6</v>
      </c>
      <c r="X36" s="162">
        <v>6</v>
      </c>
      <c r="Y36" s="162">
        <v>9</v>
      </c>
      <c r="Z36" s="162">
        <v>9</v>
      </c>
      <c r="AA36" s="162">
        <v>5</v>
      </c>
      <c r="AB36" s="162">
        <v>12</v>
      </c>
      <c r="AC36" s="162">
        <v>3</v>
      </c>
      <c r="AD36" s="162">
        <v>4</v>
      </c>
      <c r="AE36" s="162"/>
      <c r="AF36" s="161">
        <v>7</v>
      </c>
      <c r="AG36" s="64">
        <f t="shared" si="2"/>
        <v>179</v>
      </c>
    </row>
    <row r="37" spans="1:33" ht="18.75" x14ac:dyDescent="0.25">
      <c r="A37" s="301" t="s">
        <v>136</v>
      </c>
      <c r="B37" s="249">
        <v>3</v>
      </c>
      <c r="C37" s="162">
        <v>4</v>
      </c>
      <c r="D37" s="162">
        <v>21</v>
      </c>
      <c r="E37" s="162">
        <v>11</v>
      </c>
      <c r="F37" s="162">
        <v>2</v>
      </c>
      <c r="G37" s="162">
        <v>2</v>
      </c>
      <c r="H37" s="162">
        <v>9</v>
      </c>
      <c r="I37" s="162">
        <v>4</v>
      </c>
      <c r="J37" s="162"/>
      <c r="K37" s="162">
        <v>4</v>
      </c>
      <c r="L37" s="162">
        <v>11</v>
      </c>
      <c r="M37" s="162">
        <v>1</v>
      </c>
      <c r="N37" s="162">
        <v>3</v>
      </c>
      <c r="O37" s="162">
        <v>2</v>
      </c>
      <c r="P37" s="162"/>
      <c r="Q37" s="162">
        <v>15</v>
      </c>
      <c r="R37" s="162">
        <v>12</v>
      </c>
      <c r="S37" s="162">
        <v>11</v>
      </c>
      <c r="T37" s="162">
        <v>7</v>
      </c>
      <c r="U37" s="162">
        <v>6</v>
      </c>
      <c r="V37" s="162">
        <v>6</v>
      </c>
      <c r="W37" s="162">
        <v>5</v>
      </c>
      <c r="X37" s="162">
        <v>9</v>
      </c>
      <c r="Y37" s="162">
        <v>8</v>
      </c>
      <c r="Z37" s="162">
        <v>8</v>
      </c>
      <c r="AA37" s="162">
        <v>2</v>
      </c>
      <c r="AB37" s="162">
        <v>6</v>
      </c>
      <c r="AC37" s="162">
        <v>5</v>
      </c>
      <c r="AD37" s="162">
        <v>4</v>
      </c>
      <c r="AE37" s="162">
        <v>2</v>
      </c>
      <c r="AF37" s="161">
        <v>9</v>
      </c>
      <c r="AG37" s="64">
        <f t="shared" si="2"/>
        <v>192</v>
      </c>
    </row>
    <row r="38" spans="1:33" ht="18.75" x14ac:dyDescent="0.25">
      <c r="A38" s="301" t="s">
        <v>135</v>
      </c>
      <c r="B38" s="249">
        <v>7</v>
      </c>
      <c r="C38" s="162">
        <v>10</v>
      </c>
      <c r="D38" s="162">
        <v>16</v>
      </c>
      <c r="E38" s="162">
        <v>8</v>
      </c>
      <c r="F38" s="162">
        <v>8</v>
      </c>
      <c r="G38" s="162">
        <v>7</v>
      </c>
      <c r="H38" s="162">
        <v>17</v>
      </c>
      <c r="I38" s="162">
        <v>11</v>
      </c>
      <c r="J38" s="162">
        <v>7</v>
      </c>
      <c r="K38" s="162">
        <v>13</v>
      </c>
      <c r="L38" s="162">
        <v>10</v>
      </c>
      <c r="M38" s="162">
        <v>9</v>
      </c>
      <c r="N38" s="162">
        <v>17</v>
      </c>
      <c r="O38" s="162">
        <v>10</v>
      </c>
      <c r="P38" s="162">
        <v>11</v>
      </c>
      <c r="Q38" s="162">
        <v>9</v>
      </c>
      <c r="R38" s="162">
        <v>11</v>
      </c>
      <c r="S38" s="162">
        <v>10</v>
      </c>
      <c r="T38" s="162">
        <v>8</v>
      </c>
      <c r="U38" s="162">
        <v>9</v>
      </c>
      <c r="V38" s="162">
        <v>5</v>
      </c>
      <c r="W38" s="162">
        <v>7</v>
      </c>
      <c r="X38" s="162">
        <v>6</v>
      </c>
      <c r="Y38" s="162">
        <v>7</v>
      </c>
      <c r="Z38" s="162">
        <v>17</v>
      </c>
      <c r="AA38" s="162">
        <v>13</v>
      </c>
      <c r="AB38" s="162">
        <v>9</v>
      </c>
      <c r="AC38" s="162">
        <v>11</v>
      </c>
      <c r="AD38" s="162">
        <v>8</v>
      </c>
      <c r="AE38" s="162">
        <v>13</v>
      </c>
      <c r="AF38" s="161">
        <v>9</v>
      </c>
      <c r="AG38" s="64">
        <f t="shared" si="2"/>
        <v>313</v>
      </c>
    </row>
    <row r="39" spans="1:33" ht="18.75" x14ac:dyDescent="0.25">
      <c r="A39" s="301" t="s">
        <v>134</v>
      </c>
      <c r="B39" s="249">
        <v>22</v>
      </c>
      <c r="C39" s="162">
        <v>13</v>
      </c>
      <c r="D39" s="162">
        <v>15</v>
      </c>
      <c r="E39" s="162">
        <v>11</v>
      </c>
      <c r="F39" s="162">
        <v>15</v>
      </c>
      <c r="G39" s="162">
        <v>15</v>
      </c>
      <c r="H39" s="162">
        <v>17</v>
      </c>
      <c r="I39" s="162">
        <v>14</v>
      </c>
      <c r="J39" s="162">
        <v>13</v>
      </c>
      <c r="K39" s="162">
        <v>15</v>
      </c>
      <c r="L39" s="162">
        <v>7</v>
      </c>
      <c r="M39" s="162">
        <v>11</v>
      </c>
      <c r="N39" s="162">
        <v>20</v>
      </c>
      <c r="O39" s="162">
        <v>13</v>
      </c>
      <c r="P39" s="162">
        <v>15</v>
      </c>
      <c r="Q39" s="162">
        <v>11</v>
      </c>
      <c r="R39" s="162">
        <v>15</v>
      </c>
      <c r="S39" s="162">
        <v>17</v>
      </c>
      <c r="T39" s="162">
        <v>23</v>
      </c>
      <c r="U39" s="162">
        <v>18</v>
      </c>
      <c r="V39" s="162">
        <v>16</v>
      </c>
      <c r="W39" s="162">
        <v>12</v>
      </c>
      <c r="X39" s="162">
        <v>21</v>
      </c>
      <c r="Y39" s="162">
        <v>15</v>
      </c>
      <c r="Z39" s="162">
        <v>9</v>
      </c>
      <c r="AA39" s="162">
        <v>20</v>
      </c>
      <c r="AB39" s="162">
        <v>19</v>
      </c>
      <c r="AC39" s="162">
        <v>15</v>
      </c>
      <c r="AD39" s="162">
        <v>17</v>
      </c>
      <c r="AE39" s="162">
        <v>22</v>
      </c>
      <c r="AF39" s="161">
        <v>13</v>
      </c>
      <c r="AG39" s="64">
        <f t="shared" si="2"/>
        <v>479</v>
      </c>
    </row>
    <row r="40" spans="1:33" ht="18.75" x14ac:dyDescent="0.25">
      <c r="A40" s="301" t="s">
        <v>133</v>
      </c>
      <c r="B40" s="249">
        <v>23</v>
      </c>
      <c r="C40" s="162">
        <v>15</v>
      </c>
      <c r="D40" s="162">
        <v>17</v>
      </c>
      <c r="E40" s="162">
        <v>10</v>
      </c>
      <c r="F40" s="162">
        <v>19</v>
      </c>
      <c r="G40" s="162">
        <v>15</v>
      </c>
      <c r="H40" s="162">
        <v>18</v>
      </c>
      <c r="I40" s="162">
        <v>16</v>
      </c>
      <c r="J40" s="162">
        <v>15</v>
      </c>
      <c r="K40" s="162">
        <v>4</v>
      </c>
      <c r="L40" s="162">
        <v>2</v>
      </c>
      <c r="M40" s="162">
        <v>17</v>
      </c>
      <c r="N40" s="162">
        <v>16</v>
      </c>
      <c r="O40" s="162">
        <v>17</v>
      </c>
      <c r="P40" s="162">
        <v>23</v>
      </c>
      <c r="Q40" s="162">
        <v>9</v>
      </c>
      <c r="R40" s="162">
        <v>9</v>
      </c>
      <c r="S40" s="162">
        <v>13</v>
      </c>
      <c r="T40" s="162">
        <v>24</v>
      </c>
      <c r="U40" s="162">
        <v>22</v>
      </c>
      <c r="V40" s="162">
        <v>19</v>
      </c>
      <c r="W40" s="162">
        <v>16</v>
      </c>
      <c r="X40" s="162">
        <v>21</v>
      </c>
      <c r="Y40" s="162">
        <v>7</v>
      </c>
      <c r="Z40" s="162">
        <v>4</v>
      </c>
      <c r="AA40" s="162">
        <v>27</v>
      </c>
      <c r="AB40" s="162">
        <v>24</v>
      </c>
      <c r="AC40" s="162">
        <v>24</v>
      </c>
      <c r="AD40" s="162">
        <v>21</v>
      </c>
      <c r="AE40" s="162">
        <v>20</v>
      </c>
      <c r="AF40" s="161">
        <v>14</v>
      </c>
      <c r="AG40" s="64">
        <f t="shared" si="2"/>
        <v>501</v>
      </c>
    </row>
    <row r="41" spans="1:33" ht="18.75" x14ac:dyDescent="0.25">
      <c r="A41" s="301" t="s">
        <v>132</v>
      </c>
      <c r="B41" s="249">
        <v>13</v>
      </c>
      <c r="C41" s="162">
        <v>10</v>
      </c>
      <c r="D41" s="162">
        <v>8</v>
      </c>
      <c r="E41" s="162">
        <v>8</v>
      </c>
      <c r="F41" s="162">
        <v>12</v>
      </c>
      <c r="G41" s="162">
        <v>26</v>
      </c>
      <c r="H41" s="162">
        <v>19</v>
      </c>
      <c r="I41" s="162">
        <v>16</v>
      </c>
      <c r="J41" s="162">
        <v>11</v>
      </c>
      <c r="K41" s="162">
        <v>6</v>
      </c>
      <c r="L41" s="162">
        <v>7</v>
      </c>
      <c r="M41" s="162">
        <v>26</v>
      </c>
      <c r="N41" s="162">
        <v>5</v>
      </c>
      <c r="O41" s="162">
        <v>19</v>
      </c>
      <c r="P41" s="162">
        <v>9</v>
      </c>
      <c r="Q41" s="162">
        <v>6</v>
      </c>
      <c r="R41" s="162">
        <v>8</v>
      </c>
      <c r="S41" s="162">
        <v>13</v>
      </c>
      <c r="T41" s="162">
        <v>23</v>
      </c>
      <c r="U41" s="162">
        <v>22</v>
      </c>
      <c r="V41" s="162">
        <v>25</v>
      </c>
      <c r="W41" s="162">
        <v>17</v>
      </c>
      <c r="X41" s="162">
        <v>18</v>
      </c>
      <c r="Y41" s="162">
        <v>4</v>
      </c>
      <c r="Z41" s="162">
        <v>12</v>
      </c>
      <c r="AA41" s="162">
        <v>14</v>
      </c>
      <c r="AB41" s="162">
        <v>25</v>
      </c>
      <c r="AC41" s="162">
        <v>17</v>
      </c>
      <c r="AD41" s="162">
        <v>17</v>
      </c>
      <c r="AE41" s="162">
        <v>11</v>
      </c>
      <c r="AF41" s="161">
        <v>7</v>
      </c>
      <c r="AG41" s="64">
        <f t="shared" si="2"/>
        <v>434</v>
      </c>
    </row>
    <row r="42" spans="1:33" ht="18.75" x14ac:dyDescent="0.25">
      <c r="A42" s="301" t="s">
        <v>131</v>
      </c>
      <c r="B42" s="249">
        <v>9</v>
      </c>
      <c r="C42" s="162">
        <v>1</v>
      </c>
      <c r="D42" s="162">
        <v>11</v>
      </c>
      <c r="E42" s="162">
        <v>4</v>
      </c>
      <c r="F42" s="162">
        <v>12</v>
      </c>
      <c r="G42" s="162">
        <v>15</v>
      </c>
      <c r="H42" s="162">
        <v>5</v>
      </c>
      <c r="I42" s="162">
        <v>15</v>
      </c>
      <c r="J42" s="162">
        <v>7</v>
      </c>
      <c r="K42" s="162">
        <v>5</v>
      </c>
      <c r="L42" s="162">
        <v>11</v>
      </c>
      <c r="M42" s="162">
        <v>13</v>
      </c>
      <c r="N42" s="162">
        <v>8</v>
      </c>
      <c r="O42" s="162">
        <v>12</v>
      </c>
      <c r="P42" s="162">
        <v>13</v>
      </c>
      <c r="Q42" s="162">
        <v>6</v>
      </c>
      <c r="R42" s="162">
        <v>10</v>
      </c>
      <c r="S42" s="162">
        <v>16</v>
      </c>
      <c r="T42" s="162">
        <v>17</v>
      </c>
      <c r="U42" s="162">
        <v>16</v>
      </c>
      <c r="V42" s="162">
        <v>11</v>
      </c>
      <c r="W42" s="162">
        <v>15</v>
      </c>
      <c r="X42" s="162">
        <v>16</v>
      </c>
      <c r="Y42" s="162">
        <v>8</v>
      </c>
      <c r="Z42" s="162">
        <v>12</v>
      </c>
      <c r="AA42" s="162">
        <v>10</v>
      </c>
      <c r="AB42" s="162">
        <v>13</v>
      </c>
      <c r="AC42" s="162">
        <v>11</v>
      </c>
      <c r="AD42" s="162">
        <v>12</v>
      </c>
      <c r="AE42" s="162">
        <v>7</v>
      </c>
      <c r="AF42" s="161">
        <v>6</v>
      </c>
      <c r="AG42" s="64">
        <f t="shared" si="2"/>
        <v>327</v>
      </c>
    </row>
    <row r="43" spans="1:33" ht="18.75" x14ac:dyDescent="0.25">
      <c r="A43" s="301" t="s">
        <v>130</v>
      </c>
      <c r="B43" s="249">
        <v>5</v>
      </c>
      <c r="C43" s="162">
        <v>5</v>
      </c>
      <c r="D43" s="162">
        <v>7</v>
      </c>
      <c r="E43" s="162">
        <v>7</v>
      </c>
      <c r="F43" s="162">
        <v>12</v>
      </c>
      <c r="G43" s="162">
        <v>8</v>
      </c>
      <c r="H43" s="162">
        <v>9</v>
      </c>
      <c r="I43" s="162">
        <v>4</v>
      </c>
      <c r="J43" s="162">
        <v>5</v>
      </c>
      <c r="K43" s="162">
        <v>5</v>
      </c>
      <c r="L43" s="162">
        <v>8</v>
      </c>
      <c r="M43" s="162">
        <v>7</v>
      </c>
      <c r="N43" s="162">
        <v>7</v>
      </c>
      <c r="O43" s="162">
        <v>5</v>
      </c>
      <c r="P43" s="162">
        <v>18</v>
      </c>
      <c r="Q43" s="162">
        <v>4</v>
      </c>
      <c r="R43" s="162">
        <v>12</v>
      </c>
      <c r="S43" s="162">
        <v>12</v>
      </c>
      <c r="T43" s="162">
        <v>8</v>
      </c>
      <c r="U43" s="162">
        <v>16</v>
      </c>
      <c r="V43" s="162">
        <v>7</v>
      </c>
      <c r="W43" s="162">
        <v>23</v>
      </c>
      <c r="X43" s="162">
        <v>10</v>
      </c>
      <c r="Y43" s="162">
        <v>9</v>
      </c>
      <c r="Z43" s="162">
        <v>10</v>
      </c>
      <c r="AA43" s="162">
        <v>17</v>
      </c>
      <c r="AB43" s="162">
        <v>10</v>
      </c>
      <c r="AC43" s="162">
        <v>17</v>
      </c>
      <c r="AD43" s="162">
        <v>16</v>
      </c>
      <c r="AE43" s="162">
        <v>8</v>
      </c>
      <c r="AF43" s="161">
        <v>5</v>
      </c>
      <c r="AG43" s="64">
        <f t="shared" si="2"/>
        <v>296</v>
      </c>
    </row>
    <row r="44" spans="1:33" ht="18.75" x14ac:dyDescent="0.25">
      <c r="A44" s="301" t="s">
        <v>129</v>
      </c>
      <c r="B44" s="249">
        <v>6</v>
      </c>
      <c r="C44" s="162">
        <v>5</v>
      </c>
      <c r="D44" s="162">
        <v>1</v>
      </c>
      <c r="E44" s="162">
        <v>7</v>
      </c>
      <c r="F44" s="162">
        <v>5</v>
      </c>
      <c r="G44" s="162">
        <v>7</v>
      </c>
      <c r="H44" s="162"/>
      <c r="I44" s="162">
        <v>3</v>
      </c>
      <c r="J44" s="162">
        <v>3</v>
      </c>
      <c r="K44" s="162">
        <v>2</v>
      </c>
      <c r="L44" s="162">
        <v>2</v>
      </c>
      <c r="M44" s="162">
        <v>4</v>
      </c>
      <c r="N44" s="162">
        <v>2</v>
      </c>
      <c r="O44" s="162">
        <v>5</v>
      </c>
      <c r="P44" s="162">
        <v>11</v>
      </c>
      <c r="Q44" s="162">
        <v>7</v>
      </c>
      <c r="R44" s="162">
        <v>4</v>
      </c>
      <c r="S44" s="162">
        <v>7</v>
      </c>
      <c r="T44" s="162">
        <v>4</v>
      </c>
      <c r="U44" s="162">
        <v>5</v>
      </c>
      <c r="V44" s="162">
        <v>14</v>
      </c>
      <c r="W44" s="162">
        <v>5</v>
      </c>
      <c r="X44" s="162">
        <v>6</v>
      </c>
      <c r="Y44" s="162">
        <v>8</v>
      </c>
      <c r="Z44" s="162">
        <v>9</v>
      </c>
      <c r="AA44" s="162">
        <v>6</v>
      </c>
      <c r="AB44" s="162">
        <v>3</v>
      </c>
      <c r="AC44" s="162">
        <v>8</v>
      </c>
      <c r="AD44" s="162">
        <v>6</v>
      </c>
      <c r="AE44" s="162">
        <v>5</v>
      </c>
      <c r="AF44" s="161">
        <v>6</v>
      </c>
      <c r="AG44" s="64">
        <f t="shared" si="2"/>
        <v>166</v>
      </c>
    </row>
    <row r="45" spans="1:33" ht="18.75" x14ac:dyDescent="0.25">
      <c r="A45" s="301" t="s">
        <v>128</v>
      </c>
      <c r="B45" s="249"/>
      <c r="C45" s="162">
        <v>6</v>
      </c>
      <c r="D45" s="162">
        <v>4</v>
      </c>
      <c r="E45" s="162">
        <v>1</v>
      </c>
      <c r="F45" s="162"/>
      <c r="G45" s="162">
        <v>5</v>
      </c>
      <c r="H45" s="162">
        <v>5</v>
      </c>
      <c r="I45" s="162">
        <v>4</v>
      </c>
      <c r="J45" s="162">
        <v>2</v>
      </c>
      <c r="K45" s="162">
        <v>2</v>
      </c>
      <c r="L45" s="162">
        <v>8</v>
      </c>
      <c r="M45" s="162">
        <v>3</v>
      </c>
      <c r="N45" s="162">
        <v>3</v>
      </c>
      <c r="O45" s="162">
        <v>2</v>
      </c>
      <c r="P45" s="162">
        <v>2</v>
      </c>
      <c r="Q45" s="162">
        <v>3</v>
      </c>
      <c r="R45" s="162">
        <v>8</v>
      </c>
      <c r="S45" s="162">
        <v>7</v>
      </c>
      <c r="T45" s="162">
        <v>2</v>
      </c>
      <c r="U45" s="162">
        <v>3</v>
      </c>
      <c r="V45" s="162">
        <v>8</v>
      </c>
      <c r="W45" s="162">
        <v>4</v>
      </c>
      <c r="X45" s="162">
        <v>6</v>
      </c>
      <c r="Y45" s="162">
        <v>2</v>
      </c>
      <c r="Z45" s="162">
        <v>4</v>
      </c>
      <c r="AA45" s="162">
        <v>9</v>
      </c>
      <c r="AB45" s="162">
        <v>9</v>
      </c>
      <c r="AC45" s="162">
        <v>5</v>
      </c>
      <c r="AD45" s="162">
        <v>3</v>
      </c>
      <c r="AE45" s="162">
        <v>6</v>
      </c>
      <c r="AF45" s="161">
        <v>3</v>
      </c>
      <c r="AG45" s="64">
        <f t="shared" si="2"/>
        <v>129</v>
      </c>
    </row>
    <row r="46" spans="1:33" ht="18.75" x14ac:dyDescent="0.25">
      <c r="A46" s="301" t="s">
        <v>127</v>
      </c>
      <c r="B46" s="249">
        <v>1</v>
      </c>
      <c r="C46" s="162">
        <v>4</v>
      </c>
      <c r="D46" s="162">
        <v>2</v>
      </c>
      <c r="E46" s="162">
        <v>2</v>
      </c>
      <c r="F46" s="162">
        <v>3</v>
      </c>
      <c r="G46" s="162">
        <v>2</v>
      </c>
      <c r="H46" s="162">
        <v>2</v>
      </c>
      <c r="I46" s="162"/>
      <c r="J46" s="162">
        <v>2</v>
      </c>
      <c r="K46" s="162">
        <v>2</v>
      </c>
      <c r="L46" s="162"/>
      <c r="M46" s="162">
        <v>1</v>
      </c>
      <c r="N46" s="162">
        <v>4</v>
      </c>
      <c r="O46" s="162">
        <v>6</v>
      </c>
      <c r="P46" s="162">
        <v>3</v>
      </c>
      <c r="Q46" s="162">
        <v>5</v>
      </c>
      <c r="R46" s="162">
        <v>2</v>
      </c>
      <c r="S46" s="162">
        <v>1</v>
      </c>
      <c r="T46" s="162">
        <v>3</v>
      </c>
      <c r="U46" s="162"/>
      <c r="V46" s="162">
        <v>1</v>
      </c>
      <c r="W46" s="162">
        <v>2</v>
      </c>
      <c r="X46" s="162">
        <v>5</v>
      </c>
      <c r="Y46" s="162">
        <v>3</v>
      </c>
      <c r="Z46" s="162">
        <v>2</v>
      </c>
      <c r="AA46" s="162">
        <v>2</v>
      </c>
      <c r="AB46" s="162">
        <v>1</v>
      </c>
      <c r="AC46" s="162">
        <v>2</v>
      </c>
      <c r="AD46" s="162">
        <v>7</v>
      </c>
      <c r="AE46" s="162">
        <v>1</v>
      </c>
      <c r="AF46" s="161">
        <v>1</v>
      </c>
      <c r="AG46" s="64">
        <f t="shared" si="2"/>
        <v>72</v>
      </c>
    </row>
    <row r="47" spans="1:33" ht="18.75" x14ac:dyDescent="0.25">
      <c r="A47" s="301" t="s">
        <v>126</v>
      </c>
      <c r="B47" s="249">
        <v>1</v>
      </c>
      <c r="C47" s="162"/>
      <c r="D47" s="162">
        <v>1</v>
      </c>
      <c r="E47" s="162">
        <v>3</v>
      </c>
      <c r="F47" s="162">
        <v>3</v>
      </c>
      <c r="G47" s="162">
        <v>2</v>
      </c>
      <c r="H47" s="162">
        <v>1</v>
      </c>
      <c r="I47" s="162">
        <v>1</v>
      </c>
      <c r="J47" s="162">
        <v>3</v>
      </c>
      <c r="K47" s="162"/>
      <c r="L47" s="162"/>
      <c r="M47" s="162">
        <v>2</v>
      </c>
      <c r="N47" s="162"/>
      <c r="O47" s="162">
        <v>3</v>
      </c>
      <c r="P47" s="162">
        <v>2</v>
      </c>
      <c r="Q47" s="162">
        <v>5</v>
      </c>
      <c r="R47" s="162">
        <v>1</v>
      </c>
      <c r="S47" s="162">
        <v>2</v>
      </c>
      <c r="T47" s="162"/>
      <c r="U47" s="162"/>
      <c r="V47" s="162"/>
      <c r="W47" s="162">
        <v>4</v>
      </c>
      <c r="X47" s="162">
        <v>1</v>
      </c>
      <c r="Y47" s="162">
        <v>4</v>
      </c>
      <c r="Z47" s="162">
        <v>1</v>
      </c>
      <c r="AA47" s="162">
        <v>3</v>
      </c>
      <c r="AB47" s="162">
        <v>2</v>
      </c>
      <c r="AC47" s="162">
        <v>2</v>
      </c>
      <c r="AD47" s="162">
        <v>2</v>
      </c>
      <c r="AE47" s="162">
        <v>3</v>
      </c>
      <c r="AF47" s="161">
        <v>2</v>
      </c>
      <c r="AG47" s="64">
        <f t="shared" si="2"/>
        <v>54</v>
      </c>
    </row>
    <row r="48" spans="1:33" ht="18.75" x14ac:dyDescent="0.25">
      <c r="A48" s="301" t="s">
        <v>125</v>
      </c>
      <c r="B48" s="249">
        <v>2</v>
      </c>
      <c r="C48" s="162">
        <v>1</v>
      </c>
      <c r="D48" s="162">
        <v>2</v>
      </c>
      <c r="E48" s="162">
        <v>1</v>
      </c>
      <c r="F48" s="162">
        <v>1</v>
      </c>
      <c r="G48" s="162">
        <v>1</v>
      </c>
      <c r="H48" s="162"/>
      <c r="I48" s="162"/>
      <c r="J48" s="162"/>
      <c r="K48" s="162"/>
      <c r="L48" s="162"/>
      <c r="M48" s="162"/>
      <c r="N48" s="162">
        <v>1</v>
      </c>
      <c r="O48" s="162">
        <v>1</v>
      </c>
      <c r="P48" s="162"/>
      <c r="Q48" s="162">
        <v>3</v>
      </c>
      <c r="R48" s="162"/>
      <c r="S48" s="162"/>
      <c r="T48" s="162"/>
      <c r="U48" s="162"/>
      <c r="V48" s="162">
        <v>2</v>
      </c>
      <c r="W48" s="162">
        <v>1</v>
      </c>
      <c r="X48" s="162">
        <v>2</v>
      </c>
      <c r="Y48" s="162">
        <v>1</v>
      </c>
      <c r="Z48" s="162">
        <v>1</v>
      </c>
      <c r="AA48" s="162"/>
      <c r="AB48" s="162"/>
      <c r="AC48" s="162">
        <v>1</v>
      </c>
      <c r="AD48" s="162"/>
      <c r="AE48" s="162">
        <v>1</v>
      </c>
      <c r="AF48" s="161">
        <v>2</v>
      </c>
      <c r="AG48" s="64">
        <f t="shared" si="2"/>
        <v>24</v>
      </c>
    </row>
    <row r="49" spans="1:33" ht="18.75" x14ac:dyDescent="0.25">
      <c r="A49" s="301" t="s">
        <v>124</v>
      </c>
      <c r="B49" s="249"/>
      <c r="C49" s="162">
        <v>1</v>
      </c>
      <c r="D49" s="162"/>
      <c r="E49" s="162"/>
      <c r="F49" s="162"/>
      <c r="G49" s="162">
        <v>4</v>
      </c>
      <c r="H49" s="162">
        <v>1</v>
      </c>
      <c r="I49" s="162">
        <v>1</v>
      </c>
      <c r="J49" s="162">
        <v>1</v>
      </c>
      <c r="K49" s="162">
        <v>2</v>
      </c>
      <c r="L49" s="162"/>
      <c r="M49" s="162"/>
      <c r="N49" s="162"/>
      <c r="O49" s="162">
        <v>1</v>
      </c>
      <c r="P49" s="162"/>
      <c r="Q49" s="162"/>
      <c r="R49" s="162"/>
      <c r="S49" s="162">
        <v>1</v>
      </c>
      <c r="T49" s="162">
        <v>1</v>
      </c>
      <c r="U49" s="162">
        <v>1</v>
      </c>
      <c r="V49" s="162">
        <v>1</v>
      </c>
      <c r="W49" s="162">
        <v>2</v>
      </c>
      <c r="X49" s="162"/>
      <c r="Y49" s="162"/>
      <c r="Z49" s="162">
        <v>2</v>
      </c>
      <c r="AA49" s="162"/>
      <c r="AB49" s="162">
        <v>1</v>
      </c>
      <c r="AC49" s="162">
        <v>1</v>
      </c>
      <c r="AD49" s="162"/>
      <c r="AE49" s="162"/>
      <c r="AF49" s="161">
        <v>1</v>
      </c>
      <c r="AG49" s="64">
        <f t="shared" si="2"/>
        <v>22</v>
      </c>
    </row>
    <row r="50" spans="1:33" ht="18.75" x14ac:dyDescent="0.25">
      <c r="A50" s="301" t="s">
        <v>123</v>
      </c>
      <c r="B50" s="249"/>
      <c r="C50" s="162">
        <v>1</v>
      </c>
      <c r="D50" s="162">
        <v>1</v>
      </c>
      <c r="E50" s="162"/>
      <c r="F50" s="162"/>
      <c r="G50" s="162"/>
      <c r="H50" s="162">
        <v>1</v>
      </c>
      <c r="I50" s="162"/>
      <c r="J50" s="162"/>
      <c r="K50" s="162"/>
      <c r="L50" s="162">
        <v>1</v>
      </c>
      <c r="M50" s="162"/>
      <c r="N50" s="162">
        <v>4</v>
      </c>
      <c r="O50" s="162"/>
      <c r="P50" s="162">
        <v>1</v>
      </c>
      <c r="Q50" s="162"/>
      <c r="R50" s="162">
        <v>2</v>
      </c>
      <c r="S50" s="162">
        <v>2</v>
      </c>
      <c r="T50" s="162"/>
      <c r="U50" s="162"/>
      <c r="V50" s="162">
        <v>3</v>
      </c>
      <c r="W50" s="162">
        <v>1</v>
      </c>
      <c r="X50" s="162"/>
      <c r="Y50" s="162"/>
      <c r="Z50" s="162">
        <v>1</v>
      </c>
      <c r="AA50" s="162"/>
      <c r="AB50" s="162">
        <v>1</v>
      </c>
      <c r="AC50" s="162"/>
      <c r="AD50" s="162">
        <v>2</v>
      </c>
      <c r="AE50" s="162">
        <v>2</v>
      </c>
      <c r="AF50" s="161">
        <v>1</v>
      </c>
      <c r="AG50" s="64">
        <f t="shared" si="2"/>
        <v>24</v>
      </c>
    </row>
    <row r="51" spans="1:33" ht="18.75" x14ac:dyDescent="0.25">
      <c r="A51" s="301" t="s">
        <v>122</v>
      </c>
      <c r="B51" s="249"/>
      <c r="C51" s="162"/>
      <c r="D51" s="162"/>
      <c r="E51" s="162">
        <v>2</v>
      </c>
      <c r="F51" s="162"/>
      <c r="G51" s="162"/>
      <c r="H51" s="162">
        <v>1</v>
      </c>
      <c r="I51" s="162"/>
      <c r="J51" s="162">
        <v>1</v>
      </c>
      <c r="K51" s="162"/>
      <c r="L51" s="162"/>
      <c r="M51" s="162">
        <v>1</v>
      </c>
      <c r="N51" s="162"/>
      <c r="O51" s="162">
        <v>1</v>
      </c>
      <c r="P51" s="162">
        <v>1</v>
      </c>
      <c r="Q51" s="162"/>
      <c r="R51" s="162">
        <v>2</v>
      </c>
      <c r="S51" s="162"/>
      <c r="T51" s="162"/>
      <c r="U51" s="162"/>
      <c r="V51" s="162"/>
      <c r="W51" s="162"/>
      <c r="X51" s="162">
        <v>1</v>
      </c>
      <c r="Y51" s="162">
        <v>1</v>
      </c>
      <c r="Z51" s="162"/>
      <c r="AA51" s="162"/>
      <c r="AB51" s="162"/>
      <c r="AC51" s="162">
        <v>1</v>
      </c>
      <c r="AD51" s="162">
        <v>1</v>
      </c>
      <c r="AE51" s="162"/>
      <c r="AF51" s="161">
        <v>2</v>
      </c>
      <c r="AG51" s="64">
        <f t="shared" si="2"/>
        <v>15</v>
      </c>
    </row>
    <row r="52" spans="1:33" ht="19.5" thickBot="1" x14ac:dyDescent="0.3">
      <c r="A52" s="304" t="s">
        <v>121</v>
      </c>
      <c r="B52" s="252">
        <v>1</v>
      </c>
      <c r="C52" s="181"/>
      <c r="D52" s="181"/>
      <c r="E52" s="181">
        <v>1</v>
      </c>
      <c r="F52" s="181"/>
      <c r="G52" s="181"/>
      <c r="H52" s="181">
        <v>1</v>
      </c>
      <c r="I52" s="181"/>
      <c r="J52" s="181"/>
      <c r="K52" s="181"/>
      <c r="L52" s="181"/>
      <c r="M52" s="181">
        <v>2</v>
      </c>
      <c r="N52" s="181"/>
      <c r="O52" s="181"/>
      <c r="P52" s="181"/>
      <c r="Q52" s="181">
        <v>1</v>
      </c>
      <c r="R52" s="181">
        <v>1</v>
      </c>
      <c r="S52" s="181"/>
      <c r="T52" s="181">
        <v>2</v>
      </c>
      <c r="U52" s="181">
        <v>4</v>
      </c>
      <c r="V52" s="181">
        <v>1</v>
      </c>
      <c r="W52" s="181">
        <v>1</v>
      </c>
      <c r="X52" s="181">
        <v>1</v>
      </c>
      <c r="Y52" s="181">
        <v>3</v>
      </c>
      <c r="Z52" s="181"/>
      <c r="AA52" s="181">
        <v>1</v>
      </c>
      <c r="AB52" s="181"/>
      <c r="AC52" s="181"/>
      <c r="AD52" s="181"/>
      <c r="AE52" s="181">
        <v>2</v>
      </c>
      <c r="AF52" s="180">
        <v>4</v>
      </c>
      <c r="AG52" s="160">
        <f t="shared" si="2"/>
        <v>26</v>
      </c>
    </row>
    <row r="53" spans="1:33" ht="19.5" thickBot="1" x14ac:dyDescent="0.3">
      <c r="A53" s="299" t="s">
        <v>145</v>
      </c>
      <c r="B53" s="247">
        <f t="shared" ref="B53:AF53" si="4">SUM(B54:B77)</f>
        <v>4</v>
      </c>
      <c r="C53" s="120">
        <f t="shared" si="4"/>
        <v>6</v>
      </c>
      <c r="D53" s="120">
        <f t="shared" si="4"/>
        <v>3</v>
      </c>
      <c r="E53" s="120">
        <f t="shared" si="4"/>
        <v>2</v>
      </c>
      <c r="F53" s="120">
        <f t="shared" si="4"/>
        <v>9</v>
      </c>
      <c r="G53" s="120">
        <f t="shared" si="4"/>
        <v>5</v>
      </c>
      <c r="H53" s="120">
        <f t="shared" si="4"/>
        <v>7</v>
      </c>
      <c r="I53" s="120">
        <f t="shared" si="4"/>
        <v>0</v>
      </c>
      <c r="J53" s="120">
        <f t="shared" si="4"/>
        <v>5</v>
      </c>
      <c r="K53" s="120">
        <f t="shared" si="4"/>
        <v>2</v>
      </c>
      <c r="L53" s="120">
        <f t="shared" si="4"/>
        <v>1</v>
      </c>
      <c r="M53" s="120">
        <f t="shared" si="4"/>
        <v>10</v>
      </c>
      <c r="N53" s="120">
        <f t="shared" si="4"/>
        <v>5</v>
      </c>
      <c r="O53" s="120">
        <f t="shared" si="4"/>
        <v>1</v>
      </c>
      <c r="P53" s="120">
        <f t="shared" si="4"/>
        <v>4</v>
      </c>
      <c r="Q53" s="120">
        <f t="shared" si="4"/>
        <v>6</v>
      </c>
      <c r="R53" s="120">
        <f t="shared" si="4"/>
        <v>4</v>
      </c>
      <c r="S53" s="120">
        <f t="shared" si="4"/>
        <v>3</v>
      </c>
      <c r="T53" s="120">
        <f t="shared" si="4"/>
        <v>8</v>
      </c>
      <c r="U53" s="120">
        <f t="shared" si="4"/>
        <v>11</v>
      </c>
      <c r="V53" s="120">
        <f t="shared" si="4"/>
        <v>6</v>
      </c>
      <c r="W53" s="120">
        <f t="shared" si="4"/>
        <v>9</v>
      </c>
      <c r="X53" s="120">
        <f t="shared" si="4"/>
        <v>3</v>
      </c>
      <c r="Y53" s="120">
        <f t="shared" si="4"/>
        <v>8</v>
      </c>
      <c r="Z53" s="120">
        <f t="shared" si="4"/>
        <v>1</v>
      </c>
      <c r="AA53" s="120">
        <f t="shared" si="4"/>
        <v>6</v>
      </c>
      <c r="AB53" s="120">
        <f t="shared" si="4"/>
        <v>15</v>
      </c>
      <c r="AC53" s="120">
        <f t="shared" si="4"/>
        <v>5</v>
      </c>
      <c r="AD53" s="120">
        <f t="shared" si="4"/>
        <v>2</v>
      </c>
      <c r="AE53" s="120">
        <f t="shared" si="4"/>
        <v>5</v>
      </c>
      <c r="AF53" s="120">
        <f t="shared" si="4"/>
        <v>3</v>
      </c>
      <c r="AG53" s="157">
        <f t="shared" si="2"/>
        <v>159</v>
      </c>
    </row>
    <row r="54" spans="1:33" ht="18.75" x14ac:dyDescent="0.25">
      <c r="A54" s="300" t="s">
        <v>144</v>
      </c>
      <c r="B54" s="248"/>
      <c r="C54" s="199"/>
      <c r="D54" s="162"/>
      <c r="E54" s="199"/>
      <c r="F54" s="199">
        <v>1</v>
      </c>
      <c r="G54" s="162"/>
      <c r="H54" s="199"/>
      <c r="I54" s="199"/>
      <c r="J54" s="199"/>
      <c r="K54" s="199"/>
      <c r="L54" s="199"/>
      <c r="M54" s="199"/>
      <c r="N54" s="199"/>
      <c r="O54" s="199"/>
      <c r="P54" s="199"/>
      <c r="Q54" s="199">
        <v>1</v>
      </c>
      <c r="R54" s="199"/>
      <c r="S54" s="199"/>
      <c r="T54" s="199"/>
      <c r="U54" s="199"/>
      <c r="V54" s="199"/>
      <c r="W54" s="199"/>
      <c r="X54" s="199"/>
      <c r="Y54" s="199"/>
      <c r="Z54" s="199"/>
      <c r="AA54" s="199">
        <v>1</v>
      </c>
      <c r="AB54" s="199"/>
      <c r="AC54" s="199"/>
      <c r="AD54" s="199"/>
      <c r="AE54" s="199"/>
      <c r="AF54" s="206"/>
      <c r="AG54" s="134">
        <f t="shared" si="2"/>
        <v>3</v>
      </c>
    </row>
    <row r="55" spans="1:33" ht="18.75" x14ac:dyDescent="0.25">
      <c r="A55" s="301" t="s">
        <v>143</v>
      </c>
      <c r="B55" s="249"/>
      <c r="C55" s="162"/>
      <c r="D55" s="162"/>
      <c r="E55" s="162"/>
      <c r="F55" s="162"/>
      <c r="G55" s="162"/>
      <c r="H55" s="162"/>
      <c r="I55" s="162"/>
      <c r="J55" s="162"/>
      <c r="K55" s="162"/>
      <c r="L55" s="162"/>
      <c r="M55" s="162">
        <v>1</v>
      </c>
      <c r="N55" s="162"/>
      <c r="O55" s="162"/>
      <c r="P55" s="162"/>
      <c r="Q55" s="162">
        <v>1</v>
      </c>
      <c r="R55" s="162"/>
      <c r="S55" s="162"/>
      <c r="T55" s="162"/>
      <c r="U55" s="162"/>
      <c r="V55" s="162"/>
      <c r="W55" s="162"/>
      <c r="X55" s="162"/>
      <c r="Y55" s="162"/>
      <c r="Z55" s="162"/>
      <c r="AA55" s="162"/>
      <c r="AB55" s="162">
        <v>1</v>
      </c>
      <c r="AC55" s="162"/>
      <c r="AD55" s="162"/>
      <c r="AE55" s="162"/>
      <c r="AF55" s="161"/>
      <c r="AG55" s="64">
        <f t="shared" si="2"/>
        <v>3</v>
      </c>
    </row>
    <row r="56" spans="1:33" ht="18.75" x14ac:dyDescent="0.25">
      <c r="A56" s="301" t="s">
        <v>142</v>
      </c>
      <c r="B56" s="249"/>
      <c r="C56" s="162"/>
      <c r="D56" s="162"/>
      <c r="E56" s="162"/>
      <c r="F56" s="162"/>
      <c r="G56" s="162"/>
      <c r="H56" s="162"/>
      <c r="I56" s="162"/>
      <c r="J56" s="162"/>
      <c r="K56" s="162"/>
      <c r="L56" s="162"/>
      <c r="M56" s="162"/>
      <c r="N56" s="162">
        <v>1</v>
      </c>
      <c r="O56" s="162"/>
      <c r="P56" s="162"/>
      <c r="Q56" s="162"/>
      <c r="R56" s="162">
        <v>1</v>
      </c>
      <c r="S56" s="162"/>
      <c r="T56" s="162"/>
      <c r="U56" s="162">
        <v>1</v>
      </c>
      <c r="V56" s="162"/>
      <c r="W56" s="162"/>
      <c r="X56" s="162"/>
      <c r="Y56" s="162"/>
      <c r="Z56" s="162">
        <v>1</v>
      </c>
      <c r="AA56" s="162"/>
      <c r="AB56" s="162"/>
      <c r="AC56" s="162"/>
      <c r="AD56" s="162"/>
      <c r="AE56" s="162"/>
      <c r="AF56" s="161"/>
      <c r="AG56" s="64">
        <f t="shared" si="2"/>
        <v>4</v>
      </c>
    </row>
    <row r="57" spans="1:33" ht="18.75" x14ac:dyDescent="0.25">
      <c r="A57" s="301" t="s">
        <v>141</v>
      </c>
      <c r="B57" s="249"/>
      <c r="C57" s="162"/>
      <c r="D57" s="162">
        <v>1</v>
      </c>
      <c r="E57" s="162"/>
      <c r="F57" s="162"/>
      <c r="G57" s="162"/>
      <c r="H57" s="162"/>
      <c r="I57" s="162"/>
      <c r="J57" s="162"/>
      <c r="K57" s="162"/>
      <c r="L57" s="162">
        <v>1</v>
      </c>
      <c r="M57" s="162"/>
      <c r="N57" s="162"/>
      <c r="O57" s="162"/>
      <c r="P57" s="162"/>
      <c r="Q57" s="162">
        <v>3</v>
      </c>
      <c r="R57" s="162"/>
      <c r="S57" s="162">
        <v>1</v>
      </c>
      <c r="T57" s="162"/>
      <c r="U57" s="162"/>
      <c r="V57" s="162"/>
      <c r="W57" s="162"/>
      <c r="X57" s="162"/>
      <c r="Y57" s="162"/>
      <c r="Z57" s="162"/>
      <c r="AA57" s="162"/>
      <c r="AB57" s="162"/>
      <c r="AC57" s="162"/>
      <c r="AD57" s="162"/>
      <c r="AE57" s="162"/>
      <c r="AF57" s="161"/>
      <c r="AG57" s="64">
        <f t="shared" si="2"/>
        <v>6</v>
      </c>
    </row>
    <row r="58" spans="1:33" ht="18.75" x14ac:dyDescent="0.25">
      <c r="A58" s="301" t="s">
        <v>140</v>
      </c>
      <c r="B58" s="249"/>
      <c r="C58" s="162"/>
      <c r="D58" s="162"/>
      <c r="E58" s="162"/>
      <c r="F58" s="162"/>
      <c r="G58" s="162"/>
      <c r="H58" s="162"/>
      <c r="I58" s="162"/>
      <c r="J58" s="162"/>
      <c r="K58" s="162"/>
      <c r="L58" s="162"/>
      <c r="M58" s="162">
        <v>1</v>
      </c>
      <c r="N58" s="162">
        <v>1</v>
      </c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Y58" s="162"/>
      <c r="Z58" s="162"/>
      <c r="AA58" s="162"/>
      <c r="AB58" s="162"/>
      <c r="AC58" s="162">
        <v>1</v>
      </c>
      <c r="AD58" s="162"/>
      <c r="AE58" s="162"/>
      <c r="AF58" s="161"/>
      <c r="AG58" s="64">
        <f t="shared" si="2"/>
        <v>3</v>
      </c>
    </row>
    <row r="59" spans="1:33" ht="18.75" x14ac:dyDescent="0.25">
      <c r="A59" s="301" t="s">
        <v>139</v>
      </c>
      <c r="B59" s="249"/>
      <c r="C59" s="162"/>
      <c r="D59" s="162">
        <v>2</v>
      </c>
      <c r="E59" s="162"/>
      <c r="F59" s="162">
        <v>1</v>
      </c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Y59" s="162"/>
      <c r="Z59" s="162"/>
      <c r="AA59" s="162"/>
      <c r="AB59" s="162"/>
      <c r="AC59" s="162"/>
      <c r="AD59" s="162"/>
      <c r="AE59" s="162"/>
      <c r="AF59" s="161"/>
      <c r="AG59" s="64">
        <f t="shared" si="2"/>
        <v>3</v>
      </c>
    </row>
    <row r="60" spans="1:33" ht="18.75" x14ac:dyDescent="0.25">
      <c r="A60" s="301" t="s">
        <v>138</v>
      </c>
      <c r="B60" s="249"/>
      <c r="C60" s="162"/>
      <c r="D60" s="162"/>
      <c r="E60" s="162"/>
      <c r="F60" s="162"/>
      <c r="G60" s="162"/>
      <c r="H60" s="162"/>
      <c r="I60" s="162"/>
      <c r="J60" s="162"/>
      <c r="K60" s="162"/>
      <c r="L60" s="162"/>
      <c r="M60" s="162"/>
      <c r="N60" s="162"/>
      <c r="O60" s="162"/>
      <c r="P60" s="162"/>
      <c r="Q60" s="162"/>
      <c r="R60" s="162"/>
      <c r="S60" s="162"/>
      <c r="T60" s="162">
        <v>1</v>
      </c>
      <c r="U60" s="162"/>
      <c r="V60" s="162"/>
      <c r="W60" s="162"/>
      <c r="X60" s="162"/>
      <c r="Y60" s="162">
        <v>4</v>
      </c>
      <c r="Z60" s="162"/>
      <c r="AA60" s="162"/>
      <c r="AB60" s="162"/>
      <c r="AC60" s="162"/>
      <c r="AD60" s="162"/>
      <c r="AE60" s="162"/>
      <c r="AF60" s="161"/>
      <c r="AG60" s="64">
        <f t="shared" si="2"/>
        <v>5</v>
      </c>
    </row>
    <row r="61" spans="1:33" ht="18.75" x14ac:dyDescent="0.25">
      <c r="A61" s="301" t="s">
        <v>137</v>
      </c>
      <c r="B61" s="249"/>
      <c r="C61" s="162"/>
      <c r="D61" s="162"/>
      <c r="E61" s="162"/>
      <c r="F61" s="162"/>
      <c r="G61" s="162"/>
      <c r="H61" s="162"/>
      <c r="I61" s="162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Y61" s="162">
        <v>2</v>
      </c>
      <c r="Z61" s="162"/>
      <c r="AA61" s="162">
        <v>1</v>
      </c>
      <c r="AB61" s="162"/>
      <c r="AC61" s="162"/>
      <c r="AD61" s="162"/>
      <c r="AE61" s="162"/>
      <c r="AF61" s="161">
        <v>1</v>
      </c>
      <c r="AG61" s="64">
        <f t="shared" si="2"/>
        <v>4</v>
      </c>
    </row>
    <row r="62" spans="1:33" ht="18.75" x14ac:dyDescent="0.25">
      <c r="A62" s="301" t="s">
        <v>136</v>
      </c>
      <c r="B62" s="249"/>
      <c r="C62" s="162"/>
      <c r="D62" s="162"/>
      <c r="E62" s="162">
        <v>1</v>
      </c>
      <c r="F62" s="162"/>
      <c r="G62" s="162"/>
      <c r="H62" s="162"/>
      <c r="I62" s="162"/>
      <c r="J62" s="162"/>
      <c r="K62" s="162"/>
      <c r="L62" s="162"/>
      <c r="M62" s="162"/>
      <c r="N62" s="162"/>
      <c r="O62" s="162"/>
      <c r="P62" s="162"/>
      <c r="Q62" s="162"/>
      <c r="R62" s="162">
        <v>2</v>
      </c>
      <c r="S62" s="162"/>
      <c r="T62" s="162"/>
      <c r="U62" s="162"/>
      <c r="V62" s="162"/>
      <c r="W62" s="162">
        <v>1</v>
      </c>
      <c r="X62" s="162"/>
      <c r="Y62" s="162"/>
      <c r="Z62" s="162"/>
      <c r="AA62" s="162"/>
      <c r="AB62" s="162"/>
      <c r="AC62" s="162"/>
      <c r="AD62" s="162"/>
      <c r="AE62" s="162"/>
      <c r="AF62" s="161"/>
      <c r="AG62" s="64">
        <f t="shared" si="2"/>
        <v>4</v>
      </c>
    </row>
    <row r="63" spans="1:33" ht="18.75" x14ac:dyDescent="0.25">
      <c r="A63" s="301" t="s">
        <v>135</v>
      </c>
      <c r="B63" s="249"/>
      <c r="C63" s="162"/>
      <c r="D63" s="162"/>
      <c r="E63" s="162"/>
      <c r="F63" s="162">
        <v>1</v>
      </c>
      <c r="G63" s="162">
        <v>1</v>
      </c>
      <c r="H63" s="162"/>
      <c r="I63" s="162"/>
      <c r="J63" s="162">
        <v>1</v>
      </c>
      <c r="K63" s="162"/>
      <c r="L63" s="162"/>
      <c r="M63" s="162"/>
      <c r="N63" s="162">
        <v>1</v>
      </c>
      <c r="O63" s="162"/>
      <c r="P63" s="162">
        <v>1</v>
      </c>
      <c r="Q63" s="162"/>
      <c r="R63" s="162">
        <v>1</v>
      </c>
      <c r="S63" s="162"/>
      <c r="T63" s="162"/>
      <c r="U63" s="162">
        <v>1</v>
      </c>
      <c r="V63" s="162"/>
      <c r="W63" s="162"/>
      <c r="X63" s="162">
        <v>1</v>
      </c>
      <c r="Y63" s="162"/>
      <c r="Z63" s="162"/>
      <c r="AA63" s="162">
        <v>1</v>
      </c>
      <c r="AB63" s="162">
        <v>2</v>
      </c>
      <c r="AC63" s="162"/>
      <c r="AD63" s="162"/>
      <c r="AE63" s="162">
        <v>1</v>
      </c>
      <c r="AF63" s="161"/>
      <c r="AG63" s="64">
        <f t="shared" si="2"/>
        <v>12</v>
      </c>
    </row>
    <row r="64" spans="1:33" ht="18.75" x14ac:dyDescent="0.25">
      <c r="A64" s="301" t="s">
        <v>134</v>
      </c>
      <c r="B64" s="249"/>
      <c r="C64" s="162">
        <v>2</v>
      </c>
      <c r="D64" s="162"/>
      <c r="E64" s="162"/>
      <c r="F64" s="162">
        <v>1</v>
      </c>
      <c r="G64" s="162"/>
      <c r="H64" s="162">
        <v>1</v>
      </c>
      <c r="I64" s="162"/>
      <c r="J64" s="162"/>
      <c r="K64" s="162">
        <v>1</v>
      </c>
      <c r="L64" s="162"/>
      <c r="M64" s="162"/>
      <c r="N64" s="162">
        <v>1</v>
      </c>
      <c r="O64" s="162"/>
      <c r="P64" s="162"/>
      <c r="Q64" s="162"/>
      <c r="R64" s="162"/>
      <c r="S64" s="162"/>
      <c r="T64" s="162">
        <v>1</v>
      </c>
      <c r="U64" s="162"/>
      <c r="V64" s="162">
        <v>1</v>
      </c>
      <c r="W64" s="162">
        <v>4</v>
      </c>
      <c r="X64" s="162"/>
      <c r="Y64" s="162">
        <v>2</v>
      </c>
      <c r="Z64" s="162"/>
      <c r="AA64" s="162"/>
      <c r="AB64" s="162">
        <v>1</v>
      </c>
      <c r="AC64" s="162">
        <v>2</v>
      </c>
      <c r="AD64" s="162"/>
      <c r="AE64" s="162">
        <v>1</v>
      </c>
      <c r="AF64" s="161"/>
      <c r="AG64" s="64">
        <f t="shared" si="2"/>
        <v>18</v>
      </c>
    </row>
    <row r="65" spans="1:33" ht="18.75" x14ac:dyDescent="0.25">
      <c r="A65" s="301" t="s">
        <v>133</v>
      </c>
      <c r="B65" s="249">
        <v>3</v>
      </c>
      <c r="C65" s="162">
        <v>2</v>
      </c>
      <c r="D65" s="162"/>
      <c r="E65" s="162">
        <v>1</v>
      </c>
      <c r="F65" s="162">
        <v>5</v>
      </c>
      <c r="G65" s="162">
        <v>2</v>
      </c>
      <c r="H65" s="162"/>
      <c r="I65" s="162"/>
      <c r="J65" s="162">
        <v>4</v>
      </c>
      <c r="K65" s="162"/>
      <c r="L65" s="162"/>
      <c r="M65" s="162"/>
      <c r="N65" s="162"/>
      <c r="O65" s="162"/>
      <c r="P65" s="162">
        <v>1</v>
      </c>
      <c r="Q65" s="162"/>
      <c r="R65" s="162"/>
      <c r="S65" s="162">
        <v>2</v>
      </c>
      <c r="T65" s="162">
        <v>3</v>
      </c>
      <c r="U65" s="162">
        <v>2</v>
      </c>
      <c r="V65" s="162">
        <v>2</v>
      </c>
      <c r="W65" s="162">
        <v>2</v>
      </c>
      <c r="X65" s="162"/>
      <c r="Y65" s="162"/>
      <c r="Z65" s="162"/>
      <c r="AA65" s="162">
        <v>3</v>
      </c>
      <c r="AB65" s="162">
        <v>4</v>
      </c>
      <c r="AC65" s="162">
        <v>2</v>
      </c>
      <c r="AD65" s="162">
        <v>2</v>
      </c>
      <c r="AE65" s="162">
        <v>3</v>
      </c>
      <c r="AF65" s="161">
        <v>1</v>
      </c>
      <c r="AG65" s="64">
        <f t="shared" si="2"/>
        <v>44</v>
      </c>
    </row>
    <row r="66" spans="1:33" ht="18.75" x14ac:dyDescent="0.25">
      <c r="A66" s="301" t="s">
        <v>132</v>
      </c>
      <c r="B66" s="249"/>
      <c r="C66" s="162">
        <v>1</v>
      </c>
      <c r="D66" s="162"/>
      <c r="E66" s="162"/>
      <c r="F66" s="162"/>
      <c r="G66" s="162">
        <v>1</v>
      </c>
      <c r="H66" s="162">
        <v>2</v>
      </c>
      <c r="I66" s="162"/>
      <c r="J66" s="162"/>
      <c r="K66" s="162"/>
      <c r="L66" s="162"/>
      <c r="M66" s="162">
        <v>7</v>
      </c>
      <c r="N66" s="162">
        <v>1</v>
      </c>
      <c r="O66" s="162">
        <v>1</v>
      </c>
      <c r="P66" s="162">
        <v>1</v>
      </c>
      <c r="Q66" s="162"/>
      <c r="R66" s="162"/>
      <c r="S66" s="162"/>
      <c r="T66" s="162"/>
      <c r="U66" s="162">
        <v>3</v>
      </c>
      <c r="V66" s="162">
        <v>1</v>
      </c>
      <c r="W66" s="162">
        <v>1</v>
      </c>
      <c r="X66" s="162">
        <v>1</v>
      </c>
      <c r="Y66" s="162"/>
      <c r="Z66" s="162"/>
      <c r="AA66" s="162"/>
      <c r="AB66" s="162">
        <v>7</v>
      </c>
      <c r="AC66" s="162"/>
      <c r="AD66" s="162"/>
      <c r="AE66" s="162"/>
      <c r="AF66" s="161"/>
      <c r="AG66" s="64">
        <f t="shared" si="2"/>
        <v>27</v>
      </c>
    </row>
    <row r="67" spans="1:33" ht="18.75" x14ac:dyDescent="0.25">
      <c r="A67" s="301" t="s">
        <v>131</v>
      </c>
      <c r="B67" s="249"/>
      <c r="C67" s="162">
        <v>1</v>
      </c>
      <c r="D67" s="162"/>
      <c r="E67" s="162"/>
      <c r="F67" s="162"/>
      <c r="G67" s="162">
        <v>1</v>
      </c>
      <c r="H67" s="162">
        <v>1</v>
      </c>
      <c r="I67" s="162"/>
      <c r="J67" s="162"/>
      <c r="K67" s="162"/>
      <c r="L67" s="162"/>
      <c r="M67" s="162">
        <v>1</v>
      </c>
      <c r="N67" s="162"/>
      <c r="O67" s="162"/>
      <c r="P67" s="162"/>
      <c r="Q67" s="162"/>
      <c r="R67" s="162"/>
      <c r="S67" s="162"/>
      <c r="T67" s="162">
        <v>2</v>
      </c>
      <c r="U67" s="162">
        <v>2</v>
      </c>
      <c r="V67" s="162">
        <v>1</v>
      </c>
      <c r="W67" s="162"/>
      <c r="X67" s="162"/>
      <c r="Y67" s="162"/>
      <c r="Z67" s="162"/>
      <c r="AA67" s="162"/>
      <c r="AB67" s="162"/>
      <c r="AC67" s="162"/>
      <c r="AD67" s="162"/>
      <c r="AE67" s="162"/>
      <c r="AF67" s="161"/>
      <c r="AG67" s="64">
        <f t="shared" ref="AG67:AG98" si="5">SUM(B67:AF67)</f>
        <v>9</v>
      </c>
    </row>
    <row r="68" spans="1:33" ht="18.75" x14ac:dyDescent="0.25">
      <c r="A68" s="301" t="s">
        <v>130</v>
      </c>
      <c r="B68" s="249">
        <v>1</v>
      </c>
      <c r="C68" s="162"/>
      <c r="D68" s="162"/>
      <c r="E68" s="162"/>
      <c r="F68" s="162"/>
      <c r="G68" s="162"/>
      <c r="H68" s="162"/>
      <c r="I68" s="162"/>
      <c r="J68" s="162"/>
      <c r="K68" s="162"/>
      <c r="L68" s="162"/>
      <c r="M68" s="162"/>
      <c r="N68" s="162"/>
      <c r="O68" s="162"/>
      <c r="P68" s="162">
        <v>1</v>
      </c>
      <c r="Q68" s="162"/>
      <c r="R68" s="162"/>
      <c r="S68" s="162"/>
      <c r="T68" s="162">
        <v>1</v>
      </c>
      <c r="U68" s="162"/>
      <c r="V68" s="162"/>
      <c r="W68" s="162">
        <v>1</v>
      </c>
      <c r="X68" s="162">
        <v>1</v>
      </c>
      <c r="Y68" s="162"/>
      <c r="Z68" s="162"/>
      <c r="AA68" s="162"/>
      <c r="AB68" s="162"/>
      <c r="AC68" s="162"/>
      <c r="AD68" s="162"/>
      <c r="AE68" s="162"/>
      <c r="AF68" s="161"/>
      <c r="AG68" s="64">
        <f t="shared" si="5"/>
        <v>5</v>
      </c>
    </row>
    <row r="69" spans="1:33" ht="18.75" x14ac:dyDescent="0.25">
      <c r="A69" s="301" t="s">
        <v>129</v>
      </c>
      <c r="B69" s="249"/>
      <c r="C69" s="162"/>
      <c r="D69" s="162"/>
      <c r="E69" s="162"/>
      <c r="F69" s="162"/>
      <c r="G69" s="162"/>
      <c r="H69" s="162"/>
      <c r="I69" s="162"/>
      <c r="J69" s="162"/>
      <c r="K69" s="162">
        <v>1</v>
      </c>
      <c r="L69" s="162"/>
      <c r="M69" s="162"/>
      <c r="N69" s="162"/>
      <c r="O69" s="162"/>
      <c r="P69" s="162"/>
      <c r="Q69" s="162"/>
      <c r="R69" s="162"/>
      <c r="S69" s="162"/>
      <c r="T69" s="162"/>
      <c r="U69" s="162">
        <v>2</v>
      </c>
      <c r="V69" s="162">
        <v>1</v>
      </c>
      <c r="W69" s="162"/>
      <c r="X69" s="162"/>
      <c r="Y69" s="162"/>
      <c r="Z69" s="162"/>
      <c r="AA69" s="162"/>
      <c r="AB69" s="162"/>
      <c r="AC69" s="162"/>
      <c r="AD69" s="162"/>
      <c r="AE69" s="162"/>
      <c r="AF69" s="161"/>
      <c r="AG69" s="64">
        <f t="shared" si="5"/>
        <v>4</v>
      </c>
    </row>
    <row r="70" spans="1:33" ht="18.75" x14ac:dyDescent="0.25">
      <c r="A70" s="301" t="s">
        <v>128</v>
      </c>
      <c r="B70" s="248"/>
      <c r="C70" s="199"/>
      <c r="D70" s="162"/>
      <c r="E70" s="199"/>
      <c r="F70" s="199"/>
      <c r="G70" s="162"/>
      <c r="H70" s="199">
        <v>1</v>
      </c>
      <c r="I70" s="162"/>
      <c r="J70" s="199"/>
      <c r="K70" s="199"/>
      <c r="L70" s="199"/>
      <c r="M70" s="199"/>
      <c r="N70" s="199"/>
      <c r="O70" s="199"/>
      <c r="P70" s="199"/>
      <c r="Q70" s="199">
        <v>1</v>
      </c>
      <c r="R70" s="199"/>
      <c r="S70" s="199"/>
      <c r="T70" s="199"/>
      <c r="U70" s="199"/>
      <c r="V70" s="199"/>
      <c r="W70" s="199"/>
      <c r="X70" s="199"/>
      <c r="Y70" s="199"/>
      <c r="Z70" s="199"/>
      <c r="AA70" s="199"/>
      <c r="AB70" s="199"/>
      <c r="AC70" s="199"/>
      <c r="AD70" s="199"/>
      <c r="AE70" s="199"/>
      <c r="AF70" s="206"/>
      <c r="AG70" s="64">
        <f t="shared" si="5"/>
        <v>2</v>
      </c>
    </row>
    <row r="71" spans="1:33" ht="18.75" x14ac:dyDescent="0.25">
      <c r="A71" s="301" t="s">
        <v>127</v>
      </c>
      <c r="B71" s="248"/>
      <c r="C71" s="199"/>
      <c r="D71" s="162"/>
      <c r="E71" s="199"/>
      <c r="F71" s="199"/>
      <c r="G71" s="162"/>
      <c r="H71" s="199">
        <v>1</v>
      </c>
      <c r="I71" s="162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9"/>
      <c r="X71" s="199"/>
      <c r="Y71" s="199"/>
      <c r="Z71" s="199"/>
      <c r="AA71" s="199"/>
      <c r="AB71" s="199"/>
      <c r="AC71" s="199"/>
      <c r="AD71" s="199"/>
      <c r="AE71" s="199"/>
      <c r="AF71" s="206"/>
      <c r="AG71" s="64">
        <f t="shared" si="5"/>
        <v>1</v>
      </c>
    </row>
    <row r="72" spans="1:33" ht="18.75" x14ac:dyDescent="0.25">
      <c r="A72" s="301" t="s">
        <v>126</v>
      </c>
      <c r="B72" s="248"/>
      <c r="C72" s="199"/>
      <c r="D72" s="162"/>
      <c r="E72" s="199"/>
      <c r="F72" s="199"/>
      <c r="G72" s="162"/>
      <c r="H72" s="199"/>
      <c r="I72" s="162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199"/>
      <c r="X72" s="199"/>
      <c r="Y72" s="199"/>
      <c r="Z72" s="199"/>
      <c r="AA72" s="199"/>
      <c r="AB72" s="199"/>
      <c r="AC72" s="199"/>
      <c r="AD72" s="199"/>
      <c r="AE72" s="199"/>
      <c r="AF72" s="206"/>
      <c r="AG72" s="64">
        <f t="shared" si="5"/>
        <v>0</v>
      </c>
    </row>
    <row r="73" spans="1:33" ht="18.75" x14ac:dyDescent="0.25">
      <c r="A73" s="301" t="s">
        <v>125</v>
      </c>
      <c r="B73" s="248"/>
      <c r="C73" s="199"/>
      <c r="D73" s="162"/>
      <c r="E73" s="199"/>
      <c r="F73" s="199"/>
      <c r="G73" s="162"/>
      <c r="H73" s="199">
        <v>1</v>
      </c>
      <c r="I73" s="162"/>
      <c r="J73" s="199"/>
      <c r="K73" s="199"/>
      <c r="L73" s="199"/>
      <c r="M73" s="199"/>
      <c r="N73" s="199"/>
      <c r="O73" s="199"/>
      <c r="P73" s="199"/>
      <c r="Q73" s="199"/>
      <c r="R73" s="199"/>
      <c r="S73" s="199"/>
      <c r="T73" s="199"/>
      <c r="U73" s="199"/>
      <c r="V73" s="199"/>
      <c r="W73" s="199"/>
      <c r="X73" s="199"/>
      <c r="Y73" s="199"/>
      <c r="Z73" s="199"/>
      <c r="AA73" s="199"/>
      <c r="AB73" s="199"/>
      <c r="AC73" s="199"/>
      <c r="AD73" s="199"/>
      <c r="AE73" s="199"/>
      <c r="AF73" s="206"/>
      <c r="AG73" s="64">
        <f t="shared" si="5"/>
        <v>1</v>
      </c>
    </row>
    <row r="74" spans="1:33" ht="18.75" x14ac:dyDescent="0.25">
      <c r="A74" s="301" t="s">
        <v>124</v>
      </c>
      <c r="B74" s="248"/>
      <c r="C74" s="199"/>
      <c r="D74" s="162"/>
      <c r="E74" s="199"/>
      <c r="F74" s="199"/>
      <c r="G74" s="162"/>
      <c r="H74" s="199"/>
      <c r="I74" s="162"/>
      <c r="J74" s="199"/>
      <c r="K74" s="199"/>
      <c r="L74" s="199"/>
      <c r="M74" s="199"/>
      <c r="N74" s="199"/>
      <c r="O74" s="199"/>
      <c r="P74" s="199"/>
      <c r="Q74" s="199"/>
      <c r="R74" s="199"/>
      <c r="S74" s="199"/>
      <c r="T74" s="199"/>
      <c r="U74" s="199"/>
      <c r="V74" s="199"/>
      <c r="W74" s="199"/>
      <c r="X74" s="199"/>
      <c r="Y74" s="199"/>
      <c r="Z74" s="199"/>
      <c r="AA74" s="199"/>
      <c r="AB74" s="199"/>
      <c r="AC74" s="199"/>
      <c r="AD74" s="199"/>
      <c r="AE74" s="199"/>
      <c r="AF74" s="206"/>
      <c r="AG74" s="64">
        <f t="shared" si="5"/>
        <v>0</v>
      </c>
    </row>
    <row r="75" spans="1:33" ht="18.75" x14ac:dyDescent="0.25">
      <c r="A75" s="301" t="s">
        <v>123</v>
      </c>
      <c r="B75" s="248"/>
      <c r="C75" s="199"/>
      <c r="D75" s="162"/>
      <c r="E75" s="199"/>
      <c r="F75" s="199"/>
      <c r="G75" s="162"/>
      <c r="H75" s="199"/>
      <c r="I75" s="162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9"/>
      <c r="Y75" s="199"/>
      <c r="Z75" s="199"/>
      <c r="AA75" s="199"/>
      <c r="AB75" s="199"/>
      <c r="AC75" s="199"/>
      <c r="AD75" s="199"/>
      <c r="AE75" s="199"/>
      <c r="AF75" s="206"/>
      <c r="AG75" s="64">
        <f t="shared" si="5"/>
        <v>0</v>
      </c>
    </row>
    <row r="76" spans="1:33" ht="18.75" x14ac:dyDescent="0.25">
      <c r="A76" s="301" t="s">
        <v>122</v>
      </c>
      <c r="B76" s="248"/>
      <c r="C76" s="199"/>
      <c r="D76" s="162"/>
      <c r="E76" s="199"/>
      <c r="F76" s="199"/>
      <c r="G76" s="162"/>
      <c r="H76" s="199"/>
      <c r="I76" s="162"/>
      <c r="J76" s="199"/>
      <c r="K76" s="199"/>
      <c r="L76" s="199"/>
      <c r="M76" s="199"/>
      <c r="N76" s="199"/>
      <c r="O76" s="199"/>
      <c r="P76" s="199"/>
      <c r="Q76" s="199"/>
      <c r="R76" s="199"/>
      <c r="S76" s="199"/>
      <c r="T76" s="199"/>
      <c r="U76" s="199"/>
      <c r="V76" s="199"/>
      <c r="W76" s="199"/>
      <c r="X76" s="199"/>
      <c r="Y76" s="199"/>
      <c r="Z76" s="199"/>
      <c r="AA76" s="199"/>
      <c r="AB76" s="199"/>
      <c r="AC76" s="199"/>
      <c r="AD76" s="199"/>
      <c r="AE76" s="199"/>
      <c r="AF76" s="206"/>
      <c r="AG76" s="64">
        <f t="shared" si="5"/>
        <v>0</v>
      </c>
    </row>
    <row r="77" spans="1:33" ht="19.5" thickBot="1" x14ac:dyDescent="0.3">
      <c r="A77" s="305" t="s">
        <v>121</v>
      </c>
      <c r="B77" s="253"/>
      <c r="C77" s="184"/>
      <c r="D77" s="181"/>
      <c r="E77" s="184"/>
      <c r="F77" s="184"/>
      <c r="G77" s="181"/>
      <c r="H77" s="184"/>
      <c r="I77" s="181"/>
      <c r="J77" s="184"/>
      <c r="K77" s="184"/>
      <c r="L77" s="184"/>
      <c r="M77" s="184"/>
      <c r="N77" s="184"/>
      <c r="O77" s="184"/>
      <c r="P77" s="184"/>
      <c r="Q77" s="184"/>
      <c r="R77" s="184"/>
      <c r="S77" s="184"/>
      <c r="T77" s="184"/>
      <c r="U77" s="184"/>
      <c r="V77" s="184"/>
      <c r="W77" s="184"/>
      <c r="X77" s="184"/>
      <c r="Y77" s="184"/>
      <c r="Z77" s="184"/>
      <c r="AA77" s="184"/>
      <c r="AB77" s="184"/>
      <c r="AC77" s="184"/>
      <c r="AD77" s="184"/>
      <c r="AE77" s="184"/>
      <c r="AF77" s="183">
        <v>1</v>
      </c>
      <c r="AG77" s="160">
        <f t="shared" si="5"/>
        <v>1</v>
      </c>
    </row>
    <row r="78" spans="1:33" ht="19.5" hidden="1" customHeight="1" thickBot="1" x14ac:dyDescent="0.3">
      <c r="A78" s="306" t="s">
        <v>120</v>
      </c>
      <c r="B78" s="254">
        <f t="shared" ref="B78:AF78" si="6">SUM(B79:B80)</f>
        <v>129</v>
      </c>
      <c r="C78" s="204">
        <f t="shared" si="6"/>
        <v>110</v>
      </c>
      <c r="D78" s="204">
        <f t="shared" si="6"/>
        <v>178</v>
      </c>
      <c r="E78" s="201">
        <f t="shared" si="6"/>
        <v>122</v>
      </c>
      <c r="F78" s="201">
        <f t="shared" si="6"/>
        <v>139</v>
      </c>
      <c r="G78" s="201">
        <f t="shared" si="6"/>
        <v>146</v>
      </c>
      <c r="H78" s="201">
        <f t="shared" si="6"/>
        <v>147</v>
      </c>
      <c r="I78" s="201">
        <f t="shared" si="6"/>
        <v>126</v>
      </c>
      <c r="J78" s="201">
        <f t="shared" si="6"/>
        <v>98</v>
      </c>
      <c r="K78" s="201">
        <f t="shared" si="6"/>
        <v>119</v>
      </c>
      <c r="L78" s="201">
        <f t="shared" si="6"/>
        <v>121</v>
      </c>
      <c r="M78" s="201">
        <f t="shared" si="6"/>
        <v>127</v>
      </c>
      <c r="N78" s="201">
        <f t="shared" si="6"/>
        <v>117</v>
      </c>
      <c r="O78" s="201">
        <f t="shared" si="6"/>
        <v>121</v>
      </c>
      <c r="P78" s="201">
        <f t="shared" si="6"/>
        <v>134</v>
      </c>
      <c r="Q78" s="201">
        <f t="shared" si="6"/>
        <v>161</v>
      </c>
      <c r="R78" s="201">
        <f t="shared" si="6"/>
        <v>185</v>
      </c>
      <c r="S78" s="201">
        <f t="shared" si="6"/>
        <v>172</v>
      </c>
      <c r="T78" s="201">
        <f t="shared" si="6"/>
        <v>177</v>
      </c>
      <c r="U78" s="201">
        <f t="shared" si="6"/>
        <v>165</v>
      </c>
      <c r="V78" s="201">
        <f t="shared" si="6"/>
        <v>154</v>
      </c>
      <c r="W78" s="201">
        <f t="shared" si="6"/>
        <v>150</v>
      </c>
      <c r="X78" s="201">
        <f t="shared" si="6"/>
        <v>160</v>
      </c>
      <c r="Y78" s="201">
        <f t="shared" si="6"/>
        <v>145</v>
      </c>
      <c r="Z78" s="201">
        <f t="shared" si="6"/>
        <v>152</v>
      </c>
      <c r="AA78" s="201">
        <f t="shared" si="6"/>
        <v>166</v>
      </c>
      <c r="AB78" s="201">
        <f t="shared" si="6"/>
        <v>171</v>
      </c>
      <c r="AC78" s="201">
        <f t="shared" si="6"/>
        <v>156</v>
      </c>
      <c r="AD78" s="201">
        <f t="shared" si="6"/>
        <v>147</v>
      </c>
      <c r="AE78" s="201">
        <f t="shared" si="6"/>
        <v>122</v>
      </c>
      <c r="AF78" s="203">
        <f t="shared" si="6"/>
        <v>160</v>
      </c>
      <c r="AG78" s="157">
        <f t="shared" si="5"/>
        <v>4477</v>
      </c>
    </row>
    <row r="79" spans="1:33" ht="19.5" hidden="1" customHeight="1" thickBot="1" x14ac:dyDescent="0.3">
      <c r="A79" s="307" t="s">
        <v>118</v>
      </c>
      <c r="B79" s="248">
        <f t="shared" ref="B79:AF79" si="7">SUM(B4:B27)-B80</f>
        <v>129</v>
      </c>
      <c r="C79" s="199">
        <f t="shared" si="7"/>
        <v>110</v>
      </c>
      <c r="D79" s="199">
        <f t="shared" si="7"/>
        <v>178</v>
      </c>
      <c r="E79" s="199">
        <f t="shared" si="7"/>
        <v>122</v>
      </c>
      <c r="F79" s="199">
        <f t="shared" si="7"/>
        <v>93</v>
      </c>
      <c r="G79" s="199">
        <f t="shared" si="7"/>
        <v>105</v>
      </c>
      <c r="H79" s="199">
        <f t="shared" si="7"/>
        <v>108</v>
      </c>
      <c r="I79" s="199">
        <f t="shared" si="7"/>
        <v>126</v>
      </c>
      <c r="J79" s="199">
        <f t="shared" si="7"/>
        <v>98</v>
      </c>
      <c r="K79" s="199">
        <f t="shared" si="7"/>
        <v>119</v>
      </c>
      <c r="L79" s="199">
        <f t="shared" si="7"/>
        <v>121</v>
      </c>
      <c r="M79" s="199">
        <f t="shared" si="7"/>
        <v>100</v>
      </c>
      <c r="N79" s="199">
        <f t="shared" si="7"/>
        <v>89</v>
      </c>
      <c r="O79" s="199">
        <f t="shared" si="7"/>
        <v>92</v>
      </c>
      <c r="P79" s="199">
        <f t="shared" si="7"/>
        <v>134</v>
      </c>
      <c r="Q79" s="199">
        <f t="shared" si="7"/>
        <v>161</v>
      </c>
      <c r="R79" s="199">
        <f t="shared" si="7"/>
        <v>82</v>
      </c>
      <c r="S79" s="199">
        <f t="shared" si="7"/>
        <v>93</v>
      </c>
      <c r="T79" s="199">
        <f t="shared" si="7"/>
        <v>122</v>
      </c>
      <c r="U79" s="199">
        <f t="shared" si="7"/>
        <v>122</v>
      </c>
      <c r="V79" s="199">
        <f t="shared" si="7"/>
        <v>116</v>
      </c>
      <c r="W79" s="199">
        <f t="shared" si="7"/>
        <v>150</v>
      </c>
      <c r="X79" s="199">
        <f t="shared" si="7"/>
        <v>160</v>
      </c>
      <c r="Y79" s="199">
        <f t="shared" si="7"/>
        <v>72</v>
      </c>
      <c r="Z79" s="199">
        <f t="shared" si="7"/>
        <v>152</v>
      </c>
      <c r="AA79" s="199">
        <f t="shared" si="7"/>
        <v>126</v>
      </c>
      <c r="AB79" s="199">
        <f t="shared" si="7"/>
        <v>127</v>
      </c>
      <c r="AC79" s="199">
        <f t="shared" si="7"/>
        <v>118</v>
      </c>
      <c r="AD79" s="199">
        <f t="shared" si="7"/>
        <v>147</v>
      </c>
      <c r="AE79" s="199">
        <f t="shared" si="7"/>
        <v>122</v>
      </c>
      <c r="AF79" s="199">
        <f t="shared" si="7"/>
        <v>69</v>
      </c>
      <c r="AG79" s="134">
        <f t="shared" si="5"/>
        <v>3663</v>
      </c>
    </row>
    <row r="80" spans="1:33" ht="19.5" hidden="1" customHeight="1" thickBot="1" x14ac:dyDescent="0.3">
      <c r="A80" s="308" t="s">
        <v>119</v>
      </c>
      <c r="B80" s="255"/>
      <c r="C80" s="169"/>
      <c r="D80" s="181">
        <v>0</v>
      </c>
      <c r="E80" s="181">
        <v>0</v>
      </c>
      <c r="F80" s="181">
        <f>SUM(F4:F12)</f>
        <v>46</v>
      </c>
      <c r="G80" s="181">
        <f>SUM(G4:G12)</f>
        <v>41</v>
      </c>
      <c r="H80" s="181">
        <f>SUM(H4:H12)</f>
        <v>39</v>
      </c>
      <c r="I80" s="169"/>
      <c r="J80" s="169"/>
      <c r="K80" s="181">
        <v>0</v>
      </c>
      <c r="L80" s="181">
        <v>0</v>
      </c>
      <c r="M80" s="181">
        <f>SUM(M4:M12)</f>
        <v>27</v>
      </c>
      <c r="N80" s="181">
        <f>SUM(N4:N12)</f>
        <v>28</v>
      </c>
      <c r="O80" s="181">
        <f>SUM(O4:O12)</f>
        <v>29</v>
      </c>
      <c r="P80" s="169"/>
      <c r="Q80" s="169"/>
      <c r="R80" s="181">
        <f>SUM(R4:R12)</f>
        <v>103</v>
      </c>
      <c r="S80" s="181">
        <f>SUM(S4:S12)</f>
        <v>79</v>
      </c>
      <c r="T80" s="181">
        <f>SUM(T4:T12)</f>
        <v>55</v>
      </c>
      <c r="U80" s="181">
        <f>SUM(U4:U12)</f>
        <v>43</v>
      </c>
      <c r="V80" s="181">
        <f>SUM(V4:V12)</f>
        <v>38</v>
      </c>
      <c r="W80" s="169"/>
      <c r="X80" s="169"/>
      <c r="Y80" s="181">
        <f>SUM(Y4:Y12)</f>
        <v>73</v>
      </c>
      <c r="Z80" s="169"/>
      <c r="AA80" s="181">
        <f>SUM(AA4:AA12)</f>
        <v>40</v>
      </c>
      <c r="AB80" s="181">
        <f>SUM(AB4:AB12)</f>
        <v>44</v>
      </c>
      <c r="AC80" s="181">
        <f>SUM(AC4:AC12)</f>
        <v>38</v>
      </c>
      <c r="AD80" s="169"/>
      <c r="AE80" s="169"/>
      <c r="AF80" s="181">
        <f>SUM(AF4:AF12)</f>
        <v>91</v>
      </c>
      <c r="AG80" s="160">
        <f t="shared" si="5"/>
        <v>814</v>
      </c>
    </row>
    <row r="81" spans="1:35" ht="19.5" thickBot="1" x14ac:dyDescent="0.3">
      <c r="A81" s="306" t="s">
        <v>84</v>
      </c>
      <c r="B81" s="256">
        <f t="shared" ref="B81:AF81" si="8">SUM(B82:B83)</f>
        <v>4</v>
      </c>
      <c r="C81" s="201">
        <f t="shared" si="8"/>
        <v>6</v>
      </c>
      <c r="D81" s="201">
        <f t="shared" si="8"/>
        <v>3</v>
      </c>
      <c r="E81" s="201">
        <f t="shared" si="8"/>
        <v>2</v>
      </c>
      <c r="F81" s="201">
        <f t="shared" si="8"/>
        <v>9</v>
      </c>
      <c r="G81" s="201">
        <f t="shared" si="8"/>
        <v>5</v>
      </c>
      <c r="H81" s="201">
        <f t="shared" si="8"/>
        <v>7</v>
      </c>
      <c r="I81" s="201">
        <f t="shared" si="8"/>
        <v>0</v>
      </c>
      <c r="J81" s="201">
        <f t="shared" si="8"/>
        <v>5</v>
      </c>
      <c r="K81" s="201">
        <f t="shared" si="8"/>
        <v>2</v>
      </c>
      <c r="L81" s="201">
        <f t="shared" si="8"/>
        <v>1</v>
      </c>
      <c r="M81" s="201">
        <f t="shared" si="8"/>
        <v>10</v>
      </c>
      <c r="N81" s="201">
        <f t="shared" si="8"/>
        <v>5</v>
      </c>
      <c r="O81" s="201">
        <f t="shared" si="8"/>
        <v>1</v>
      </c>
      <c r="P81" s="201">
        <f t="shared" si="8"/>
        <v>4</v>
      </c>
      <c r="Q81" s="201">
        <f t="shared" si="8"/>
        <v>6</v>
      </c>
      <c r="R81" s="201">
        <f t="shared" si="8"/>
        <v>4</v>
      </c>
      <c r="S81" s="201">
        <f t="shared" si="8"/>
        <v>3</v>
      </c>
      <c r="T81" s="201">
        <f t="shared" si="8"/>
        <v>8</v>
      </c>
      <c r="U81" s="201">
        <f t="shared" si="8"/>
        <v>11</v>
      </c>
      <c r="V81" s="201">
        <f t="shared" si="8"/>
        <v>6</v>
      </c>
      <c r="W81" s="201">
        <f t="shared" si="8"/>
        <v>9</v>
      </c>
      <c r="X81" s="201">
        <f t="shared" si="8"/>
        <v>3</v>
      </c>
      <c r="Y81" s="201">
        <f t="shared" si="8"/>
        <v>8</v>
      </c>
      <c r="Z81" s="201">
        <f t="shared" si="8"/>
        <v>1</v>
      </c>
      <c r="AA81" s="201">
        <f t="shared" si="8"/>
        <v>6</v>
      </c>
      <c r="AB81" s="201">
        <f t="shared" si="8"/>
        <v>15</v>
      </c>
      <c r="AC81" s="201">
        <f t="shared" si="8"/>
        <v>5</v>
      </c>
      <c r="AD81" s="201">
        <f t="shared" si="8"/>
        <v>2</v>
      </c>
      <c r="AE81" s="201">
        <f t="shared" si="8"/>
        <v>5</v>
      </c>
      <c r="AF81" s="201">
        <f t="shared" si="8"/>
        <v>3</v>
      </c>
      <c r="AG81" s="157">
        <f t="shared" si="5"/>
        <v>159</v>
      </c>
      <c r="AH81" s="53" t="str">
        <f>IF(AG81&lt;&gt;AG53,"*","")</f>
        <v/>
      </c>
    </row>
    <row r="82" spans="1:35" ht="18.75" x14ac:dyDescent="0.25">
      <c r="A82" s="307" t="s">
        <v>119</v>
      </c>
      <c r="B82" s="248">
        <f t="shared" ref="B82:AE82" si="9">SUM(B54:B62)</f>
        <v>0</v>
      </c>
      <c r="C82" s="199">
        <f t="shared" si="9"/>
        <v>0</v>
      </c>
      <c r="D82" s="218"/>
      <c r="E82" s="218"/>
      <c r="F82" s="199">
        <f t="shared" si="9"/>
        <v>2</v>
      </c>
      <c r="G82" s="199">
        <f t="shared" si="9"/>
        <v>0</v>
      </c>
      <c r="H82" s="199">
        <f t="shared" si="9"/>
        <v>0</v>
      </c>
      <c r="I82" s="199">
        <f t="shared" si="9"/>
        <v>0</v>
      </c>
      <c r="J82" s="199">
        <f t="shared" si="9"/>
        <v>0</v>
      </c>
      <c r="K82" s="218"/>
      <c r="L82" s="218"/>
      <c r="M82" s="199">
        <f t="shared" si="9"/>
        <v>2</v>
      </c>
      <c r="N82" s="199">
        <f t="shared" si="9"/>
        <v>2</v>
      </c>
      <c r="O82" s="199">
        <f t="shared" si="9"/>
        <v>0</v>
      </c>
      <c r="P82" s="199">
        <f t="shared" si="9"/>
        <v>0</v>
      </c>
      <c r="Q82" s="218"/>
      <c r="R82" s="218"/>
      <c r="S82" s="218"/>
      <c r="T82" s="199">
        <f t="shared" si="9"/>
        <v>1</v>
      </c>
      <c r="U82" s="199">
        <f t="shared" si="9"/>
        <v>1</v>
      </c>
      <c r="V82" s="199">
        <f t="shared" si="9"/>
        <v>0</v>
      </c>
      <c r="W82" s="199">
        <f t="shared" si="9"/>
        <v>1</v>
      </c>
      <c r="X82" s="199">
        <f t="shared" si="9"/>
        <v>0</v>
      </c>
      <c r="Y82" s="218"/>
      <c r="Z82" s="218"/>
      <c r="AA82" s="199">
        <f t="shared" si="9"/>
        <v>2</v>
      </c>
      <c r="AB82" s="199">
        <f t="shared" si="9"/>
        <v>1</v>
      </c>
      <c r="AC82" s="199">
        <f t="shared" si="9"/>
        <v>1</v>
      </c>
      <c r="AD82" s="199">
        <f t="shared" si="9"/>
        <v>0</v>
      </c>
      <c r="AE82" s="199">
        <f t="shared" si="9"/>
        <v>0</v>
      </c>
      <c r="AF82" s="218"/>
      <c r="AG82" s="134">
        <f t="shared" si="5"/>
        <v>13</v>
      </c>
    </row>
    <row r="83" spans="1:35" ht="19.5" thickBot="1" x14ac:dyDescent="0.3">
      <c r="A83" s="308" t="s">
        <v>118</v>
      </c>
      <c r="B83" s="252">
        <f t="shared" ref="B83:AF83" si="10">SUM(B54:B77)-B82</f>
        <v>4</v>
      </c>
      <c r="C83" s="181">
        <f t="shared" si="10"/>
        <v>6</v>
      </c>
      <c r="D83" s="181">
        <f t="shared" si="10"/>
        <v>3</v>
      </c>
      <c r="E83" s="181">
        <f t="shared" si="10"/>
        <v>2</v>
      </c>
      <c r="F83" s="181">
        <f t="shared" si="10"/>
        <v>7</v>
      </c>
      <c r="G83" s="181">
        <f t="shared" si="10"/>
        <v>5</v>
      </c>
      <c r="H83" s="181">
        <f t="shared" si="10"/>
        <v>7</v>
      </c>
      <c r="I83" s="181">
        <f t="shared" si="10"/>
        <v>0</v>
      </c>
      <c r="J83" s="181">
        <f t="shared" si="10"/>
        <v>5</v>
      </c>
      <c r="K83" s="181">
        <f t="shared" si="10"/>
        <v>2</v>
      </c>
      <c r="L83" s="181">
        <f t="shared" si="10"/>
        <v>1</v>
      </c>
      <c r="M83" s="181">
        <f t="shared" si="10"/>
        <v>8</v>
      </c>
      <c r="N83" s="181">
        <f t="shared" si="10"/>
        <v>3</v>
      </c>
      <c r="O83" s="181">
        <f t="shared" si="10"/>
        <v>1</v>
      </c>
      <c r="P83" s="181">
        <f t="shared" si="10"/>
        <v>4</v>
      </c>
      <c r="Q83" s="181">
        <f t="shared" si="10"/>
        <v>6</v>
      </c>
      <c r="R83" s="181">
        <f t="shared" si="10"/>
        <v>4</v>
      </c>
      <c r="S83" s="181">
        <f t="shared" si="10"/>
        <v>3</v>
      </c>
      <c r="T83" s="181">
        <f t="shared" si="10"/>
        <v>7</v>
      </c>
      <c r="U83" s="181">
        <f t="shared" si="10"/>
        <v>10</v>
      </c>
      <c r="V83" s="181">
        <f t="shared" si="10"/>
        <v>6</v>
      </c>
      <c r="W83" s="181">
        <f t="shared" si="10"/>
        <v>8</v>
      </c>
      <c r="X83" s="181">
        <f t="shared" si="10"/>
        <v>3</v>
      </c>
      <c r="Y83" s="181">
        <f t="shared" si="10"/>
        <v>8</v>
      </c>
      <c r="Z83" s="181">
        <f t="shared" si="10"/>
        <v>1</v>
      </c>
      <c r="AA83" s="181">
        <f t="shared" si="10"/>
        <v>4</v>
      </c>
      <c r="AB83" s="181">
        <f t="shared" si="10"/>
        <v>14</v>
      </c>
      <c r="AC83" s="181">
        <f t="shared" si="10"/>
        <v>4</v>
      </c>
      <c r="AD83" s="181">
        <f t="shared" si="10"/>
        <v>2</v>
      </c>
      <c r="AE83" s="181">
        <f t="shared" si="10"/>
        <v>5</v>
      </c>
      <c r="AF83" s="181">
        <f t="shared" si="10"/>
        <v>3</v>
      </c>
      <c r="AG83" s="64">
        <f t="shared" si="5"/>
        <v>146</v>
      </c>
    </row>
    <row r="84" spans="1:35" ht="19.5" thickBot="1" x14ac:dyDescent="0.3">
      <c r="A84" s="309" t="s">
        <v>117</v>
      </c>
      <c r="B84" s="257">
        <f t="shared" ref="B84:AF84" si="11">SUM(B85:B86)</f>
        <v>4</v>
      </c>
      <c r="C84" s="158">
        <f t="shared" si="11"/>
        <v>6</v>
      </c>
      <c r="D84" s="158">
        <f t="shared" si="11"/>
        <v>3</v>
      </c>
      <c r="E84" s="158">
        <f t="shared" si="11"/>
        <v>2</v>
      </c>
      <c r="F84" s="158">
        <f t="shared" si="11"/>
        <v>9</v>
      </c>
      <c r="G84" s="158">
        <f t="shared" si="11"/>
        <v>5</v>
      </c>
      <c r="H84" s="158">
        <f t="shared" si="11"/>
        <v>7</v>
      </c>
      <c r="I84" s="158">
        <f t="shared" si="11"/>
        <v>0</v>
      </c>
      <c r="J84" s="158">
        <f t="shared" si="11"/>
        <v>5</v>
      </c>
      <c r="K84" s="158">
        <f t="shared" si="11"/>
        <v>2</v>
      </c>
      <c r="L84" s="158">
        <f t="shared" si="11"/>
        <v>1</v>
      </c>
      <c r="M84" s="158">
        <f t="shared" si="11"/>
        <v>10</v>
      </c>
      <c r="N84" s="158">
        <f t="shared" si="11"/>
        <v>5</v>
      </c>
      <c r="O84" s="158">
        <f t="shared" si="11"/>
        <v>1</v>
      </c>
      <c r="P84" s="158">
        <f t="shared" si="11"/>
        <v>4</v>
      </c>
      <c r="Q84" s="158">
        <f t="shared" si="11"/>
        <v>6</v>
      </c>
      <c r="R84" s="158">
        <f t="shared" si="11"/>
        <v>4</v>
      </c>
      <c r="S84" s="158">
        <f t="shared" si="11"/>
        <v>3</v>
      </c>
      <c r="T84" s="158">
        <f t="shared" si="11"/>
        <v>8</v>
      </c>
      <c r="U84" s="158">
        <f t="shared" si="11"/>
        <v>11</v>
      </c>
      <c r="V84" s="158">
        <f t="shared" si="11"/>
        <v>6</v>
      </c>
      <c r="W84" s="158">
        <f t="shared" si="11"/>
        <v>9</v>
      </c>
      <c r="X84" s="158">
        <f t="shared" si="11"/>
        <v>3</v>
      </c>
      <c r="Y84" s="158">
        <f t="shared" si="11"/>
        <v>8</v>
      </c>
      <c r="Z84" s="158">
        <f t="shared" si="11"/>
        <v>1</v>
      </c>
      <c r="AA84" s="158">
        <f t="shared" si="11"/>
        <v>6</v>
      </c>
      <c r="AB84" s="158">
        <f t="shared" si="11"/>
        <v>15</v>
      </c>
      <c r="AC84" s="158">
        <f t="shared" si="11"/>
        <v>5</v>
      </c>
      <c r="AD84" s="158">
        <f t="shared" si="11"/>
        <v>2</v>
      </c>
      <c r="AE84" s="158">
        <f t="shared" si="11"/>
        <v>5</v>
      </c>
      <c r="AF84" s="158">
        <f t="shared" si="11"/>
        <v>3</v>
      </c>
      <c r="AG84" s="197">
        <f t="shared" si="5"/>
        <v>159</v>
      </c>
      <c r="AH84" s="53" t="str">
        <f>IF(AG84&lt;&gt;AG82+AG83,"*","")</f>
        <v/>
      </c>
      <c r="AI84" s="403" t="s">
        <v>71</v>
      </c>
    </row>
    <row r="85" spans="1:35" ht="18.75" x14ac:dyDescent="0.25">
      <c r="A85" s="310" t="s">
        <v>116</v>
      </c>
      <c r="B85" s="258">
        <v>1</v>
      </c>
      <c r="C85" s="195">
        <v>0</v>
      </c>
      <c r="D85" s="195">
        <v>0</v>
      </c>
      <c r="E85" s="195">
        <v>0</v>
      </c>
      <c r="F85" s="195">
        <v>0</v>
      </c>
      <c r="G85" s="195">
        <v>0</v>
      </c>
      <c r="H85" s="195">
        <v>0</v>
      </c>
      <c r="I85" s="195">
        <v>0</v>
      </c>
      <c r="J85" s="195">
        <v>0</v>
      </c>
      <c r="K85" s="195">
        <v>0</v>
      </c>
      <c r="L85" s="195">
        <v>0</v>
      </c>
      <c r="M85" s="195">
        <v>2</v>
      </c>
      <c r="N85" s="195">
        <v>1</v>
      </c>
      <c r="O85" s="195">
        <v>0</v>
      </c>
      <c r="P85" s="195">
        <v>0</v>
      </c>
      <c r="Q85" s="195">
        <v>0</v>
      </c>
      <c r="R85" s="195">
        <v>0</v>
      </c>
      <c r="S85" s="195">
        <v>0</v>
      </c>
      <c r="T85" s="195">
        <v>0</v>
      </c>
      <c r="U85" s="195">
        <v>1</v>
      </c>
      <c r="V85" s="195">
        <v>0</v>
      </c>
      <c r="W85" s="195">
        <v>0</v>
      </c>
      <c r="X85" s="195">
        <v>0</v>
      </c>
      <c r="Y85" s="195">
        <v>4</v>
      </c>
      <c r="Z85" s="195">
        <v>0</v>
      </c>
      <c r="AA85" s="195">
        <v>1</v>
      </c>
      <c r="AB85" s="195">
        <v>2</v>
      </c>
      <c r="AC85" s="195">
        <v>0</v>
      </c>
      <c r="AD85" s="195">
        <v>1</v>
      </c>
      <c r="AE85" s="195">
        <v>2</v>
      </c>
      <c r="AF85" s="194">
        <v>0</v>
      </c>
      <c r="AG85" s="193">
        <f t="shared" si="5"/>
        <v>15</v>
      </c>
      <c r="AI85" s="404"/>
    </row>
    <row r="86" spans="1:35" ht="19.5" thickBot="1" x14ac:dyDescent="0.3">
      <c r="A86" s="311" t="s">
        <v>115</v>
      </c>
      <c r="B86" s="259">
        <v>3</v>
      </c>
      <c r="C86" s="191">
        <v>6</v>
      </c>
      <c r="D86" s="191">
        <v>3</v>
      </c>
      <c r="E86" s="191">
        <v>2</v>
      </c>
      <c r="F86" s="191">
        <v>9</v>
      </c>
      <c r="G86" s="191">
        <v>5</v>
      </c>
      <c r="H86" s="191">
        <v>7</v>
      </c>
      <c r="I86" s="191">
        <v>0</v>
      </c>
      <c r="J86" s="191">
        <v>5</v>
      </c>
      <c r="K86" s="191">
        <v>2</v>
      </c>
      <c r="L86" s="191">
        <v>1</v>
      </c>
      <c r="M86" s="191">
        <v>8</v>
      </c>
      <c r="N86" s="191">
        <v>4</v>
      </c>
      <c r="O86" s="191">
        <v>1</v>
      </c>
      <c r="P86" s="191">
        <v>4</v>
      </c>
      <c r="Q86" s="191">
        <v>6</v>
      </c>
      <c r="R86" s="191">
        <v>4</v>
      </c>
      <c r="S86" s="191">
        <v>3</v>
      </c>
      <c r="T86" s="191">
        <v>8</v>
      </c>
      <c r="U86" s="191">
        <v>10</v>
      </c>
      <c r="V86" s="191">
        <v>6</v>
      </c>
      <c r="W86" s="191">
        <v>9</v>
      </c>
      <c r="X86" s="191">
        <v>3</v>
      </c>
      <c r="Y86" s="191">
        <v>4</v>
      </c>
      <c r="Z86" s="191">
        <v>1</v>
      </c>
      <c r="AA86" s="191">
        <v>5</v>
      </c>
      <c r="AB86" s="191">
        <v>13</v>
      </c>
      <c r="AC86" s="191">
        <v>5</v>
      </c>
      <c r="AD86" s="191">
        <v>1</v>
      </c>
      <c r="AE86" s="191">
        <v>3</v>
      </c>
      <c r="AF86" s="190">
        <v>3</v>
      </c>
      <c r="AG86" s="189">
        <f t="shared" si="5"/>
        <v>144</v>
      </c>
      <c r="AI86" s="405"/>
    </row>
    <row r="87" spans="1:35" ht="19.5" thickBot="1" x14ac:dyDescent="0.3">
      <c r="A87" s="312" t="s">
        <v>114</v>
      </c>
      <c r="B87" s="260">
        <f t="shared" ref="B87:AF87" si="12">SUM(B88:B92)</f>
        <v>4</v>
      </c>
      <c r="C87" s="187">
        <f t="shared" si="12"/>
        <v>6</v>
      </c>
      <c r="D87" s="187">
        <f t="shared" si="12"/>
        <v>3</v>
      </c>
      <c r="E87" s="187">
        <f t="shared" si="12"/>
        <v>2</v>
      </c>
      <c r="F87" s="187">
        <f t="shared" si="12"/>
        <v>9</v>
      </c>
      <c r="G87" s="187">
        <f t="shared" si="12"/>
        <v>5</v>
      </c>
      <c r="H87" s="187">
        <f t="shared" si="12"/>
        <v>7</v>
      </c>
      <c r="I87" s="187">
        <f t="shared" si="12"/>
        <v>0</v>
      </c>
      <c r="J87" s="187">
        <f t="shared" si="12"/>
        <v>5</v>
      </c>
      <c r="K87" s="187">
        <f t="shared" si="12"/>
        <v>2</v>
      </c>
      <c r="L87" s="187">
        <f t="shared" si="12"/>
        <v>1</v>
      </c>
      <c r="M87" s="187">
        <f t="shared" si="12"/>
        <v>10</v>
      </c>
      <c r="N87" s="187">
        <f t="shared" si="12"/>
        <v>5</v>
      </c>
      <c r="O87" s="187">
        <f t="shared" si="12"/>
        <v>1</v>
      </c>
      <c r="P87" s="187">
        <f t="shared" si="12"/>
        <v>4</v>
      </c>
      <c r="Q87" s="187">
        <f t="shared" si="12"/>
        <v>6</v>
      </c>
      <c r="R87" s="187">
        <f t="shared" si="12"/>
        <v>4</v>
      </c>
      <c r="S87" s="187">
        <f t="shared" si="12"/>
        <v>3</v>
      </c>
      <c r="T87" s="187">
        <f t="shared" si="12"/>
        <v>8</v>
      </c>
      <c r="U87" s="187">
        <f t="shared" si="12"/>
        <v>11</v>
      </c>
      <c r="V87" s="187">
        <f t="shared" si="12"/>
        <v>6</v>
      </c>
      <c r="W87" s="187">
        <f t="shared" si="12"/>
        <v>9</v>
      </c>
      <c r="X87" s="187">
        <f t="shared" si="12"/>
        <v>3</v>
      </c>
      <c r="Y87" s="187">
        <f t="shared" si="12"/>
        <v>8</v>
      </c>
      <c r="Z87" s="187">
        <f t="shared" si="12"/>
        <v>1</v>
      </c>
      <c r="AA87" s="187">
        <f t="shared" si="12"/>
        <v>6</v>
      </c>
      <c r="AB87" s="187">
        <f t="shared" si="12"/>
        <v>15</v>
      </c>
      <c r="AC87" s="187">
        <f t="shared" si="12"/>
        <v>5</v>
      </c>
      <c r="AD87" s="187">
        <f t="shared" si="12"/>
        <v>2</v>
      </c>
      <c r="AE87" s="187">
        <f t="shared" si="12"/>
        <v>5</v>
      </c>
      <c r="AF87" s="187">
        <f t="shared" si="12"/>
        <v>3</v>
      </c>
      <c r="AG87" s="186">
        <f t="shared" si="5"/>
        <v>159</v>
      </c>
      <c r="AH87" s="185" t="str">
        <f>IF(AG87&lt;&gt;AG84,"*","")</f>
        <v/>
      </c>
    </row>
    <row r="88" spans="1:35" ht="18.75" x14ac:dyDescent="0.25">
      <c r="A88" s="313" t="s">
        <v>113</v>
      </c>
      <c r="B88" s="253"/>
      <c r="C88" s="184">
        <v>1</v>
      </c>
      <c r="D88" s="184">
        <v>1</v>
      </c>
      <c r="E88" s="184">
        <v>2</v>
      </c>
      <c r="F88" s="184">
        <v>4</v>
      </c>
      <c r="G88" s="184">
        <v>2</v>
      </c>
      <c r="H88" s="184">
        <v>6</v>
      </c>
      <c r="I88" s="184"/>
      <c r="J88" s="184">
        <v>1</v>
      </c>
      <c r="K88" s="184">
        <v>2</v>
      </c>
      <c r="L88" s="184"/>
      <c r="M88" s="184">
        <v>2</v>
      </c>
      <c r="N88" s="184">
        <v>3</v>
      </c>
      <c r="O88" s="184"/>
      <c r="P88" s="184">
        <v>1</v>
      </c>
      <c r="Q88" s="184">
        <v>2</v>
      </c>
      <c r="R88" s="184">
        <v>1</v>
      </c>
      <c r="S88" s="184"/>
      <c r="T88" s="184">
        <v>1</v>
      </c>
      <c r="U88" s="184">
        <v>3</v>
      </c>
      <c r="V88" s="184">
        <v>2</v>
      </c>
      <c r="W88" s="184">
        <v>4</v>
      </c>
      <c r="X88" s="184">
        <v>1</v>
      </c>
      <c r="Y88" s="184">
        <v>5</v>
      </c>
      <c r="Z88" s="184">
        <v>1</v>
      </c>
      <c r="AA88" s="184">
        <v>4</v>
      </c>
      <c r="AB88" s="184">
        <v>5</v>
      </c>
      <c r="AC88" s="184">
        <v>2</v>
      </c>
      <c r="AD88" s="184">
        <v>1</v>
      </c>
      <c r="AE88" s="184">
        <v>5</v>
      </c>
      <c r="AF88" s="183"/>
      <c r="AG88" s="134">
        <f t="shared" si="5"/>
        <v>62</v>
      </c>
    </row>
    <row r="89" spans="1:35" ht="18.75" x14ac:dyDescent="0.25">
      <c r="A89" s="314" t="s">
        <v>16</v>
      </c>
      <c r="B89" s="252"/>
      <c r="C89" s="181"/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  <c r="AA89" s="181"/>
      <c r="AB89" s="181"/>
      <c r="AC89" s="181"/>
      <c r="AD89" s="181"/>
      <c r="AE89" s="181"/>
      <c r="AF89" s="180"/>
      <c r="AG89" s="64">
        <f t="shared" si="5"/>
        <v>0</v>
      </c>
    </row>
    <row r="90" spans="1:35" ht="18.75" x14ac:dyDescent="0.25">
      <c r="A90" s="314" t="s">
        <v>15</v>
      </c>
      <c r="B90" s="252"/>
      <c r="C90" s="181"/>
      <c r="D90" s="181"/>
      <c r="E90" s="181"/>
      <c r="F90" s="181"/>
      <c r="G90" s="181"/>
      <c r="H90" s="181"/>
      <c r="I90" s="181"/>
      <c r="J90" s="181"/>
      <c r="K90" s="181"/>
      <c r="L90" s="181"/>
      <c r="M90" s="181"/>
      <c r="N90" s="181">
        <v>1</v>
      </c>
      <c r="O90" s="181"/>
      <c r="P90" s="181"/>
      <c r="Q90" s="181"/>
      <c r="R90" s="181"/>
      <c r="S90" s="181"/>
      <c r="T90" s="181"/>
      <c r="U90" s="181"/>
      <c r="V90" s="181"/>
      <c r="W90" s="181"/>
      <c r="X90" s="181"/>
      <c r="Y90" s="181"/>
      <c r="Z90" s="181"/>
      <c r="AA90" s="181"/>
      <c r="AB90" s="181"/>
      <c r="AC90" s="181"/>
      <c r="AD90" s="181"/>
      <c r="AE90" s="181"/>
      <c r="AF90" s="180"/>
      <c r="AG90" s="64">
        <f t="shared" si="5"/>
        <v>1</v>
      </c>
    </row>
    <row r="91" spans="1:35" ht="18.75" x14ac:dyDescent="0.25">
      <c r="A91" s="314" t="s">
        <v>14</v>
      </c>
      <c r="B91" s="252">
        <v>2</v>
      </c>
      <c r="C91" s="181">
        <v>3</v>
      </c>
      <c r="D91" s="181"/>
      <c r="E91" s="181"/>
      <c r="F91" s="181">
        <v>3</v>
      </c>
      <c r="G91" s="181">
        <v>2</v>
      </c>
      <c r="H91" s="181"/>
      <c r="I91" s="181"/>
      <c r="J91" s="181">
        <v>1</v>
      </c>
      <c r="K91" s="181"/>
      <c r="L91" s="181">
        <v>1</v>
      </c>
      <c r="M91" s="181">
        <v>1</v>
      </c>
      <c r="N91" s="181">
        <v>1</v>
      </c>
      <c r="O91" s="181"/>
      <c r="P91" s="181">
        <v>1</v>
      </c>
      <c r="Q91" s="181">
        <v>3</v>
      </c>
      <c r="R91" s="181">
        <v>1</v>
      </c>
      <c r="S91" s="181">
        <v>1</v>
      </c>
      <c r="T91" s="181">
        <v>5</v>
      </c>
      <c r="U91" s="181">
        <v>6</v>
      </c>
      <c r="V91" s="181">
        <v>1</v>
      </c>
      <c r="W91" s="181">
        <v>3</v>
      </c>
      <c r="X91" s="181">
        <v>1</v>
      </c>
      <c r="Y91" s="181">
        <v>1</v>
      </c>
      <c r="Z91" s="181"/>
      <c r="AA91" s="181">
        <v>2</v>
      </c>
      <c r="AB91" s="181">
        <v>4</v>
      </c>
      <c r="AC91" s="181">
        <v>1</v>
      </c>
      <c r="AD91" s="181"/>
      <c r="AE91" s="181"/>
      <c r="AF91" s="180">
        <v>2</v>
      </c>
      <c r="AG91" s="64">
        <f t="shared" si="5"/>
        <v>46</v>
      </c>
    </row>
    <row r="92" spans="1:35" ht="19.5" thickBot="1" x14ac:dyDescent="0.3">
      <c r="A92" s="314" t="s">
        <v>13</v>
      </c>
      <c r="B92" s="252">
        <v>2</v>
      </c>
      <c r="C92" s="181">
        <v>2</v>
      </c>
      <c r="D92" s="181">
        <v>2</v>
      </c>
      <c r="E92" s="181"/>
      <c r="F92" s="181">
        <v>2</v>
      </c>
      <c r="G92" s="181">
        <v>1</v>
      </c>
      <c r="H92" s="181">
        <v>1</v>
      </c>
      <c r="I92" s="181"/>
      <c r="J92" s="181">
        <v>3</v>
      </c>
      <c r="K92" s="181"/>
      <c r="L92" s="181"/>
      <c r="M92" s="181">
        <v>7</v>
      </c>
      <c r="N92" s="181"/>
      <c r="O92" s="181">
        <v>1</v>
      </c>
      <c r="P92" s="181">
        <v>2</v>
      </c>
      <c r="Q92" s="181">
        <v>1</v>
      </c>
      <c r="R92" s="181">
        <v>2</v>
      </c>
      <c r="S92" s="181">
        <v>2</v>
      </c>
      <c r="T92" s="181">
        <v>2</v>
      </c>
      <c r="U92" s="181">
        <v>2</v>
      </c>
      <c r="V92" s="181">
        <v>3</v>
      </c>
      <c r="W92" s="181">
        <v>2</v>
      </c>
      <c r="X92" s="181">
        <v>1</v>
      </c>
      <c r="Y92" s="181">
        <v>2</v>
      </c>
      <c r="Z92" s="181"/>
      <c r="AA92" s="181"/>
      <c r="AB92" s="181">
        <v>6</v>
      </c>
      <c r="AC92" s="181">
        <v>2</v>
      </c>
      <c r="AD92" s="181">
        <v>1</v>
      </c>
      <c r="AE92" s="181"/>
      <c r="AF92" s="180">
        <v>1</v>
      </c>
      <c r="AG92" s="64">
        <f t="shared" si="5"/>
        <v>50</v>
      </c>
    </row>
    <row r="93" spans="1:35" ht="18.75" x14ac:dyDescent="0.25">
      <c r="A93" s="315" t="s">
        <v>112</v>
      </c>
      <c r="B93" s="261">
        <f t="shared" ref="B93:AF93" si="13">+B94+B100</f>
        <v>125</v>
      </c>
      <c r="C93" s="166">
        <f t="shared" si="13"/>
        <v>104</v>
      </c>
      <c r="D93" s="166">
        <f t="shared" si="13"/>
        <v>175</v>
      </c>
      <c r="E93" s="166">
        <f t="shared" si="13"/>
        <v>120</v>
      </c>
      <c r="F93" s="166">
        <f t="shared" si="13"/>
        <v>130</v>
      </c>
      <c r="G93" s="166">
        <f t="shared" si="13"/>
        <v>141</v>
      </c>
      <c r="H93" s="166">
        <f t="shared" si="13"/>
        <v>140</v>
      </c>
      <c r="I93" s="166">
        <f t="shared" si="13"/>
        <v>126</v>
      </c>
      <c r="J93" s="166">
        <f t="shared" si="13"/>
        <v>93</v>
      </c>
      <c r="K93" s="166">
        <f t="shared" si="13"/>
        <v>117</v>
      </c>
      <c r="L93" s="166">
        <f t="shared" si="13"/>
        <v>120</v>
      </c>
      <c r="M93" s="166">
        <f t="shared" si="13"/>
        <v>117</v>
      </c>
      <c r="N93" s="166">
        <f t="shared" si="13"/>
        <v>112</v>
      </c>
      <c r="O93" s="166">
        <f t="shared" si="13"/>
        <v>120</v>
      </c>
      <c r="P93" s="166">
        <f t="shared" si="13"/>
        <v>130</v>
      </c>
      <c r="Q93" s="166">
        <f t="shared" si="13"/>
        <v>155</v>
      </c>
      <c r="R93" s="166">
        <f t="shared" si="13"/>
        <v>181</v>
      </c>
      <c r="S93" s="166">
        <f t="shared" si="13"/>
        <v>169</v>
      </c>
      <c r="T93" s="166">
        <f t="shared" si="13"/>
        <v>169</v>
      </c>
      <c r="U93" s="166">
        <f t="shared" si="13"/>
        <v>154</v>
      </c>
      <c r="V93" s="166">
        <f t="shared" si="13"/>
        <v>148</v>
      </c>
      <c r="W93" s="166">
        <f t="shared" si="13"/>
        <v>141</v>
      </c>
      <c r="X93" s="166">
        <f t="shared" si="13"/>
        <v>157</v>
      </c>
      <c r="Y93" s="166">
        <f t="shared" si="13"/>
        <v>137</v>
      </c>
      <c r="Z93" s="166">
        <f t="shared" si="13"/>
        <v>151</v>
      </c>
      <c r="AA93" s="166">
        <f t="shared" si="13"/>
        <v>160</v>
      </c>
      <c r="AB93" s="166">
        <f t="shared" si="13"/>
        <v>156</v>
      </c>
      <c r="AC93" s="166">
        <f t="shared" si="13"/>
        <v>151</v>
      </c>
      <c r="AD93" s="166">
        <f t="shared" si="13"/>
        <v>145</v>
      </c>
      <c r="AE93" s="166">
        <f t="shared" si="13"/>
        <v>117</v>
      </c>
      <c r="AF93" s="165">
        <f t="shared" si="13"/>
        <v>157</v>
      </c>
      <c r="AG93" s="164">
        <f t="shared" si="5"/>
        <v>4318</v>
      </c>
      <c r="AH93" s="179" t="str">
        <f>IF(AG93&lt;&gt;AG28,"*","")</f>
        <v/>
      </c>
    </row>
    <row r="94" spans="1:35" ht="18.75" x14ac:dyDescent="0.25">
      <c r="A94" s="66" t="s">
        <v>111</v>
      </c>
      <c r="B94" s="262">
        <f t="shared" ref="B94:AF94" si="14">SUM(B95:B99)</f>
        <v>8</v>
      </c>
      <c r="C94" s="68">
        <f t="shared" si="14"/>
        <v>5</v>
      </c>
      <c r="D94" s="68">
        <f t="shared" si="14"/>
        <v>11</v>
      </c>
      <c r="E94" s="68">
        <f t="shared" si="14"/>
        <v>5</v>
      </c>
      <c r="F94" s="68">
        <f t="shared" si="14"/>
        <v>6</v>
      </c>
      <c r="G94" s="68">
        <f t="shared" si="14"/>
        <v>8</v>
      </c>
      <c r="H94" s="68">
        <f t="shared" si="14"/>
        <v>12</v>
      </c>
      <c r="I94" s="68">
        <f t="shared" si="14"/>
        <v>20</v>
      </c>
      <c r="J94" s="68">
        <f t="shared" si="14"/>
        <v>9</v>
      </c>
      <c r="K94" s="68">
        <f t="shared" si="14"/>
        <v>9</v>
      </c>
      <c r="L94" s="68">
        <f t="shared" si="14"/>
        <v>15</v>
      </c>
      <c r="M94" s="68">
        <f t="shared" si="14"/>
        <v>13</v>
      </c>
      <c r="N94" s="68">
        <f t="shared" si="14"/>
        <v>5</v>
      </c>
      <c r="O94" s="68">
        <f t="shared" si="14"/>
        <v>7</v>
      </c>
      <c r="P94" s="68">
        <f t="shared" si="14"/>
        <v>12</v>
      </c>
      <c r="Q94" s="68">
        <f t="shared" si="14"/>
        <v>11</v>
      </c>
      <c r="R94" s="68">
        <f t="shared" si="14"/>
        <v>16</v>
      </c>
      <c r="S94" s="68">
        <f t="shared" si="14"/>
        <v>17</v>
      </c>
      <c r="T94" s="68">
        <f t="shared" si="14"/>
        <v>13</v>
      </c>
      <c r="U94" s="68">
        <f t="shared" si="14"/>
        <v>13</v>
      </c>
      <c r="V94" s="68">
        <f t="shared" si="14"/>
        <v>10</v>
      </c>
      <c r="W94" s="68">
        <f t="shared" si="14"/>
        <v>5</v>
      </c>
      <c r="X94" s="68">
        <f t="shared" si="14"/>
        <v>14</v>
      </c>
      <c r="Y94" s="68">
        <f t="shared" si="14"/>
        <v>11</v>
      </c>
      <c r="Z94" s="68">
        <f t="shared" si="14"/>
        <v>13</v>
      </c>
      <c r="AA94" s="68">
        <f t="shared" si="14"/>
        <v>12</v>
      </c>
      <c r="AB94" s="68">
        <f t="shared" si="14"/>
        <v>20</v>
      </c>
      <c r="AC94" s="68">
        <f t="shared" si="14"/>
        <v>12</v>
      </c>
      <c r="AD94" s="68">
        <f t="shared" si="14"/>
        <v>18</v>
      </c>
      <c r="AE94" s="68">
        <f t="shared" si="14"/>
        <v>11</v>
      </c>
      <c r="AF94" s="67">
        <f t="shared" si="14"/>
        <v>8</v>
      </c>
      <c r="AG94" s="64">
        <f t="shared" si="5"/>
        <v>349</v>
      </c>
    </row>
    <row r="95" spans="1:35" ht="18.75" x14ac:dyDescent="0.25">
      <c r="A95" s="316" t="s">
        <v>110</v>
      </c>
      <c r="B95" s="249"/>
      <c r="C95" s="162"/>
      <c r="D95" s="162"/>
      <c r="E95" s="162"/>
      <c r="F95" s="162"/>
      <c r="G95" s="162"/>
      <c r="H95" s="162"/>
      <c r="I95" s="162">
        <v>1</v>
      </c>
      <c r="J95" s="162"/>
      <c r="K95" s="162"/>
      <c r="L95" s="162">
        <v>1</v>
      </c>
      <c r="M95" s="162"/>
      <c r="N95" s="162"/>
      <c r="O95" s="162"/>
      <c r="P95" s="162"/>
      <c r="Q95" s="162"/>
      <c r="R95" s="162"/>
      <c r="S95" s="162"/>
      <c r="T95" s="162">
        <v>1</v>
      </c>
      <c r="U95" s="162"/>
      <c r="V95" s="162"/>
      <c r="W95" s="162"/>
      <c r="X95" s="162"/>
      <c r="Y95" s="162">
        <v>1</v>
      </c>
      <c r="Z95" s="162"/>
      <c r="AA95" s="162"/>
      <c r="AB95" s="162">
        <v>1</v>
      </c>
      <c r="AC95" s="162"/>
      <c r="AD95" s="162"/>
      <c r="AE95" s="162"/>
      <c r="AF95" s="161"/>
      <c r="AG95" s="64">
        <f t="shared" si="5"/>
        <v>5</v>
      </c>
    </row>
    <row r="96" spans="1:35" ht="18.75" x14ac:dyDescent="0.25">
      <c r="A96" s="317" t="s">
        <v>109</v>
      </c>
      <c r="B96" s="249">
        <v>1</v>
      </c>
      <c r="C96" s="162"/>
      <c r="D96" s="162">
        <v>1</v>
      </c>
      <c r="E96" s="162"/>
      <c r="F96" s="162">
        <v>1</v>
      </c>
      <c r="G96" s="162">
        <v>1</v>
      </c>
      <c r="H96" s="162">
        <v>1</v>
      </c>
      <c r="I96" s="162">
        <v>2</v>
      </c>
      <c r="J96" s="162">
        <v>1</v>
      </c>
      <c r="K96" s="162">
        <v>1</v>
      </c>
      <c r="L96" s="162">
        <v>1</v>
      </c>
      <c r="M96" s="162">
        <v>1</v>
      </c>
      <c r="N96" s="162"/>
      <c r="O96" s="162"/>
      <c r="P96" s="162">
        <v>1</v>
      </c>
      <c r="Q96" s="162"/>
      <c r="R96" s="162">
        <v>3</v>
      </c>
      <c r="S96" s="176">
        <v>1</v>
      </c>
      <c r="T96" s="162">
        <v>1</v>
      </c>
      <c r="U96" s="162"/>
      <c r="V96" s="162"/>
      <c r="W96" s="162"/>
      <c r="X96" s="162">
        <v>2</v>
      </c>
      <c r="Y96" s="162">
        <v>1</v>
      </c>
      <c r="Z96" s="162">
        <v>1</v>
      </c>
      <c r="AA96" s="162"/>
      <c r="AB96" s="162">
        <v>1</v>
      </c>
      <c r="AC96" s="162"/>
      <c r="AD96" s="162"/>
      <c r="AE96" s="162">
        <v>1</v>
      </c>
      <c r="AF96" s="161">
        <v>1</v>
      </c>
      <c r="AG96" s="64">
        <f t="shared" si="5"/>
        <v>24</v>
      </c>
    </row>
    <row r="97" spans="1:33" ht="18.75" x14ac:dyDescent="0.25">
      <c r="A97" s="318" t="s">
        <v>108</v>
      </c>
      <c r="B97" s="249"/>
      <c r="C97" s="162"/>
      <c r="D97" s="162">
        <v>2</v>
      </c>
      <c r="E97" s="162">
        <v>1</v>
      </c>
      <c r="F97" s="162">
        <v>2</v>
      </c>
      <c r="G97" s="162"/>
      <c r="H97" s="162">
        <v>2</v>
      </c>
      <c r="I97" s="162">
        <v>2</v>
      </c>
      <c r="J97" s="162">
        <v>2</v>
      </c>
      <c r="K97" s="162">
        <v>3</v>
      </c>
      <c r="L97" s="162">
        <v>1</v>
      </c>
      <c r="M97" s="162">
        <v>3</v>
      </c>
      <c r="N97" s="162"/>
      <c r="O97" s="162">
        <v>2</v>
      </c>
      <c r="P97" s="162"/>
      <c r="Q97" s="162">
        <v>4</v>
      </c>
      <c r="R97" s="162">
        <v>4</v>
      </c>
      <c r="S97" s="162">
        <v>3</v>
      </c>
      <c r="T97" s="162">
        <v>3</v>
      </c>
      <c r="U97" s="162">
        <v>2</v>
      </c>
      <c r="V97" s="162">
        <v>1</v>
      </c>
      <c r="W97" s="162">
        <v>1</v>
      </c>
      <c r="X97" s="162">
        <v>3</v>
      </c>
      <c r="Y97" s="162">
        <v>1</v>
      </c>
      <c r="Z97" s="162"/>
      <c r="AA97" s="162">
        <v>1</v>
      </c>
      <c r="AB97" s="162">
        <v>3</v>
      </c>
      <c r="AC97" s="162">
        <v>2</v>
      </c>
      <c r="AD97" s="162">
        <v>5</v>
      </c>
      <c r="AE97" s="162"/>
      <c r="AF97" s="161"/>
      <c r="AG97" s="64">
        <f t="shared" si="5"/>
        <v>53</v>
      </c>
    </row>
    <row r="98" spans="1:33" ht="18.75" x14ac:dyDescent="0.25">
      <c r="A98" s="319" t="s">
        <v>107</v>
      </c>
      <c r="B98" s="249">
        <v>2</v>
      </c>
      <c r="C98" s="162">
        <v>3</v>
      </c>
      <c r="D98" s="162">
        <v>3</v>
      </c>
      <c r="E98" s="162">
        <v>2</v>
      </c>
      <c r="F98" s="162"/>
      <c r="G98" s="162">
        <v>3</v>
      </c>
      <c r="H98" s="162">
        <v>3</v>
      </c>
      <c r="I98" s="162">
        <v>6</v>
      </c>
      <c r="J98" s="162">
        <v>2</v>
      </c>
      <c r="K98" s="162">
        <v>2</v>
      </c>
      <c r="L98" s="162">
        <v>7</v>
      </c>
      <c r="M98" s="162">
        <v>1</v>
      </c>
      <c r="N98" s="162">
        <v>1</v>
      </c>
      <c r="O98" s="162">
        <v>3</v>
      </c>
      <c r="P98" s="162">
        <v>6</v>
      </c>
      <c r="Q98" s="162">
        <v>4</v>
      </c>
      <c r="R98" s="162">
        <v>5</v>
      </c>
      <c r="S98" s="162">
        <v>4</v>
      </c>
      <c r="T98" s="162">
        <v>2</v>
      </c>
      <c r="U98" s="162">
        <v>8</v>
      </c>
      <c r="V98" s="162">
        <v>6</v>
      </c>
      <c r="W98" s="162">
        <v>3</v>
      </c>
      <c r="X98" s="162">
        <v>2</v>
      </c>
      <c r="Y98" s="162">
        <v>4</v>
      </c>
      <c r="Z98" s="162">
        <v>3</v>
      </c>
      <c r="AA98" s="162">
        <v>4</v>
      </c>
      <c r="AB98" s="162">
        <v>4</v>
      </c>
      <c r="AC98" s="162">
        <v>7</v>
      </c>
      <c r="AD98" s="162">
        <v>7</v>
      </c>
      <c r="AE98" s="162">
        <v>6</v>
      </c>
      <c r="AF98" s="161">
        <v>5</v>
      </c>
      <c r="AG98" s="64">
        <f t="shared" si="5"/>
        <v>118</v>
      </c>
    </row>
    <row r="99" spans="1:33" ht="18.75" x14ac:dyDescent="0.25">
      <c r="A99" s="320" t="s">
        <v>106</v>
      </c>
      <c r="B99" s="249">
        <v>5</v>
      </c>
      <c r="C99" s="162">
        <v>2</v>
      </c>
      <c r="D99" s="162">
        <v>5</v>
      </c>
      <c r="E99" s="162">
        <v>2</v>
      </c>
      <c r="F99" s="162">
        <v>3</v>
      </c>
      <c r="G99" s="162">
        <v>4</v>
      </c>
      <c r="H99" s="162">
        <v>6</v>
      </c>
      <c r="I99" s="162">
        <v>9</v>
      </c>
      <c r="J99" s="162">
        <v>4</v>
      </c>
      <c r="K99" s="162">
        <v>3</v>
      </c>
      <c r="L99" s="162">
        <v>5</v>
      </c>
      <c r="M99" s="162">
        <v>8</v>
      </c>
      <c r="N99" s="162">
        <v>4</v>
      </c>
      <c r="O99" s="162">
        <v>2</v>
      </c>
      <c r="P99" s="162">
        <v>5</v>
      </c>
      <c r="Q99" s="162">
        <v>3</v>
      </c>
      <c r="R99" s="162">
        <v>4</v>
      </c>
      <c r="S99" s="162">
        <v>9</v>
      </c>
      <c r="T99" s="162">
        <v>6</v>
      </c>
      <c r="U99" s="162">
        <v>3</v>
      </c>
      <c r="V99" s="162">
        <v>3</v>
      </c>
      <c r="W99" s="162">
        <v>1</v>
      </c>
      <c r="X99" s="162">
        <v>7</v>
      </c>
      <c r="Y99" s="162">
        <v>4</v>
      </c>
      <c r="Z99" s="162">
        <v>9</v>
      </c>
      <c r="AA99" s="162">
        <v>7</v>
      </c>
      <c r="AB99" s="162">
        <v>11</v>
      </c>
      <c r="AC99" s="162">
        <v>3</v>
      </c>
      <c r="AD99" s="162">
        <v>6</v>
      </c>
      <c r="AE99" s="162">
        <v>4</v>
      </c>
      <c r="AF99" s="161">
        <v>2</v>
      </c>
      <c r="AG99" s="64">
        <f t="shared" ref="AG99:AG130" si="15">SUM(B99:AF99)</f>
        <v>149</v>
      </c>
    </row>
    <row r="100" spans="1:33" ht="18.75" x14ac:dyDescent="0.25">
      <c r="A100" s="66" t="s">
        <v>105</v>
      </c>
      <c r="B100" s="262">
        <f t="shared" ref="B100:AF100" si="16">SUM(B101:B115)</f>
        <v>117</v>
      </c>
      <c r="C100" s="68">
        <f t="shared" si="16"/>
        <v>99</v>
      </c>
      <c r="D100" s="68">
        <f t="shared" si="16"/>
        <v>164</v>
      </c>
      <c r="E100" s="68">
        <f t="shared" si="16"/>
        <v>115</v>
      </c>
      <c r="F100" s="68">
        <f t="shared" si="16"/>
        <v>124</v>
      </c>
      <c r="G100" s="68">
        <f t="shared" si="16"/>
        <v>133</v>
      </c>
      <c r="H100" s="68">
        <f t="shared" si="16"/>
        <v>128</v>
      </c>
      <c r="I100" s="68">
        <f t="shared" si="16"/>
        <v>106</v>
      </c>
      <c r="J100" s="68">
        <f t="shared" si="16"/>
        <v>84</v>
      </c>
      <c r="K100" s="68">
        <f t="shared" si="16"/>
        <v>108</v>
      </c>
      <c r="L100" s="68">
        <f t="shared" si="16"/>
        <v>105</v>
      </c>
      <c r="M100" s="68">
        <f t="shared" si="16"/>
        <v>104</v>
      </c>
      <c r="N100" s="68">
        <f t="shared" si="16"/>
        <v>107</v>
      </c>
      <c r="O100" s="68">
        <f t="shared" si="16"/>
        <v>113</v>
      </c>
      <c r="P100" s="68">
        <f t="shared" si="16"/>
        <v>118</v>
      </c>
      <c r="Q100" s="68">
        <f t="shared" si="16"/>
        <v>144</v>
      </c>
      <c r="R100" s="68">
        <f t="shared" si="16"/>
        <v>165</v>
      </c>
      <c r="S100" s="68">
        <f t="shared" si="16"/>
        <v>152</v>
      </c>
      <c r="T100" s="68">
        <f t="shared" si="16"/>
        <v>156</v>
      </c>
      <c r="U100" s="68">
        <f t="shared" si="16"/>
        <v>141</v>
      </c>
      <c r="V100" s="68">
        <f t="shared" si="16"/>
        <v>138</v>
      </c>
      <c r="W100" s="68">
        <f t="shared" si="16"/>
        <v>136</v>
      </c>
      <c r="X100" s="68">
        <f t="shared" si="16"/>
        <v>143</v>
      </c>
      <c r="Y100" s="68">
        <f t="shared" si="16"/>
        <v>126</v>
      </c>
      <c r="Z100" s="68">
        <f t="shared" si="16"/>
        <v>138</v>
      </c>
      <c r="AA100" s="68">
        <f t="shared" si="16"/>
        <v>148</v>
      </c>
      <c r="AB100" s="68">
        <f t="shared" si="16"/>
        <v>136</v>
      </c>
      <c r="AC100" s="68">
        <f t="shared" si="16"/>
        <v>139</v>
      </c>
      <c r="AD100" s="68">
        <f t="shared" si="16"/>
        <v>127</v>
      </c>
      <c r="AE100" s="68">
        <f t="shared" si="16"/>
        <v>106</v>
      </c>
      <c r="AF100" s="67">
        <f t="shared" si="16"/>
        <v>149</v>
      </c>
      <c r="AG100" s="64">
        <f t="shared" si="15"/>
        <v>3969</v>
      </c>
    </row>
    <row r="101" spans="1:33" ht="18.75" x14ac:dyDescent="0.25">
      <c r="A101" s="320" t="s">
        <v>104</v>
      </c>
      <c r="B101" s="249">
        <v>8</v>
      </c>
      <c r="C101" s="162">
        <v>6</v>
      </c>
      <c r="D101" s="162">
        <v>10</v>
      </c>
      <c r="E101" s="162">
        <v>8</v>
      </c>
      <c r="F101" s="162">
        <v>7</v>
      </c>
      <c r="G101" s="162">
        <v>11</v>
      </c>
      <c r="H101" s="162">
        <v>6</v>
      </c>
      <c r="I101" s="162">
        <v>5</v>
      </c>
      <c r="J101" s="162">
        <v>7</v>
      </c>
      <c r="K101" s="162">
        <v>11</v>
      </c>
      <c r="L101" s="162">
        <v>3</v>
      </c>
      <c r="M101" s="162">
        <v>7</v>
      </c>
      <c r="N101" s="162">
        <v>12</v>
      </c>
      <c r="O101" s="162">
        <v>13</v>
      </c>
      <c r="P101" s="162">
        <v>8</v>
      </c>
      <c r="Q101" s="162">
        <v>10</v>
      </c>
      <c r="R101" s="162">
        <v>12</v>
      </c>
      <c r="S101" s="162">
        <v>13</v>
      </c>
      <c r="T101" s="162">
        <v>8</v>
      </c>
      <c r="U101" s="162">
        <v>10</v>
      </c>
      <c r="V101" s="162">
        <v>8</v>
      </c>
      <c r="W101" s="162">
        <v>5</v>
      </c>
      <c r="X101" s="162">
        <v>10</v>
      </c>
      <c r="Y101" s="162">
        <v>2</v>
      </c>
      <c r="Z101" s="162">
        <v>11</v>
      </c>
      <c r="AA101" s="162">
        <v>6</v>
      </c>
      <c r="AB101" s="162">
        <v>10</v>
      </c>
      <c r="AC101" s="162">
        <v>10</v>
      </c>
      <c r="AD101" s="162">
        <v>7</v>
      </c>
      <c r="AE101" s="162">
        <v>8</v>
      </c>
      <c r="AF101" s="161">
        <v>9</v>
      </c>
      <c r="AG101" s="64">
        <f t="shared" si="15"/>
        <v>261</v>
      </c>
    </row>
    <row r="102" spans="1:33" ht="18.75" x14ac:dyDescent="0.25">
      <c r="A102" s="320" t="s">
        <v>103</v>
      </c>
      <c r="B102" s="249">
        <v>10</v>
      </c>
      <c r="C102" s="162">
        <v>8</v>
      </c>
      <c r="D102" s="162">
        <v>20</v>
      </c>
      <c r="E102" s="162">
        <v>16</v>
      </c>
      <c r="F102" s="162">
        <v>16</v>
      </c>
      <c r="G102" s="162">
        <v>16</v>
      </c>
      <c r="H102" s="162">
        <v>18</v>
      </c>
      <c r="I102" s="162">
        <v>12</v>
      </c>
      <c r="J102" s="162">
        <v>10</v>
      </c>
      <c r="K102" s="162">
        <v>14</v>
      </c>
      <c r="L102" s="162">
        <v>13</v>
      </c>
      <c r="M102" s="162">
        <v>17</v>
      </c>
      <c r="N102" s="162">
        <v>16</v>
      </c>
      <c r="O102" s="162">
        <v>12</v>
      </c>
      <c r="P102" s="162">
        <v>19</v>
      </c>
      <c r="Q102" s="162">
        <v>18</v>
      </c>
      <c r="R102" s="162">
        <v>22</v>
      </c>
      <c r="S102" s="162">
        <v>15</v>
      </c>
      <c r="T102" s="162">
        <v>17</v>
      </c>
      <c r="U102" s="162">
        <v>18</v>
      </c>
      <c r="V102" s="162">
        <v>20</v>
      </c>
      <c r="W102" s="162">
        <v>19</v>
      </c>
      <c r="X102" s="162">
        <v>18</v>
      </c>
      <c r="Y102" s="162">
        <v>14</v>
      </c>
      <c r="Z102" s="162">
        <v>14</v>
      </c>
      <c r="AA102" s="162">
        <v>20</v>
      </c>
      <c r="AB102" s="162">
        <v>17</v>
      </c>
      <c r="AC102" s="162">
        <v>20</v>
      </c>
      <c r="AD102" s="162">
        <v>14</v>
      </c>
      <c r="AE102" s="162">
        <v>10</v>
      </c>
      <c r="AF102" s="161">
        <v>14</v>
      </c>
      <c r="AG102" s="64">
        <f t="shared" si="15"/>
        <v>487</v>
      </c>
    </row>
    <row r="103" spans="1:33" ht="18.75" x14ac:dyDescent="0.25">
      <c r="A103" s="321" t="s">
        <v>102</v>
      </c>
      <c r="B103" s="249">
        <v>11</v>
      </c>
      <c r="C103" s="162">
        <v>12</v>
      </c>
      <c r="D103" s="162">
        <v>19</v>
      </c>
      <c r="E103" s="162">
        <v>15</v>
      </c>
      <c r="F103" s="162">
        <v>21</v>
      </c>
      <c r="G103" s="162">
        <v>16</v>
      </c>
      <c r="H103" s="162">
        <v>20</v>
      </c>
      <c r="I103" s="162">
        <v>9</v>
      </c>
      <c r="J103" s="162">
        <v>13</v>
      </c>
      <c r="K103" s="162">
        <v>10</v>
      </c>
      <c r="L103" s="162">
        <v>11</v>
      </c>
      <c r="M103" s="162">
        <v>10</v>
      </c>
      <c r="N103" s="162">
        <v>14</v>
      </c>
      <c r="O103" s="162">
        <v>15</v>
      </c>
      <c r="P103" s="162">
        <v>11</v>
      </c>
      <c r="Q103" s="162">
        <v>18</v>
      </c>
      <c r="R103" s="162">
        <v>20</v>
      </c>
      <c r="S103" s="162">
        <v>14</v>
      </c>
      <c r="T103" s="162">
        <v>25</v>
      </c>
      <c r="U103" s="162">
        <v>19</v>
      </c>
      <c r="V103" s="162">
        <v>13</v>
      </c>
      <c r="W103" s="162">
        <v>19</v>
      </c>
      <c r="X103" s="162">
        <v>21</v>
      </c>
      <c r="Y103" s="162">
        <v>9</v>
      </c>
      <c r="Z103" s="162">
        <v>16</v>
      </c>
      <c r="AA103" s="162">
        <v>17</v>
      </c>
      <c r="AB103" s="162">
        <v>18</v>
      </c>
      <c r="AC103" s="162">
        <v>15</v>
      </c>
      <c r="AD103" s="162">
        <v>16</v>
      </c>
      <c r="AE103" s="162">
        <v>15</v>
      </c>
      <c r="AF103" s="161">
        <v>10</v>
      </c>
      <c r="AG103" s="64">
        <f t="shared" si="15"/>
        <v>472</v>
      </c>
    </row>
    <row r="104" spans="1:33" ht="18.75" x14ac:dyDescent="0.25">
      <c r="A104" s="321" t="s">
        <v>101</v>
      </c>
      <c r="B104" s="249">
        <v>17</v>
      </c>
      <c r="C104" s="162">
        <v>10</v>
      </c>
      <c r="D104" s="162">
        <v>21</v>
      </c>
      <c r="E104" s="162">
        <v>15</v>
      </c>
      <c r="F104" s="162">
        <v>14</v>
      </c>
      <c r="G104" s="162">
        <v>14</v>
      </c>
      <c r="H104" s="162">
        <v>9</v>
      </c>
      <c r="I104" s="162">
        <v>16</v>
      </c>
      <c r="J104" s="162">
        <v>9</v>
      </c>
      <c r="K104" s="162">
        <v>10</v>
      </c>
      <c r="L104" s="162">
        <v>14</v>
      </c>
      <c r="M104" s="162">
        <v>11</v>
      </c>
      <c r="N104" s="162">
        <v>11</v>
      </c>
      <c r="O104" s="162">
        <v>12</v>
      </c>
      <c r="P104" s="162">
        <v>16</v>
      </c>
      <c r="Q104" s="162">
        <v>18</v>
      </c>
      <c r="R104" s="162">
        <v>15</v>
      </c>
      <c r="S104" s="162">
        <v>20</v>
      </c>
      <c r="T104" s="162">
        <v>26</v>
      </c>
      <c r="U104" s="162">
        <v>15</v>
      </c>
      <c r="V104" s="162">
        <v>16</v>
      </c>
      <c r="W104" s="162">
        <v>21</v>
      </c>
      <c r="X104" s="162">
        <v>14</v>
      </c>
      <c r="Y104" s="162">
        <v>18</v>
      </c>
      <c r="Z104" s="162">
        <v>17</v>
      </c>
      <c r="AA104" s="162">
        <v>19</v>
      </c>
      <c r="AB104" s="162">
        <v>20</v>
      </c>
      <c r="AC104" s="162">
        <v>14</v>
      </c>
      <c r="AD104" s="162">
        <v>15</v>
      </c>
      <c r="AE104" s="162">
        <v>16</v>
      </c>
      <c r="AF104" s="161">
        <v>17</v>
      </c>
      <c r="AG104" s="64">
        <f t="shared" si="15"/>
        <v>480</v>
      </c>
    </row>
    <row r="105" spans="1:33" ht="18.75" x14ac:dyDescent="0.25">
      <c r="A105" s="321" t="s">
        <v>100</v>
      </c>
      <c r="B105" s="249">
        <v>10</v>
      </c>
      <c r="C105" s="162">
        <v>11</v>
      </c>
      <c r="D105" s="162">
        <v>8</v>
      </c>
      <c r="E105" s="162">
        <v>5</v>
      </c>
      <c r="F105" s="162">
        <v>15</v>
      </c>
      <c r="G105" s="162">
        <v>18</v>
      </c>
      <c r="H105" s="162">
        <v>11</v>
      </c>
      <c r="I105" s="162">
        <v>8</v>
      </c>
      <c r="J105" s="162">
        <v>4</v>
      </c>
      <c r="K105" s="162">
        <v>10</v>
      </c>
      <c r="L105" s="162">
        <v>9</v>
      </c>
      <c r="M105" s="162">
        <v>7</v>
      </c>
      <c r="N105" s="162">
        <v>11</v>
      </c>
      <c r="O105" s="162">
        <v>9</v>
      </c>
      <c r="P105" s="162">
        <v>11</v>
      </c>
      <c r="Q105" s="162">
        <v>15</v>
      </c>
      <c r="R105" s="162">
        <v>15</v>
      </c>
      <c r="S105" s="162">
        <v>13</v>
      </c>
      <c r="T105" s="162">
        <v>6</v>
      </c>
      <c r="U105" s="162">
        <v>11</v>
      </c>
      <c r="V105" s="162">
        <v>19</v>
      </c>
      <c r="W105" s="162">
        <v>10</v>
      </c>
      <c r="X105" s="162">
        <v>14</v>
      </c>
      <c r="Y105" s="162">
        <v>10</v>
      </c>
      <c r="Z105" s="162">
        <v>13</v>
      </c>
      <c r="AA105" s="162">
        <v>12</v>
      </c>
      <c r="AB105" s="162">
        <v>7</v>
      </c>
      <c r="AC105" s="162">
        <v>13</v>
      </c>
      <c r="AD105" s="162">
        <v>9</v>
      </c>
      <c r="AE105" s="162">
        <v>10</v>
      </c>
      <c r="AF105" s="161">
        <v>8</v>
      </c>
      <c r="AG105" s="64">
        <f t="shared" si="15"/>
        <v>332</v>
      </c>
    </row>
    <row r="106" spans="1:33" ht="18.75" x14ac:dyDescent="0.25">
      <c r="A106" s="321" t="s">
        <v>99</v>
      </c>
      <c r="B106" s="249">
        <v>5</v>
      </c>
      <c r="C106" s="162">
        <v>5</v>
      </c>
      <c r="D106" s="162">
        <v>9</v>
      </c>
      <c r="E106" s="162">
        <v>6</v>
      </c>
      <c r="F106" s="162">
        <v>4</v>
      </c>
      <c r="G106" s="162">
        <v>6</v>
      </c>
      <c r="H106" s="162">
        <v>12</v>
      </c>
      <c r="I106" s="162">
        <v>7</v>
      </c>
      <c r="J106" s="162">
        <v>9</v>
      </c>
      <c r="K106" s="162">
        <v>9</v>
      </c>
      <c r="L106" s="162">
        <v>7</v>
      </c>
      <c r="M106" s="162">
        <v>3</v>
      </c>
      <c r="N106" s="162">
        <v>7</v>
      </c>
      <c r="O106" s="162">
        <v>7</v>
      </c>
      <c r="P106" s="162">
        <v>7</v>
      </c>
      <c r="Q106" s="162">
        <v>6</v>
      </c>
      <c r="R106" s="162">
        <v>7</v>
      </c>
      <c r="S106" s="162">
        <v>8</v>
      </c>
      <c r="T106" s="162">
        <v>10</v>
      </c>
      <c r="U106" s="162">
        <v>20</v>
      </c>
      <c r="V106" s="162">
        <v>6</v>
      </c>
      <c r="W106" s="162">
        <v>13</v>
      </c>
      <c r="X106" s="162">
        <v>13</v>
      </c>
      <c r="Y106" s="162">
        <v>7</v>
      </c>
      <c r="Z106" s="162">
        <v>11</v>
      </c>
      <c r="AA106" s="162">
        <v>6</v>
      </c>
      <c r="AB106" s="162">
        <v>8</v>
      </c>
      <c r="AC106" s="162">
        <v>5</v>
      </c>
      <c r="AD106" s="162">
        <v>10</v>
      </c>
      <c r="AE106" s="162">
        <v>8</v>
      </c>
      <c r="AF106" s="161">
        <v>7</v>
      </c>
      <c r="AG106" s="64">
        <f t="shared" si="15"/>
        <v>248</v>
      </c>
    </row>
    <row r="107" spans="1:33" ht="18.75" x14ac:dyDescent="0.25">
      <c r="A107" s="321" t="s">
        <v>98</v>
      </c>
      <c r="B107" s="249">
        <v>10</v>
      </c>
      <c r="C107" s="162">
        <v>7</v>
      </c>
      <c r="D107" s="162">
        <v>11</v>
      </c>
      <c r="E107" s="162">
        <v>7</v>
      </c>
      <c r="F107" s="162">
        <v>12</v>
      </c>
      <c r="G107" s="162">
        <v>12</v>
      </c>
      <c r="H107" s="162">
        <v>9</v>
      </c>
      <c r="I107" s="162">
        <v>12</v>
      </c>
      <c r="J107" s="162">
        <v>8</v>
      </c>
      <c r="K107" s="162">
        <v>5</v>
      </c>
      <c r="L107" s="162">
        <v>6</v>
      </c>
      <c r="M107" s="162">
        <v>11</v>
      </c>
      <c r="N107" s="162">
        <v>6</v>
      </c>
      <c r="O107" s="162">
        <v>5</v>
      </c>
      <c r="P107" s="162">
        <v>7</v>
      </c>
      <c r="Q107" s="162">
        <v>13</v>
      </c>
      <c r="R107" s="162">
        <v>13</v>
      </c>
      <c r="S107" s="162">
        <v>10</v>
      </c>
      <c r="T107" s="162">
        <v>13</v>
      </c>
      <c r="U107" s="162">
        <v>15</v>
      </c>
      <c r="V107" s="162">
        <v>10</v>
      </c>
      <c r="W107" s="162">
        <v>9</v>
      </c>
      <c r="X107" s="162">
        <v>5</v>
      </c>
      <c r="Y107" s="162">
        <v>12</v>
      </c>
      <c r="Z107" s="162">
        <v>14</v>
      </c>
      <c r="AA107" s="162">
        <v>15</v>
      </c>
      <c r="AB107" s="162">
        <v>9</v>
      </c>
      <c r="AC107" s="162">
        <v>13</v>
      </c>
      <c r="AD107" s="162">
        <v>6</v>
      </c>
      <c r="AE107" s="162">
        <v>8</v>
      </c>
      <c r="AF107" s="161">
        <v>12</v>
      </c>
      <c r="AG107" s="64">
        <f t="shared" si="15"/>
        <v>305</v>
      </c>
    </row>
    <row r="108" spans="1:33" ht="18.75" x14ac:dyDescent="0.25">
      <c r="A108" s="321" t="s">
        <v>97</v>
      </c>
      <c r="B108" s="249">
        <v>6</v>
      </c>
      <c r="C108" s="162">
        <v>10</v>
      </c>
      <c r="D108" s="162">
        <v>12</v>
      </c>
      <c r="E108" s="162">
        <v>12</v>
      </c>
      <c r="F108" s="162">
        <v>9</v>
      </c>
      <c r="G108" s="162">
        <v>11</v>
      </c>
      <c r="H108" s="162">
        <v>9</v>
      </c>
      <c r="I108" s="162">
        <v>10</v>
      </c>
      <c r="J108" s="162">
        <v>6</v>
      </c>
      <c r="K108" s="162">
        <v>11</v>
      </c>
      <c r="L108" s="162">
        <v>8</v>
      </c>
      <c r="M108" s="162">
        <v>15</v>
      </c>
      <c r="N108" s="162">
        <v>6</v>
      </c>
      <c r="O108" s="162">
        <v>10</v>
      </c>
      <c r="P108" s="162">
        <v>6</v>
      </c>
      <c r="Q108" s="162">
        <v>6</v>
      </c>
      <c r="R108" s="162">
        <v>10</v>
      </c>
      <c r="S108" s="162">
        <v>11</v>
      </c>
      <c r="T108" s="162">
        <v>6</v>
      </c>
      <c r="U108" s="162">
        <v>5</v>
      </c>
      <c r="V108" s="162">
        <v>10</v>
      </c>
      <c r="W108" s="162">
        <v>12</v>
      </c>
      <c r="X108" s="162">
        <v>11</v>
      </c>
      <c r="Y108" s="162">
        <v>14</v>
      </c>
      <c r="Z108" s="162">
        <v>12</v>
      </c>
      <c r="AA108" s="162">
        <v>12</v>
      </c>
      <c r="AB108" s="162">
        <v>9</v>
      </c>
      <c r="AC108" s="162">
        <v>10</v>
      </c>
      <c r="AD108" s="162">
        <v>16</v>
      </c>
      <c r="AE108" s="162">
        <v>4</v>
      </c>
      <c r="AF108" s="161">
        <v>10</v>
      </c>
      <c r="AG108" s="64">
        <f t="shared" si="15"/>
        <v>299</v>
      </c>
    </row>
    <row r="109" spans="1:33" ht="18.75" x14ac:dyDescent="0.25">
      <c r="A109" s="321" t="s">
        <v>96</v>
      </c>
      <c r="B109" s="249">
        <v>12</v>
      </c>
      <c r="C109" s="162">
        <v>5</v>
      </c>
      <c r="D109" s="162">
        <v>9</v>
      </c>
      <c r="E109" s="162">
        <v>5</v>
      </c>
      <c r="F109" s="162">
        <v>6</v>
      </c>
      <c r="G109" s="162">
        <v>10</v>
      </c>
      <c r="H109" s="162">
        <v>7</v>
      </c>
      <c r="I109" s="162">
        <v>4</v>
      </c>
      <c r="J109" s="162">
        <v>4</v>
      </c>
      <c r="K109" s="162">
        <v>3</v>
      </c>
      <c r="L109" s="162">
        <v>12</v>
      </c>
      <c r="M109" s="162">
        <v>9</v>
      </c>
      <c r="N109" s="162">
        <v>7</v>
      </c>
      <c r="O109" s="162">
        <v>10</v>
      </c>
      <c r="P109" s="162">
        <v>8</v>
      </c>
      <c r="Q109" s="162">
        <v>13</v>
      </c>
      <c r="R109" s="162">
        <v>12</v>
      </c>
      <c r="S109" s="162">
        <v>12</v>
      </c>
      <c r="T109" s="162">
        <v>17</v>
      </c>
      <c r="U109" s="162">
        <v>9</v>
      </c>
      <c r="V109" s="162">
        <v>7</v>
      </c>
      <c r="W109" s="162">
        <v>8</v>
      </c>
      <c r="X109" s="162">
        <v>12</v>
      </c>
      <c r="Y109" s="162">
        <v>12</v>
      </c>
      <c r="Z109" s="162">
        <v>7</v>
      </c>
      <c r="AA109" s="162">
        <v>8</v>
      </c>
      <c r="AB109" s="162">
        <v>10</v>
      </c>
      <c r="AC109" s="162">
        <v>15</v>
      </c>
      <c r="AD109" s="162">
        <v>9</v>
      </c>
      <c r="AE109" s="162">
        <v>6</v>
      </c>
      <c r="AF109" s="161">
        <v>18</v>
      </c>
      <c r="AG109" s="64">
        <f t="shared" si="15"/>
        <v>286</v>
      </c>
    </row>
    <row r="110" spans="1:33" ht="18.75" x14ac:dyDescent="0.25">
      <c r="A110" s="321" t="s">
        <v>95</v>
      </c>
      <c r="B110" s="249">
        <v>5</v>
      </c>
      <c r="C110" s="162">
        <v>6</v>
      </c>
      <c r="D110" s="162">
        <v>17</v>
      </c>
      <c r="E110" s="162">
        <v>5</v>
      </c>
      <c r="F110" s="162">
        <v>6</v>
      </c>
      <c r="G110" s="162">
        <v>4</v>
      </c>
      <c r="H110" s="162">
        <v>6</v>
      </c>
      <c r="I110" s="162">
        <v>10</v>
      </c>
      <c r="J110" s="162">
        <v>4</v>
      </c>
      <c r="K110" s="162">
        <v>5</v>
      </c>
      <c r="L110" s="162">
        <v>8</v>
      </c>
      <c r="M110" s="162">
        <v>4</v>
      </c>
      <c r="N110" s="162">
        <v>4</v>
      </c>
      <c r="O110" s="162">
        <v>5</v>
      </c>
      <c r="P110" s="162">
        <v>11</v>
      </c>
      <c r="Q110" s="162">
        <v>14</v>
      </c>
      <c r="R110" s="162">
        <v>15</v>
      </c>
      <c r="S110" s="162">
        <v>16</v>
      </c>
      <c r="T110" s="162">
        <v>8</v>
      </c>
      <c r="U110" s="162">
        <v>6</v>
      </c>
      <c r="V110" s="162">
        <v>13</v>
      </c>
      <c r="W110" s="162">
        <v>6</v>
      </c>
      <c r="X110" s="162">
        <v>11</v>
      </c>
      <c r="Y110" s="162">
        <v>5</v>
      </c>
      <c r="Z110" s="162">
        <v>10</v>
      </c>
      <c r="AA110" s="162">
        <v>9</v>
      </c>
      <c r="AB110" s="162">
        <v>12</v>
      </c>
      <c r="AC110" s="162">
        <v>10</v>
      </c>
      <c r="AD110" s="162">
        <v>7</v>
      </c>
      <c r="AE110" s="162">
        <v>3</v>
      </c>
      <c r="AF110" s="161">
        <v>12</v>
      </c>
      <c r="AG110" s="64">
        <f t="shared" si="15"/>
        <v>257</v>
      </c>
    </row>
    <row r="111" spans="1:33" ht="18.75" x14ac:dyDescent="0.25">
      <c r="A111" s="321" t="s">
        <v>94</v>
      </c>
      <c r="B111" s="249">
        <v>5</v>
      </c>
      <c r="C111" s="162">
        <v>5</v>
      </c>
      <c r="D111" s="162">
        <v>10</v>
      </c>
      <c r="E111" s="162">
        <v>8</v>
      </c>
      <c r="F111" s="162">
        <v>7</v>
      </c>
      <c r="G111" s="162">
        <v>4</v>
      </c>
      <c r="H111" s="162">
        <v>7</v>
      </c>
      <c r="I111" s="162">
        <v>2</v>
      </c>
      <c r="J111" s="162">
        <v>3</v>
      </c>
      <c r="K111" s="162">
        <v>5</v>
      </c>
      <c r="L111" s="162">
        <v>4</v>
      </c>
      <c r="M111" s="162">
        <v>2</v>
      </c>
      <c r="N111" s="162">
        <v>4</v>
      </c>
      <c r="O111" s="162">
        <v>5</v>
      </c>
      <c r="P111" s="162">
        <v>5</v>
      </c>
      <c r="Q111" s="162">
        <v>5</v>
      </c>
      <c r="R111" s="162">
        <v>6</v>
      </c>
      <c r="S111" s="162">
        <v>4</v>
      </c>
      <c r="T111" s="162">
        <v>9</v>
      </c>
      <c r="U111" s="162">
        <v>10</v>
      </c>
      <c r="V111" s="162">
        <v>2</v>
      </c>
      <c r="W111" s="162">
        <v>3</v>
      </c>
      <c r="X111" s="162"/>
      <c r="Y111" s="162">
        <v>7</v>
      </c>
      <c r="Z111" s="162">
        <v>8</v>
      </c>
      <c r="AA111" s="162">
        <v>6</v>
      </c>
      <c r="AB111" s="162">
        <v>1</v>
      </c>
      <c r="AC111" s="162">
        <v>2</v>
      </c>
      <c r="AD111" s="162">
        <v>5</v>
      </c>
      <c r="AE111" s="162">
        <v>3</v>
      </c>
      <c r="AF111" s="161">
        <v>12</v>
      </c>
      <c r="AG111" s="64">
        <f t="shared" si="15"/>
        <v>159</v>
      </c>
    </row>
    <row r="112" spans="1:33" ht="18.75" x14ac:dyDescent="0.25">
      <c r="A112" s="321" t="s">
        <v>93</v>
      </c>
      <c r="B112" s="249">
        <v>5</v>
      </c>
      <c r="C112" s="162">
        <v>6</v>
      </c>
      <c r="D112" s="162">
        <v>4</v>
      </c>
      <c r="E112" s="162">
        <v>3</v>
      </c>
      <c r="F112" s="162">
        <v>4</v>
      </c>
      <c r="G112" s="162">
        <v>2</v>
      </c>
      <c r="H112" s="162">
        <v>7</v>
      </c>
      <c r="I112" s="162">
        <v>7</v>
      </c>
      <c r="J112" s="162">
        <v>3</v>
      </c>
      <c r="K112" s="162">
        <v>8</v>
      </c>
      <c r="L112" s="162">
        <v>3</v>
      </c>
      <c r="M112" s="162">
        <v>4</v>
      </c>
      <c r="N112" s="162">
        <v>2</v>
      </c>
      <c r="O112" s="162">
        <v>4</v>
      </c>
      <c r="P112" s="162">
        <v>1</v>
      </c>
      <c r="Q112" s="162">
        <v>3</v>
      </c>
      <c r="R112" s="162">
        <v>8</v>
      </c>
      <c r="S112" s="162">
        <v>9</v>
      </c>
      <c r="T112" s="162">
        <v>4</v>
      </c>
      <c r="U112" s="162">
        <v>2</v>
      </c>
      <c r="V112" s="162">
        <v>7</v>
      </c>
      <c r="W112" s="162">
        <v>6</v>
      </c>
      <c r="X112" s="162">
        <v>4</v>
      </c>
      <c r="Y112" s="162">
        <v>9</v>
      </c>
      <c r="Z112" s="162">
        <v>2</v>
      </c>
      <c r="AA112" s="162">
        <v>6</v>
      </c>
      <c r="AB112" s="162">
        <v>9</v>
      </c>
      <c r="AC112" s="162">
        <v>5</v>
      </c>
      <c r="AD112" s="162">
        <v>6</v>
      </c>
      <c r="AE112" s="162">
        <v>9</v>
      </c>
      <c r="AF112" s="161">
        <v>8</v>
      </c>
      <c r="AG112" s="64">
        <f t="shared" si="15"/>
        <v>160</v>
      </c>
    </row>
    <row r="113" spans="1:33" ht="18.75" x14ac:dyDescent="0.25">
      <c r="A113" s="321" t="s">
        <v>92</v>
      </c>
      <c r="B113" s="249">
        <v>5</v>
      </c>
      <c r="C113" s="162">
        <v>5</v>
      </c>
      <c r="D113" s="162">
        <v>9</v>
      </c>
      <c r="E113" s="162">
        <v>4</v>
      </c>
      <c r="F113" s="162">
        <v>2</v>
      </c>
      <c r="G113" s="162">
        <v>2</v>
      </c>
      <c r="H113" s="162">
        <v>5</v>
      </c>
      <c r="I113" s="162">
        <v>1</v>
      </c>
      <c r="J113" s="162"/>
      <c r="K113" s="162">
        <v>5</v>
      </c>
      <c r="L113" s="162">
        <v>3</v>
      </c>
      <c r="M113" s="162">
        <v>2</v>
      </c>
      <c r="N113" s="162"/>
      <c r="O113" s="162">
        <v>2</v>
      </c>
      <c r="P113" s="162">
        <v>1</v>
      </c>
      <c r="Q113" s="162">
        <v>3</v>
      </c>
      <c r="R113" s="162">
        <v>2</v>
      </c>
      <c r="S113" s="162">
        <v>4</v>
      </c>
      <c r="T113" s="162">
        <v>5</v>
      </c>
      <c r="U113" s="162"/>
      <c r="V113" s="162">
        <v>1</v>
      </c>
      <c r="W113" s="162">
        <v>2</v>
      </c>
      <c r="X113" s="162">
        <v>6</v>
      </c>
      <c r="Y113" s="162">
        <v>4</v>
      </c>
      <c r="Z113" s="162">
        <v>3</v>
      </c>
      <c r="AA113" s="162">
        <v>2</v>
      </c>
      <c r="AB113" s="162">
        <v>2</v>
      </c>
      <c r="AC113" s="162">
        <v>2</v>
      </c>
      <c r="AD113" s="162">
        <v>1</v>
      </c>
      <c r="AE113" s="162">
        <v>1</v>
      </c>
      <c r="AF113" s="161">
        <v>6</v>
      </c>
      <c r="AG113" s="64">
        <f t="shared" si="15"/>
        <v>90</v>
      </c>
    </row>
    <row r="114" spans="1:33" ht="18.75" x14ac:dyDescent="0.25">
      <c r="A114" s="321" t="s">
        <v>91</v>
      </c>
      <c r="B114" s="249">
        <v>8</v>
      </c>
      <c r="C114" s="162">
        <v>3</v>
      </c>
      <c r="D114" s="162">
        <v>5</v>
      </c>
      <c r="E114" s="162">
        <v>6</v>
      </c>
      <c r="F114" s="162">
        <v>1</v>
      </c>
      <c r="G114" s="162">
        <v>7</v>
      </c>
      <c r="H114" s="162">
        <v>2</v>
      </c>
      <c r="I114" s="162">
        <v>3</v>
      </c>
      <c r="J114" s="162">
        <v>4</v>
      </c>
      <c r="K114" s="162">
        <v>2</v>
      </c>
      <c r="L114" s="162">
        <v>4</v>
      </c>
      <c r="M114" s="162">
        <v>2</v>
      </c>
      <c r="N114" s="162">
        <v>7</v>
      </c>
      <c r="O114" s="162">
        <v>4</v>
      </c>
      <c r="P114" s="162">
        <v>7</v>
      </c>
      <c r="Q114" s="162">
        <v>2</v>
      </c>
      <c r="R114" s="162">
        <v>8</v>
      </c>
      <c r="S114" s="162">
        <v>3</v>
      </c>
      <c r="T114" s="162">
        <v>2</v>
      </c>
      <c r="U114" s="162">
        <v>1</v>
      </c>
      <c r="V114" s="162">
        <v>6</v>
      </c>
      <c r="W114" s="162">
        <v>3</v>
      </c>
      <c r="X114" s="162">
        <v>4</v>
      </c>
      <c r="Y114" s="162">
        <v>3</v>
      </c>
      <c r="Z114" s="162"/>
      <c r="AA114" s="162">
        <v>10</v>
      </c>
      <c r="AB114" s="162">
        <v>4</v>
      </c>
      <c r="AC114" s="162">
        <v>5</v>
      </c>
      <c r="AD114" s="162">
        <v>6</v>
      </c>
      <c r="AE114" s="162">
        <v>5</v>
      </c>
      <c r="AF114" s="161">
        <v>6</v>
      </c>
      <c r="AG114" s="64">
        <f t="shared" si="15"/>
        <v>133</v>
      </c>
    </row>
    <row r="115" spans="1:33" ht="19.5" thickBot="1" x14ac:dyDescent="0.3">
      <c r="A115" s="322"/>
      <c r="B115" s="255"/>
      <c r="C115" s="169"/>
      <c r="D115" s="169"/>
      <c r="E115" s="169"/>
      <c r="F115" s="169"/>
      <c r="G115" s="169"/>
      <c r="H115" s="169"/>
      <c r="I115" s="169"/>
      <c r="J115" s="169"/>
      <c r="K115" s="169"/>
      <c r="L115" s="169"/>
      <c r="M115" s="169"/>
      <c r="N115" s="169"/>
      <c r="O115" s="169"/>
      <c r="P115" s="169"/>
      <c r="Q115" s="169"/>
      <c r="R115" s="169"/>
      <c r="S115" s="169"/>
      <c r="T115" s="169"/>
      <c r="U115" s="169"/>
      <c r="V115" s="169"/>
      <c r="W115" s="169"/>
      <c r="X115" s="169"/>
      <c r="Y115" s="169"/>
      <c r="Z115" s="169"/>
      <c r="AA115" s="169"/>
      <c r="AB115" s="169"/>
      <c r="AC115" s="169"/>
      <c r="AD115" s="169"/>
      <c r="AE115" s="169"/>
      <c r="AF115" s="168"/>
      <c r="AG115" s="64">
        <f t="shared" si="15"/>
        <v>0</v>
      </c>
    </row>
    <row r="116" spans="1:33" ht="18.75" x14ac:dyDescent="0.25">
      <c r="A116" s="315" t="s">
        <v>90</v>
      </c>
      <c r="B116" s="261">
        <f t="shared" ref="B116:AF116" si="17">SUM(B117:B129)</f>
        <v>26</v>
      </c>
      <c r="C116" s="166">
        <f t="shared" si="17"/>
        <v>25</v>
      </c>
      <c r="D116" s="166">
        <f t="shared" si="17"/>
        <v>46</v>
      </c>
      <c r="E116" s="166">
        <f t="shared" si="17"/>
        <v>24</v>
      </c>
      <c r="F116" s="166">
        <f t="shared" si="17"/>
        <v>27</v>
      </c>
      <c r="G116" s="166">
        <f t="shared" si="17"/>
        <v>15</v>
      </c>
      <c r="H116" s="166">
        <f t="shared" si="17"/>
        <v>41</v>
      </c>
      <c r="I116" s="166">
        <f t="shared" si="17"/>
        <v>33</v>
      </c>
      <c r="J116" s="166">
        <f t="shared" si="17"/>
        <v>26</v>
      </c>
      <c r="K116" s="166">
        <f t="shared" si="17"/>
        <v>38</v>
      </c>
      <c r="L116" s="166">
        <f t="shared" si="17"/>
        <v>38</v>
      </c>
      <c r="M116" s="166">
        <f t="shared" si="17"/>
        <v>30</v>
      </c>
      <c r="N116" s="166">
        <f t="shared" si="17"/>
        <v>12</v>
      </c>
      <c r="O116" s="166">
        <f t="shared" si="17"/>
        <v>28</v>
      </c>
      <c r="P116" s="166">
        <f t="shared" si="17"/>
        <v>23</v>
      </c>
      <c r="Q116" s="166">
        <f t="shared" si="17"/>
        <v>43</v>
      </c>
      <c r="R116" s="166">
        <f t="shared" si="17"/>
        <v>44</v>
      </c>
      <c r="S116" s="166">
        <f t="shared" si="17"/>
        <v>52</v>
      </c>
      <c r="T116" s="166">
        <f t="shared" si="17"/>
        <v>25</v>
      </c>
      <c r="U116" s="166">
        <f t="shared" si="17"/>
        <v>20</v>
      </c>
      <c r="V116" s="166">
        <f t="shared" si="17"/>
        <v>29</v>
      </c>
      <c r="W116" s="166">
        <f t="shared" si="17"/>
        <v>27</v>
      </c>
      <c r="X116" s="166">
        <f t="shared" si="17"/>
        <v>17</v>
      </c>
      <c r="Y116" s="166">
        <f t="shared" si="17"/>
        <v>41</v>
      </c>
      <c r="Z116" s="166">
        <f t="shared" si="17"/>
        <v>30</v>
      </c>
      <c r="AA116" s="166">
        <f t="shared" si="17"/>
        <v>23</v>
      </c>
      <c r="AB116" s="166">
        <f t="shared" si="17"/>
        <v>34</v>
      </c>
      <c r="AC116" s="166">
        <f t="shared" si="17"/>
        <v>37</v>
      </c>
      <c r="AD116" s="166">
        <f t="shared" si="17"/>
        <v>38</v>
      </c>
      <c r="AE116" s="166">
        <f t="shared" si="17"/>
        <v>25</v>
      </c>
      <c r="AF116" s="165">
        <f t="shared" si="17"/>
        <v>42</v>
      </c>
      <c r="AG116" s="64">
        <f t="shared" si="15"/>
        <v>959</v>
      </c>
    </row>
    <row r="117" spans="1:33" ht="18.75" x14ac:dyDescent="0.25">
      <c r="A117" s="323" t="s">
        <v>67</v>
      </c>
      <c r="B117" s="249">
        <v>21</v>
      </c>
      <c r="C117" s="162">
        <v>16</v>
      </c>
      <c r="D117" s="162">
        <v>30</v>
      </c>
      <c r="E117" s="162">
        <v>17</v>
      </c>
      <c r="F117" s="162">
        <v>14</v>
      </c>
      <c r="G117" s="162">
        <v>9</v>
      </c>
      <c r="H117" s="162">
        <v>27</v>
      </c>
      <c r="I117" s="162">
        <v>19</v>
      </c>
      <c r="J117" s="162">
        <v>13</v>
      </c>
      <c r="K117" s="162">
        <v>23</v>
      </c>
      <c r="L117" s="162">
        <v>27</v>
      </c>
      <c r="M117" s="162">
        <v>22</v>
      </c>
      <c r="N117" s="162">
        <v>3</v>
      </c>
      <c r="O117" s="162">
        <v>21</v>
      </c>
      <c r="P117" s="162">
        <v>12</v>
      </c>
      <c r="Q117" s="162">
        <v>29</v>
      </c>
      <c r="R117" s="162">
        <v>26</v>
      </c>
      <c r="S117" s="162">
        <v>26</v>
      </c>
      <c r="T117" s="162">
        <v>16</v>
      </c>
      <c r="U117" s="162">
        <v>5</v>
      </c>
      <c r="V117" s="162">
        <v>17</v>
      </c>
      <c r="W117" s="162">
        <v>17</v>
      </c>
      <c r="X117" s="162">
        <v>8</v>
      </c>
      <c r="Y117" s="162">
        <v>27</v>
      </c>
      <c r="Z117" s="162">
        <v>23</v>
      </c>
      <c r="AA117" s="162">
        <v>14</v>
      </c>
      <c r="AB117" s="162">
        <v>20</v>
      </c>
      <c r="AC117" s="162">
        <v>20</v>
      </c>
      <c r="AD117" s="162">
        <v>23</v>
      </c>
      <c r="AE117" s="162">
        <v>15</v>
      </c>
      <c r="AF117" s="161">
        <v>35</v>
      </c>
      <c r="AG117" s="64">
        <f t="shared" si="15"/>
        <v>595</v>
      </c>
    </row>
    <row r="118" spans="1:33" ht="19.5" hidden="1" customHeight="1" thickBot="1" x14ac:dyDescent="0.3">
      <c r="A118" s="323" t="s">
        <v>69</v>
      </c>
      <c r="B118" s="249"/>
      <c r="C118" s="162"/>
      <c r="D118" s="162"/>
      <c r="E118" s="162"/>
      <c r="F118" s="162"/>
      <c r="G118" s="162"/>
      <c r="H118" s="162"/>
      <c r="I118" s="162"/>
      <c r="J118" s="162"/>
      <c r="K118" s="162"/>
      <c r="L118" s="162"/>
      <c r="M118" s="162"/>
      <c r="N118" s="162"/>
      <c r="O118" s="162"/>
      <c r="P118" s="162"/>
      <c r="Q118" s="162"/>
      <c r="R118" s="162"/>
      <c r="S118" s="162"/>
      <c r="T118" s="162"/>
      <c r="U118" s="162"/>
      <c r="V118" s="162"/>
      <c r="W118" s="162"/>
      <c r="X118" s="162"/>
      <c r="Y118" s="162"/>
      <c r="Z118" s="162"/>
      <c r="AA118" s="162"/>
      <c r="AB118" s="162"/>
      <c r="AC118" s="162"/>
      <c r="AD118" s="162"/>
      <c r="AE118" s="162"/>
      <c r="AF118" s="161"/>
      <c r="AG118" s="64">
        <f t="shared" si="15"/>
        <v>0</v>
      </c>
    </row>
    <row r="119" spans="1:33" ht="19.5" hidden="1" customHeight="1" thickBot="1" x14ac:dyDescent="0.3">
      <c r="A119" s="323" t="s">
        <v>68</v>
      </c>
      <c r="B119" s="249"/>
      <c r="C119" s="162"/>
      <c r="D119" s="162"/>
      <c r="E119" s="162"/>
      <c r="F119" s="162"/>
      <c r="G119" s="162"/>
      <c r="H119" s="162"/>
      <c r="I119" s="162"/>
      <c r="J119" s="162"/>
      <c r="K119" s="162"/>
      <c r="L119" s="162"/>
      <c r="M119" s="162"/>
      <c r="N119" s="162"/>
      <c r="O119" s="162"/>
      <c r="P119" s="162"/>
      <c r="Q119" s="162"/>
      <c r="R119" s="162"/>
      <c r="S119" s="162"/>
      <c r="T119" s="162"/>
      <c r="U119" s="162"/>
      <c r="V119" s="162"/>
      <c r="W119" s="162"/>
      <c r="X119" s="162"/>
      <c r="Y119" s="162"/>
      <c r="Z119" s="162"/>
      <c r="AA119" s="162"/>
      <c r="AB119" s="162"/>
      <c r="AC119" s="162"/>
      <c r="AD119" s="162"/>
      <c r="AE119" s="162"/>
      <c r="AF119" s="161"/>
      <c r="AG119" s="64">
        <f t="shared" si="15"/>
        <v>0</v>
      </c>
    </row>
    <row r="120" spans="1:33" ht="19.5" hidden="1" customHeight="1" thickBot="1" x14ac:dyDescent="0.3">
      <c r="A120" s="323" t="s">
        <v>66</v>
      </c>
      <c r="B120" s="249"/>
      <c r="C120" s="162"/>
      <c r="D120" s="162"/>
      <c r="E120" s="162"/>
      <c r="F120" s="162"/>
      <c r="G120" s="162"/>
      <c r="H120" s="162"/>
      <c r="I120" s="162"/>
      <c r="J120" s="162"/>
      <c r="K120" s="162"/>
      <c r="L120" s="162"/>
      <c r="M120" s="162"/>
      <c r="N120" s="162"/>
      <c r="O120" s="162"/>
      <c r="P120" s="162"/>
      <c r="Q120" s="162"/>
      <c r="R120" s="162"/>
      <c r="S120" s="162"/>
      <c r="T120" s="162"/>
      <c r="U120" s="162"/>
      <c r="V120" s="162"/>
      <c r="W120" s="162"/>
      <c r="X120" s="162"/>
      <c r="Y120" s="162"/>
      <c r="Z120" s="162"/>
      <c r="AA120" s="162"/>
      <c r="AB120" s="162"/>
      <c r="AC120" s="162"/>
      <c r="AD120" s="162"/>
      <c r="AE120" s="162"/>
      <c r="AF120" s="161"/>
      <c r="AG120" s="64">
        <f t="shared" si="15"/>
        <v>0</v>
      </c>
    </row>
    <row r="121" spans="1:33" ht="19.5" hidden="1" customHeight="1" thickBot="1" x14ac:dyDescent="0.3">
      <c r="A121" s="323" t="s">
        <v>65</v>
      </c>
      <c r="B121" s="249"/>
      <c r="C121" s="162"/>
      <c r="D121" s="162"/>
      <c r="E121" s="162"/>
      <c r="F121" s="162"/>
      <c r="G121" s="162"/>
      <c r="H121" s="162"/>
      <c r="I121" s="162"/>
      <c r="J121" s="162"/>
      <c r="K121" s="162"/>
      <c r="L121" s="162"/>
      <c r="M121" s="162"/>
      <c r="N121" s="162"/>
      <c r="O121" s="162"/>
      <c r="P121" s="162"/>
      <c r="Q121" s="162"/>
      <c r="R121" s="162"/>
      <c r="S121" s="162"/>
      <c r="T121" s="162"/>
      <c r="U121" s="162"/>
      <c r="V121" s="162"/>
      <c r="W121" s="162"/>
      <c r="X121" s="162"/>
      <c r="Y121" s="162"/>
      <c r="Z121" s="162"/>
      <c r="AA121" s="162"/>
      <c r="AB121" s="162"/>
      <c r="AC121" s="162"/>
      <c r="AD121" s="162"/>
      <c r="AE121" s="162"/>
      <c r="AF121" s="161"/>
      <c r="AG121" s="64">
        <f t="shared" si="15"/>
        <v>0</v>
      </c>
    </row>
    <row r="122" spans="1:33" ht="19.5" hidden="1" customHeight="1" thickBot="1" x14ac:dyDescent="0.3">
      <c r="A122" s="323" t="s">
        <v>64</v>
      </c>
      <c r="B122" s="249"/>
      <c r="C122" s="162"/>
      <c r="D122" s="162"/>
      <c r="E122" s="162"/>
      <c r="F122" s="162"/>
      <c r="G122" s="162"/>
      <c r="H122" s="162"/>
      <c r="I122" s="162"/>
      <c r="J122" s="162"/>
      <c r="K122" s="162"/>
      <c r="L122" s="162"/>
      <c r="M122" s="162"/>
      <c r="N122" s="162"/>
      <c r="O122" s="162"/>
      <c r="P122" s="162"/>
      <c r="Q122" s="162"/>
      <c r="R122" s="162"/>
      <c r="S122" s="162"/>
      <c r="T122" s="162"/>
      <c r="U122" s="162"/>
      <c r="V122" s="162"/>
      <c r="W122" s="162"/>
      <c r="X122" s="162"/>
      <c r="Y122" s="162"/>
      <c r="Z122" s="162"/>
      <c r="AA122" s="162"/>
      <c r="AB122" s="162"/>
      <c r="AC122" s="162"/>
      <c r="AD122" s="162"/>
      <c r="AE122" s="162"/>
      <c r="AF122" s="161"/>
      <c r="AG122" s="64">
        <f t="shared" si="15"/>
        <v>0</v>
      </c>
    </row>
    <row r="123" spans="1:33" ht="19.5" hidden="1" customHeight="1" thickBot="1" x14ac:dyDescent="0.3">
      <c r="A123" s="323" t="s">
        <v>63</v>
      </c>
      <c r="B123" s="249"/>
      <c r="C123" s="162"/>
      <c r="D123" s="162"/>
      <c r="E123" s="162"/>
      <c r="F123" s="162"/>
      <c r="G123" s="162"/>
      <c r="H123" s="162"/>
      <c r="I123" s="162"/>
      <c r="J123" s="162"/>
      <c r="K123" s="162"/>
      <c r="L123" s="162"/>
      <c r="M123" s="162"/>
      <c r="N123" s="162"/>
      <c r="O123" s="162"/>
      <c r="P123" s="162"/>
      <c r="Q123" s="162"/>
      <c r="R123" s="162"/>
      <c r="S123" s="162"/>
      <c r="T123" s="162"/>
      <c r="U123" s="162"/>
      <c r="V123" s="162"/>
      <c r="W123" s="162"/>
      <c r="X123" s="162"/>
      <c r="Y123" s="162"/>
      <c r="Z123" s="162"/>
      <c r="AA123" s="162"/>
      <c r="AB123" s="162"/>
      <c r="AC123" s="162"/>
      <c r="AD123" s="162"/>
      <c r="AE123" s="162"/>
      <c r="AF123" s="161"/>
      <c r="AG123" s="64">
        <f t="shared" si="15"/>
        <v>0</v>
      </c>
    </row>
    <row r="124" spans="1:33" ht="19.5" hidden="1" customHeight="1" thickBot="1" x14ac:dyDescent="0.3">
      <c r="A124" s="323" t="s">
        <v>62</v>
      </c>
      <c r="B124" s="249"/>
      <c r="C124" s="162"/>
      <c r="D124" s="162"/>
      <c r="E124" s="162"/>
      <c r="F124" s="162"/>
      <c r="G124" s="162"/>
      <c r="H124" s="162"/>
      <c r="I124" s="162"/>
      <c r="J124" s="162"/>
      <c r="K124" s="162"/>
      <c r="L124" s="162"/>
      <c r="M124" s="162"/>
      <c r="N124" s="162"/>
      <c r="O124" s="162"/>
      <c r="P124" s="162"/>
      <c r="Q124" s="162"/>
      <c r="R124" s="162"/>
      <c r="S124" s="162"/>
      <c r="T124" s="162"/>
      <c r="U124" s="162"/>
      <c r="V124" s="162"/>
      <c r="W124" s="162"/>
      <c r="X124" s="162"/>
      <c r="Y124" s="162"/>
      <c r="Z124" s="162"/>
      <c r="AA124" s="162"/>
      <c r="AB124" s="162"/>
      <c r="AC124" s="162"/>
      <c r="AD124" s="162"/>
      <c r="AE124" s="162"/>
      <c r="AF124" s="161"/>
      <c r="AG124" s="64">
        <f t="shared" si="15"/>
        <v>0</v>
      </c>
    </row>
    <row r="125" spans="1:33" ht="19.5" hidden="1" customHeight="1" thickBot="1" x14ac:dyDescent="0.3">
      <c r="A125" s="301" t="s">
        <v>60</v>
      </c>
      <c r="B125" s="249"/>
      <c r="C125" s="162"/>
      <c r="D125" s="162"/>
      <c r="E125" s="162"/>
      <c r="F125" s="162"/>
      <c r="G125" s="162"/>
      <c r="H125" s="162"/>
      <c r="I125" s="162"/>
      <c r="J125" s="162"/>
      <c r="K125" s="162"/>
      <c r="L125" s="162"/>
      <c r="M125" s="162"/>
      <c r="N125" s="162"/>
      <c r="O125" s="162"/>
      <c r="P125" s="162"/>
      <c r="Q125" s="162"/>
      <c r="R125" s="162"/>
      <c r="S125" s="162"/>
      <c r="T125" s="162"/>
      <c r="U125" s="162"/>
      <c r="V125" s="162"/>
      <c r="W125" s="162"/>
      <c r="X125" s="162"/>
      <c r="Y125" s="162"/>
      <c r="Z125" s="162"/>
      <c r="AA125" s="162"/>
      <c r="AB125" s="162"/>
      <c r="AC125" s="162"/>
      <c r="AD125" s="162"/>
      <c r="AE125" s="162"/>
      <c r="AF125" s="161"/>
      <c r="AG125" s="64">
        <f t="shared" si="15"/>
        <v>0</v>
      </c>
    </row>
    <row r="126" spans="1:33" ht="19.5" hidden="1" customHeight="1" thickBot="1" x14ac:dyDescent="0.3">
      <c r="A126" s="301" t="s">
        <v>59</v>
      </c>
      <c r="B126" s="249"/>
      <c r="C126" s="162"/>
      <c r="D126" s="162"/>
      <c r="E126" s="162"/>
      <c r="F126" s="162"/>
      <c r="G126" s="162"/>
      <c r="H126" s="162"/>
      <c r="I126" s="162"/>
      <c r="J126" s="162"/>
      <c r="K126" s="162"/>
      <c r="L126" s="162"/>
      <c r="M126" s="162"/>
      <c r="N126" s="162"/>
      <c r="O126" s="162"/>
      <c r="P126" s="162"/>
      <c r="Q126" s="162"/>
      <c r="R126" s="162"/>
      <c r="S126" s="162"/>
      <c r="T126" s="162"/>
      <c r="U126" s="162"/>
      <c r="V126" s="162"/>
      <c r="W126" s="162"/>
      <c r="X126" s="162"/>
      <c r="Y126" s="162"/>
      <c r="Z126" s="162"/>
      <c r="AA126" s="162"/>
      <c r="AB126" s="162"/>
      <c r="AC126" s="162"/>
      <c r="AD126" s="162"/>
      <c r="AE126" s="162"/>
      <c r="AF126" s="161"/>
      <c r="AG126" s="64">
        <f t="shared" si="15"/>
        <v>0</v>
      </c>
    </row>
    <row r="127" spans="1:33" ht="19.5" hidden="1" customHeight="1" thickBot="1" x14ac:dyDescent="0.3">
      <c r="A127" s="301" t="s">
        <v>58</v>
      </c>
      <c r="B127" s="249"/>
      <c r="C127" s="162"/>
      <c r="D127" s="162"/>
      <c r="E127" s="162"/>
      <c r="F127" s="162"/>
      <c r="G127" s="162"/>
      <c r="H127" s="162"/>
      <c r="I127" s="162"/>
      <c r="J127" s="162"/>
      <c r="K127" s="162"/>
      <c r="L127" s="162"/>
      <c r="M127" s="162"/>
      <c r="N127" s="162"/>
      <c r="O127" s="162"/>
      <c r="P127" s="162"/>
      <c r="Q127" s="162"/>
      <c r="R127" s="162"/>
      <c r="S127" s="162"/>
      <c r="T127" s="162"/>
      <c r="U127" s="162"/>
      <c r="V127" s="162"/>
      <c r="W127" s="162"/>
      <c r="X127" s="162"/>
      <c r="Y127" s="162"/>
      <c r="Z127" s="162"/>
      <c r="AA127" s="162"/>
      <c r="AB127" s="162"/>
      <c r="AC127" s="162"/>
      <c r="AD127" s="162"/>
      <c r="AE127" s="162"/>
      <c r="AF127" s="161"/>
      <c r="AG127" s="64">
        <f t="shared" si="15"/>
        <v>0</v>
      </c>
    </row>
    <row r="128" spans="1:33" ht="19.5" hidden="1" customHeight="1" thickBot="1" x14ac:dyDescent="0.3">
      <c r="A128" s="323" t="s">
        <v>88</v>
      </c>
      <c r="B128" s="249"/>
      <c r="C128" s="162"/>
      <c r="D128" s="162"/>
      <c r="E128" s="162"/>
      <c r="F128" s="162"/>
      <c r="G128" s="162"/>
      <c r="H128" s="162"/>
      <c r="I128" s="162"/>
      <c r="J128" s="162"/>
      <c r="K128" s="162"/>
      <c r="L128" s="162"/>
      <c r="M128" s="162"/>
      <c r="N128" s="162"/>
      <c r="O128" s="162"/>
      <c r="P128" s="162"/>
      <c r="Q128" s="162"/>
      <c r="R128" s="162"/>
      <c r="S128" s="162"/>
      <c r="T128" s="162"/>
      <c r="U128" s="162"/>
      <c r="V128" s="162"/>
      <c r="W128" s="162"/>
      <c r="X128" s="162"/>
      <c r="Y128" s="162"/>
      <c r="Z128" s="162"/>
      <c r="AA128" s="162"/>
      <c r="AB128" s="162"/>
      <c r="AC128" s="162"/>
      <c r="AD128" s="162"/>
      <c r="AE128" s="162"/>
      <c r="AF128" s="161"/>
      <c r="AG128" s="64">
        <f t="shared" si="15"/>
        <v>0</v>
      </c>
    </row>
    <row r="129" spans="1:35" ht="19.5" thickBot="1" x14ac:dyDescent="0.3">
      <c r="A129" s="324" t="s">
        <v>87</v>
      </c>
      <c r="B129" s="263">
        <v>5</v>
      </c>
      <c r="C129" s="140">
        <f>7+2</f>
        <v>9</v>
      </c>
      <c r="D129" s="140">
        <f>12+4</f>
        <v>16</v>
      </c>
      <c r="E129" s="140">
        <f>4+3</f>
        <v>7</v>
      </c>
      <c r="F129" s="140">
        <f>10+3</f>
        <v>13</v>
      </c>
      <c r="G129" s="140">
        <f>5+1</f>
        <v>6</v>
      </c>
      <c r="H129" s="140">
        <f>13+1</f>
        <v>14</v>
      </c>
      <c r="I129" s="140">
        <f>10+2+2</f>
        <v>14</v>
      </c>
      <c r="J129" s="140">
        <f>6+1+6</f>
        <v>13</v>
      </c>
      <c r="K129" s="140">
        <f>6+1+7+1</f>
        <v>15</v>
      </c>
      <c r="L129" s="140">
        <f>5+6</f>
        <v>11</v>
      </c>
      <c r="M129" s="140">
        <v>8</v>
      </c>
      <c r="N129" s="140">
        <f>8+1</f>
        <v>9</v>
      </c>
      <c r="O129" s="140">
        <f>6+1</f>
        <v>7</v>
      </c>
      <c r="P129" s="140">
        <f>10+1</f>
        <v>11</v>
      </c>
      <c r="Q129" s="140">
        <f>5+9</f>
        <v>14</v>
      </c>
      <c r="R129" s="140">
        <f>12+6</f>
        <v>18</v>
      </c>
      <c r="S129" s="140">
        <f>18+8</f>
        <v>26</v>
      </c>
      <c r="T129" s="140">
        <f>6+3</f>
        <v>9</v>
      </c>
      <c r="U129" s="140">
        <f>12+1+2</f>
        <v>15</v>
      </c>
      <c r="V129" s="140">
        <f>10+2</f>
        <v>12</v>
      </c>
      <c r="W129" s="140">
        <f>8+1+1</f>
        <v>10</v>
      </c>
      <c r="X129" s="140">
        <f>7+2</f>
        <v>9</v>
      </c>
      <c r="Y129" s="140">
        <f>11+3</f>
        <v>14</v>
      </c>
      <c r="Z129" s="140">
        <f>5+2</f>
        <v>7</v>
      </c>
      <c r="AA129" s="140">
        <f>7+2</f>
        <v>9</v>
      </c>
      <c r="AB129" s="140">
        <f>12+2</f>
        <v>14</v>
      </c>
      <c r="AC129" s="140">
        <f>14+3</f>
        <v>17</v>
      </c>
      <c r="AD129" s="140">
        <f>11+1+2+1</f>
        <v>15</v>
      </c>
      <c r="AE129" s="140">
        <f>7+3</f>
        <v>10</v>
      </c>
      <c r="AF129" s="139">
        <f>5+2</f>
        <v>7</v>
      </c>
      <c r="AG129" s="64">
        <f t="shared" si="15"/>
        <v>364</v>
      </c>
    </row>
    <row r="130" spans="1:35" ht="18.75" x14ac:dyDescent="0.25">
      <c r="A130" s="315" t="s">
        <v>89</v>
      </c>
      <c r="B130" s="261">
        <f t="shared" ref="B130:AF130" si="18">SUM(B131:B143)</f>
        <v>125</v>
      </c>
      <c r="C130" s="166">
        <f t="shared" si="18"/>
        <v>104</v>
      </c>
      <c r="D130" s="166">
        <f t="shared" si="18"/>
        <v>175</v>
      </c>
      <c r="E130" s="166">
        <f t="shared" si="18"/>
        <v>120</v>
      </c>
      <c r="F130" s="166">
        <f t="shared" si="18"/>
        <v>130</v>
      </c>
      <c r="G130" s="166">
        <f t="shared" si="18"/>
        <v>141</v>
      </c>
      <c r="H130" s="166">
        <f t="shared" si="18"/>
        <v>140</v>
      </c>
      <c r="I130" s="166">
        <f t="shared" si="18"/>
        <v>126</v>
      </c>
      <c r="J130" s="166">
        <f t="shared" si="18"/>
        <v>93</v>
      </c>
      <c r="K130" s="166">
        <f t="shared" si="18"/>
        <v>117</v>
      </c>
      <c r="L130" s="166">
        <f t="shared" si="18"/>
        <v>120</v>
      </c>
      <c r="M130" s="166">
        <f t="shared" si="18"/>
        <v>117</v>
      </c>
      <c r="N130" s="166">
        <f t="shared" si="18"/>
        <v>112</v>
      </c>
      <c r="O130" s="166">
        <f t="shared" si="18"/>
        <v>120</v>
      </c>
      <c r="P130" s="166">
        <f t="shared" si="18"/>
        <v>130</v>
      </c>
      <c r="Q130" s="166">
        <f t="shared" si="18"/>
        <v>155</v>
      </c>
      <c r="R130" s="166">
        <f t="shared" si="18"/>
        <v>181</v>
      </c>
      <c r="S130" s="166">
        <f t="shared" si="18"/>
        <v>169</v>
      </c>
      <c r="T130" s="166">
        <f t="shared" si="18"/>
        <v>169</v>
      </c>
      <c r="U130" s="166">
        <f t="shared" si="18"/>
        <v>154</v>
      </c>
      <c r="V130" s="166">
        <f t="shared" si="18"/>
        <v>148</v>
      </c>
      <c r="W130" s="166">
        <f t="shared" si="18"/>
        <v>141</v>
      </c>
      <c r="X130" s="166">
        <f t="shared" si="18"/>
        <v>157</v>
      </c>
      <c r="Y130" s="166">
        <f t="shared" si="18"/>
        <v>137</v>
      </c>
      <c r="Z130" s="166">
        <f t="shared" si="18"/>
        <v>151</v>
      </c>
      <c r="AA130" s="166">
        <f t="shared" si="18"/>
        <v>160</v>
      </c>
      <c r="AB130" s="166">
        <f t="shared" si="18"/>
        <v>156</v>
      </c>
      <c r="AC130" s="166">
        <f t="shared" si="18"/>
        <v>151</v>
      </c>
      <c r="AD130" s="166">
        <f t="shared" si="18"/>
        <v>145</v>
      </c>
      <c r="AE130" s="166">
        <f t="shared" si="18"/>
        <v>117</v>
      </c>
      <c r="AF130" s="165">
        <f t="shared" si="18"/>
        <v>157</v>
      </c>
      <c r="AG130" s="164">
        <f t="shared" si="15"/>
        <v>4318</v>
      </c>
      <c r="AH130" s="152" t="str">
        <f>IF(AG130&lt;&gt;AG93,"*","")</f>
        <v/>
      </c>
    </row>
    <row r="131" spans="1:35" ht="18.75" x14ac:dyDescent="0.25">
      <c r="A131" s="323" t="s">
        <v>67</v>
      </c>
      <c r="B131" s="249">
        <v>21</v>
      </c>
      <c r="C131" s="162">
        <v>11</v>
      </c>
      <c r="D131" s="162">
        <v>28</v>
      </c>
      <c r="E131" s="162">
        <v>17</v>
      </c>
      <c r="F131" s="162">
        <v>12</v>
      </c>
      <c r="G131" s="162">
        <v>9</v>
      </c>
      <c r="H131" s="162">
        <v>25</v>
      </c>
      <c r="I131" s="162">
        <v>19</v>
      </c>
      <c r="J131" s="162">
        <v>12</v>
      </c>
      <c r="K131" s="162">
        <v>23</v>
      </c>
      <c r="L131" s="162">
        <v>27</v>
      </c>
      <c r="M131" s="162">
        <v>20</v>
      </c>
      <c r="N131" s="162">
        <v>3</v>
      </c>
      <c r="O131" s="162">
        <v>21</v>
      </c>
      <c r="P131" s="162">
        <v>12</v>
      </c>
      <c r="Q131" s="162">
        <v>29</v>
      </c>
      <c r="R131" s="162">
        <v>26</v>
      </c>
      <c r="S131" s="162">
        <v>25</v>
      </c>
      <c r="T131" s="162">
        <v>16</v>
      </c>
      <c r="U131" s="162">
        <v>4</v>
      </c>
      <c r="V131" s="162">
        <v>17</v>
      </c>
      <c r="W131" s="162">
        <v>14</v>
      </c>
      <c r="X131" s="162">
        <v>8</v>
      </c>
      <c r="Y131" s="162">
        <v>27</v>
      </c>
      <c r="Z131" s="162">
        <v>23</v>
      </c>
      <c r="AA131" s="162">
        <v>13</v>
      </c>
      <c r="AB131" s="162">
        <v>19</v>
      </c>
      <c r="AC131" s="162">
        <v>20</v>
      </c>
      <c r="AD131" s="162">
        <v>23</v>
      </c>
      <c r="AE131" s="162">
        <v>15</v>
      </c>
      <c r="AF131" s="161">
        <v>35</v>
      </c>
      <c r="AG131" s="64">
        <f t="shared" ref="AG131:AG145" si="19">SUM(B131:AF131)</f>
        <v>574</v>
      </c>
    </row>
    <row r="132" spans="1:35" ht="18.75" x14ac:dyDescent="0.25">
      <c r="A132" s="323" t="s">
        <v>69</v>
      </c>
      <c r="B132" s="249">
        <v>8</v>
      </c>
      <c r="C132" s="162">
        <v>69</v>
      </c>
      <c r="D132" s="162">
        <v>6</v>
      </c>
      <c r="E132" s="162">
        <v>7</v>
      </c>
      <c r="F132" s="162">
        <v>4</v>
      </c>
      <c r="G132" s="162">
        <v>3</v>
      </c>
      <c r="H132" s="162">
        <v>4</v>
      </c>
      <c r="I132" s="162">
        <v>3</v>
      </c>
      <c r="J132" s="162">
        <v>3</v>
      </c>
      <c r="K132" s="162">
        <v>8</v>
      </c>
      <c r="L132" s="162">
        <v>12</v>
      </c>
      <c r="M132" s="162">
        <v>1</v>
      </c>
      <c r="N132" s="162">
        <v>1</v>
      </c>
      <c r="O132" s="162">
        <v>3</v>
      </c>
      <c r="P132" s="162">
        <v>8</v>
      </c>
      <c r="Q132" s="162">
        <v>4</v>
      </c>
      <c r="R132" s="162">
        <v>6</v>
      </c>
      <c r="S132" s="162">
        <v>7</v>
      </c>
      <c r="T132" s="162">
        <v>7</v>
      </c>
      <c r="U132" s="162">
        <v>2</v>
      </c>
      <c r="V132" s="162">
        <v>2</v>
      </c>
      <c r="W132" s="162">
        <v>8</v>
      </c>
      <c r="X132" s="162">
        <v>1</v>
      </c>
      <c r="Y132" s="162">
        <v>8</v>
      </c>
      <c r="Z132" s="162">
        <v>4</v>
      </c>
      <c r="AA132" s="162">
        <v>9</v>
      </c>
      <c r="AB132" s="162">
        <v>7</v>
      </c>
      <c r="AC132" s="162">
        <v>3</v>
      </c>
      <c r="AD132" s="162">
        <v>6</v>
      </c>
      <c r="AE132" s="162">
        <v>1</v>
      </c>
      <c r="AF132" s="161">
        <v>10</v>
      </c>
      <c r="AG132" s="64">
        <f t="shared" si="19"/>
        <v>225</v>
      </c>
    </row>
    <row r="133" spans="1:35" ht="18.75" x14ac:dyDescent="0.25">
      <c r="A133" s="323" t="s">
        <v>68</v>
      </c>
      <c r="B133" s="249">
        <v>5</v>
      </c>
      <c r="C133" s="162">
        <v>1</v>
      </c>
      <c r="D133" s="162">
        <v>4</v>
      </c>
      <c r="E133" s="162">
        <v>9</v>
      </c>
      <c r="F133" s="162"/>
      <c r="G133" s="162">
        <v>3</v>
      </c>
      <c r="H133" s="162">
        <v>6</v>
      </c>
      <c r="I133" s="162">
        <v>2</v>
      </c>
      <c r="J133" s="162">
        <v>2</v>
      </c>
      <c r="K133" s="162">
        <v>4</v>
      </c>
      <c r="L133" s="162">
        <v>7</v>
      </c>
      <c r="M133" s="162">
        <v>3</v>
      </c>
      <c r="N133" s="162">
        <v>1</v>
      </c>
      <c r="O133" s="162">
        <v>6</v>
      </c>
      <c r="P133" s="162">
        <v>10</v>
      </c>
      <c r="Q133" s="162">
        <v>3</v>
      </c>
      <c r="R133" s="162">
        <v>7</v>
      </c>
      <c r="S133" s="162">
        <v>8</v>
      </c>
      <c r="T133" s="162">
        <v>3</v>
      </c>
      <c r="U133" s="162">
        <v>2</v>
      </c>
      <c r="V133" s="162">
        <v>3</v>
      </c>
      <c r="W133" s="162">
        <v>5</v>
      </c>
      <c r="X133" s="162">
        <v>4</v>
      </c>
      <c r="Y133" s="162">
        <v>11</v>
      </c>
      <c r="Z133" s="162">
        <v>9</v>
      </c>
      <c r="AA133" s="162">
        <v>4</v>
      </c>
      <c r="AB133" s="162">
        <v>3</v>
      </c>
      <c r="AC133" s="162">
        <v>8</v>
      </c>
      <c r="AD133" s="162">
        <v>11</v>
      </c>
      <c r="AE133" s="162">
        <v>6</v>
      </c>
      <c r="AF133" s="161">
        <v>8</v>
      </c>
      <c r="AG133" s="64">
        <f t="shared" si="19"/>
        <v>158</v>
      </c>
    </row>
    <row r="134" spans="1:35" ht="18.75" x14ac:dyDescent="0.25">
      <c r="A134" s="323" t="s">
        <v>66</v>
      </c>
      <c r="B134" s="249">
        <f>2+1</f>
        <v>3</v>
      </c>
      <c r="C134" s="162">
        <f>4+2</f>
        <v>6</v>
      </c>
      <c r="D134" s="162">
        <f>1+17</f>
        <v>18</v>
      </c>
      <c r="E134" s="162">
        <f>5+2</f>
        <v>7</v>
      </c>
      <c r="F134" s="162">
        <f>3+1</f>
        <v>4</v>
      </c>
      <c r="G134" s="162">
        <f>3+1</f>
        <v>4</v>
      </c>
      <c r="H134" s="162">
        <f>1+4+1</f>
        <v>6</v>
      </c>
      <c r="I134" s="162">
        <v>4</v>
      </c>
      <c r="J134" s="162">
        <f>1+3+2</f>
        <v>6</v>
      </c>
      <c r="K134" s="162">
        <f>1+4+3</f>
        <v>8</v>
      </c>
      <c r="L134" s="162">
        <f>9+2</f>
        <v>11</v>
      </c>
      <c r="M134" s="162">
        <f>3+2</f>
        <v>5</v>
      </c>
      <c r="N134" s="162">
        <f>1+2+2</f>
        <v>5</v>
      </c>
      <c r="O134" s="162">
        <f>4+1</f>
        <v>5</v>
      </c>
      <c r="P134" s="162">
        <f>6+1</f>
        <v>7</v>
      </c>
      <c r="Q134" s="162">
        <f>7+2</f>
        <v>9</v>
      </c>
      <c r="R134" s="162">
        <f>4+3</f>
        <v>7</v>
      </c>
      <c r="S134" s="162">
        <v>9</v>
      </c>
      <c r="T134" s="162">
        <f>3+2</f>
        <v>5</v>
      </c>
      <c r="U134" s="162">
        <f>1+1</f>
        <v>2</v>
      </c>
      <c r="V134" s="162">
        <f>2+8</f>
        <v>10</v>
      </c>
      <c r="W134" s="162">
        <f>4+3</f>
        <v>7</v>
      </c>
      <c r="X134" s="162">
        <f>1+5</f>
        <v>6</v>
      </c>
      <c r="Y134" s="162">
        <f>5+1</f>
        <v>6</v>
      </c>
      <c r="Z134" s="162">
        <v>3</v>
      </c>
      <c r="AA134" s="162">
        <f>3+2</f>
        <v>5</v>
      </c>
      <c r="AB134" s="162">
        <f>5+3</f>
        <v>8</v>
      </c>
      <c r="AC134" s="162">
        <f>7+1</f>
        <v>8</v>
      </c>
      <c r="AD134" s="162">
        <f>5+4</f>
        <v>9</v>
      </c>
      <c r="AE134" s="162">
        <v>5</v>
      </c>
      <c r="AF134" s="161">
        <f>4+2</f>
        <v>6</v>
      </c>
      <c r="AG134" s="64">
        <f t="shared" si="19"/>
        <v>204</v>
      </c>
    </row>
    <row r="135" spans="1:35" ht="18.75" x14ac:dyDescent="0.25">
      <c r="A135" s="323" t="s">
        <v>65</v>
      </c>
      <c r="B135" s="249">
        <v>1</v>
      </c>
      <c r="C135" s="162"/>
      <c r="D135" s="162">
        <v>6</v>
      </c>
      <c r="E135" s="162">
        <v>3</v>
      </c>
      <c r="F135" s="162">
        <v>3</v>
      </c>
      <c r="G135" s="162"/>
      <c r="H135" s="162">
        <v>5</v>
      </c>
      <c r="I135" s="162">
        <v>3</v>
      </c>
      <c r="J135" s="162">
        <v>2</v>
      </c>
      <c r="K135" s="162">
        <v>4</v>
      </c>
      <c r="L135" s="162">
        <v>8</v>
      </c>
      <c r="M135" s="162">
        <v>8</v>
      </c>
      <c r="N135" s="162">
        <v>1</v>
      </c>
      <c r="O135" s="162">
        <v>1</v>
      </c>
      <c r="P135" s="162">
        <v>3</v>
      </c>
      <c r="Q135" s="162">
        <v>6</v>
      </c>
      <c r="R135" s="162">
        <v>7</v>
      </c>
      <c r="S135" s="162">
        <v>4</v>
      </c>
      <c r="T135" s="162"/>
      <c r="U135" s="162"/>
      <c r="V135" s="162">
        <v>1</v>
      </c>
      <c r="W135" s="162"/>
      <c r="X135" s="162">
        <v>4</v>
      </c>
      <c r="Y135" s="162">
        <v>10</v>
      </c>
      <c r="Z135" s="162">
        <v>5</v>
      </c>
      <c r="AA135" s="162">
        <v>1</v>
      </c>
      <c r="AB135" s="162">
        <v>2</v>
      </c>
      <c r="AC135" s="162">
        <v>5</v>
      </c>
      <c r="AD135" s="162">
        <v>4</v>
      </c>
      <c r="AE135" s="162">
        <v>1</v>
      </c>
      <c r="AF135" s="161">
        <v>5</v>
      </c>
      <c r="AG135" s="64">
        <f t="shared" si="19"/>
        <v>103</v>
      </c>
    </row>
    <row r="136" spans="1:35" ht="18.75" x14ac:dyDescent="0.25">
      <c r="A136" s="323" t="s">
        <v>64</v>
      </c>
      <c r="B136" s="249">
        <v>79</v>
      </c>
      <c r="C136" s="162"/>
      <c r="D136" s="162">
        <v>80</v>
      </c>
      <c r="E136" s="162">
        <v>65</v>
      </c>
      <c r="F136" s="162">
        <v>86</v>
      </c>
      <c r="G136" s="162">
        <v>104</v>
      </c>
      <c r="H136" s="162">
        <v>65</v>
      </c>
      <c r="I136" s="162">
        <v>72</v>
      </c>
      <c r="J136" s="162">
        <v>48</v>
      </c>
      <c r="K136" s="162">
        <v>50</v>
      </c>
      <c r="L136" s="162">
        <v>33</v>
      </c>
      <c r="M136" s="162">
        <v>68</v>
      </c>
      <c r="N136" s="162">
        <v>86</v>
      </c>
      <c r="O136" s="162">
        <v>67</v>
      </c>
      <c r="P136" s="162">
        <v>67</v>
      </c>
      <c r="Q136" s="162">
        <v>74</v>
      </c>
      <c r="R136" s="162">
        <v>97</v>
      </c>
      <c r="S136" s="162">
        <v>73</v>
      </c>
      <c r="T136" s="162">
        <v>123</v>
      </c>
      <c r="U136" s="162">
        <v>119</v>
      </c>
      <c r="V136" s="162">
        <v>96</v>
      </c>
      <c r="W136" s="162">
        <v>84</v>
      </c>
      <c r="X136" s="162">
        <v>112</v>
      </c>
      <c r="Y136" s="162">
        <v>50</v>
      </c>
      <c r="Z136" s="162">
        <v>85</v>
      </c>
      <c r="AA136" s="162">
        <v>111</v>
      </c>
      <c r="AB136" s="162">
        <v>96</v>
      </c>
      <c r="AC136" s="162">
        <v>71</v>
      </c>
      <c r="AD136" s="162">
        <v>68</v>
      </c>
      <c r="AE136" s="162">
        <v>68</v>
      </c>
      <c r="AF136" s="161">
        <v>69</v>
      </c>
      <c r="AG136" s="64">
        <f t="shared" si="19"/>
        <v>2366</v>
      </c>
    </row>
    <row r="137" spans="1:35" ht="18.75" x14ac:dyDescent="0.25">
      <c r="A137" s="323" t="s">
        <v>63</v>
      </c>
      <c r="B137" s="249">
        <v>1</v>
      </c>
      <c r="C137" s="162"/>
      <c r="D137" s="162">
        <f>4+3</f>
        <v>7</v>
      </c>
      <c r="E137" s="162">
        <v>1</v>
      </c>
      <c r="F137" s="162">
        <v>1</v>
      </c>
      <c r="G137" s="162">
        <v>1</v>
      </c>
      <c r="H137" s="162">
        <v>5</v>
      </c>
      <c r="I137" s="162">
        <v>2</v>
      </c>
      <c r="J137" s="162"/>
      <c r="K137" s="162">
        <f>1+1</f>
        <v>2</v>
      </c>
      <c r="L137" s="162">
        <v>3</v>
      </c>
      <c r="M137" s="162"/>
      <c r="N137" s="162">
        <v>1</v>
      </c>
      <c r="O137" s="162">
        <v>2</v>
      </c>
      <c r="P137" s="162">
        <v>4</v>
      </c>
      <c r="Q137" s="162">
        <v>1</v>
      </c>
      <c r="R137" s="162">
        <v>3</v>
      </c>
      <c r="S137" s="162">
        <v>6</v>
      </c>
      <c r="T137" s="162"/>
      <c r="U137" s="162"/>
      <c r="V137" s="162"/>
      <c r="W137" s="162">
        <f>2+1</f>
        <v>3</v>
      </c>
      <c r="X137" s="162">
        <v>4</v>
      </c>
      <c r="Y137" s="162">
        <v>3</v>
      </c>
      <c r="Z137" s="162">
        <v>4</v>
      </c>
      <c r="AA137" s="162">
        <v>3</v>
      </c>
      <c r="AB137" s="162"/>
      <c r="AC137" s="162">
        <f>4+2</f>
        <v>6</v>
      </c>
      <c r="AD137" s="162"/>
      <c r="AE137" s="162">
        <v>2</v>
      </c>
      <c r="AF137" s="161">
        <f>2+1</f>
        <v>3</v>
      </c>
      <c r="AG137" s="64">
        <f t="shared" si="19"/>
        <v>68</v>
      </c>
    </row>
    <row r="138" spans="1:35" ht="18.75" x14ac:dyDescent="0.25">
      <c r="A138" s="323" t="s">
        <v>62</v>
      </c>
      <c r="B138" s="249"/>
      <c r="C138" s="162"/>
      <c r="D138" s="162"/>
      <c r="E138" s="162">
        <v>1</v>
      </c>
      <c r="F138" s="162">
        <v>1</v>
      </c>
      <c r="G138" s="162"/>
      <c r="H138" s="162">
        <v>3</v>
      </c>
      <c r="I138" s="162"/>
      <c r="J138" s="162"/>
      <c r="K138" s="162">
        <v>2</v>
      </c>
      <c r="L138" s="162">
        <v>1</v>
      </c>
      <c r="M138" s="162">
        <v>1</v>
      </c>
      <c r="N138" s="162"/>
      <c r="O138" s="162"/>
      <c r="P138" s="162">
        <v>2</v>
      </c>
      <c r="Q138" s="162"/>
      <c r="R138" s="162">
        <v>2</v>
      </c>
      <c r="S138" s="162"/>
      <c r="T138" s="162">
        <v>1</v>
      </c>
      <c r="U138" s="162"/>
      <c r="V138" s="162"/>
      <c r="W138" s="162">
        <v>2</v>
      </c>
      <c r="X138" s="162"/>
      <c r="Y138" s="162">
        <v>1</v>
      </c>
      <c r="Z138" s="162">
        <v>2</v>
      </c>
      <c r="AA138" s="162"/>
      <c r="AB138" s="162">
        <v>1</v>
      </c>
      <c r="AC138" s="162"/>
      <c r="AD138" s="162"/>
      <c r="AE138" s="162">
        <v>2</v>
      </c>
      <c r="AF138" s="161">
        <v>1</v>
      </c>
      <c r="AG138" s="64">
        <f t="shared" si="19"/>
        <v>23</v>
      </c>
    </row>
    <row r="139" spans="1:35" ht="18.75" x14ac:dyDescent="0.25">
      <c r="A139" s="301" t="s">
        <v>60</v>
      </c>
      <c r="B139" s="249"/>
      <c r="C139" s="162">
        <v>1</v>
      </c>
      <c r="D139" s="162">
        <v>3</v>
      </c>
      <c r="E139" s="162"/>
      <c r="F139" s="162"/>
      <c r="G139" s="162">
        <v>3</v>
      </c>
      <c r="H139" s="162">
        <v>4</v>
      </c>
      <c r="I139" s="162"/>
      <c r="J139" s="162">
        <v>1</v>
      </c>
      <c r="K139" s="162">
        <v>1</v>
      </c>
      <c r="L139" s="162"/>
      <c r="M139" s="162">
        <v>2</v>
      </c>
      <c r="N139" s="162">
        <v>2</v>
      </c>
      <c r="O139" s="162">
        <v>1</v>
      </c>
      <c r="P139" s="162">
        <v>1</v>
      </c>
      <c r="Q139" s="162">
        <v>1</v>
      </c>
      <c r="R139" s="162">
        <f>1+1</f>
        <v>2</v>
      </c>
      <c r="S139" s="162">
        <v>2</v>
      </c>
      <c r="T139" s="162">
        <f>1+1</f>
        <v>2</v>
      </c>
      <c r="U139" s="162">
        <v>2</v>
      </c>
      <c r="V139" s="162">
        <v>4</v>
      </c>
      <c r="W139" s="162">
        <v>2</v>
      </c>
      <c r="X139" s="162">
        <v>1</v>
      </c>
      <c r="Y139" s="162">
        <v>1</v>
      </c>
      <c r="Z139" s="162">
        <f>2+1</f>
        <v>3</v>
      </c>
      <c r="AA139" s="162">
        <v>2</v>
      </c>
      <c r="AB139" s="162"/>
      <c r="AC139" s="162">
        <v>6</v>
      </c>
      <c r="AD139" s="162">
        <v>2</v>
      </c>
      <c r="AE139" s="162">
        <v>3</v>
      </c>
      <c r="AF139" s="161">
        <f>5+1</f>
        <v>6</v>
      </c>
      <c r="AG139" s="64">
        <f t="shared" si="19"/>
        <v>58</v>
      </c>
    </row>
    <row r="140" spans="1:35" ht="18.75" x14ac:dyDescent="0.25">
      <c r="A140" s="301" t="s">
        <v>59</v>
      </c>
      <c r="B140" s="249"/>
      <c r="C140" s="162">
        <v>2</v>
      </c>
      <c r="D140" s="162">
        <v>1</v>
      </c>
      <c r="E140" s="162">
        <v>1</v>
      </c>
      <c r="F140" s="162"/>
      <c r="G140" s="162">
        <v>2</v>
      </c>
      <c r="H140" s="162">
        <v>1</v>
      </c>
      <c r="I140" s="162">
        <v>1</v>
      </c>
      <c r="J140" s="162">
        <v>2</v>
      </c>
      <c r="K140" s="162"/>
      <c r="L140" s="162">
        <v>3</v>
      </c>
      <c r="M140" s="162"/>
      <c r="N140" s="162"/>
      <c r="O140" s="162"/>
      <c r="P140" s="162">
        <v>1</v>
      </c>
      <c r="Q140" s="162">
        <v>3</v>
      </c>
      <c r="R140" s="162">
        <v>1</v>
      </c>
      <c r="S140" s="162">
        <v>5</v>
      </c>
      <c r="T140" s="162"/>
      <c r="U140" s="162">
        <v>2</v>
      </c>
      <c r="V140" s="162">
        <v>1</v>
      </c>
      <c r="W140" s="162"/>
      <c r="X140" s="162">
        <v>2</v>
      </c>
      <c r="Y140" s="162">
        <v>4</v>
      </c>
      <c r="Z140" s="162"/>
      <c r="AA140" s="162"/>
      <c r="AB140" s="162"/>
      <c r="AC140" s="162">
        <v>1</v>
      </c>
      <c r="AD140" s="162">
        <v>1</v>
      </c>
      <c r="AE140" s="162">
        <v>1</v>
      </c>
      <c r="AF140" s="161">
        <v>3</v>
      </c>
      <c r="AG140" s="64">
        <f t="shared" si="19"/>
        <v>38</v>
      </c>
    </row>
    <row r="141" spans="1:35" ht="18.75" x14ac:dyDescent="0.25">
      <c r="A141" s="301" t="s">
        <v>58</v>
      </c>
      <c r="B141" s="249"/>
      <c r="C141" s="162">
        <v>1</v>
      </c>
      <c r="D141" s="162"/>
      <c r="E141" s="162"/>
      <c r="F141" s="162"/>
      <c r="G141" s="162"/>
      <c r="H141" s="162"/>
      <c r="I141" s="162"/>
      <c r="J141" s="162"/>
      <c r="K141" s="162"/>
      <c r="L141" s="162"/>
      <c r="M141" s="162"/>
      <c r="N141" s="162"/>
      <c r="O141" s="162"/>
      <c r="P141" s="162">
        <v>2</v>
      </c>
      <c r="Q141" s="162"/>
      <c r="R141" s="162"/>
      <c r="S141" s="162"/>
      <c r="T141" s="162"/>
      <c r="U141" s="162">
        <v>1</v>
      </c>
      <c r="V141" s="162"/>
      <c r="W141" s="162"/>
      <c r="X141" s="162"/>
      <c r="Y141" s="162"/>
      <c r="Z141" s="162"/>
      <c r="AA141" s="162"/>
      <c r="AB141" s="162"/>
      <c r="AC141" s="162">
        <v>1</v>
      </c>
      <c r="AD141" s="162">
        <v>1</v>
      </c>
      <c r="AE141" s="162"/>
      <c r="AF141" s="161"/>
      <c r="AG141" s="64">
        <f t="shared" si="19"/>
        <v>6</v>
      </c>
    </row>
    <row r="142" spans="1:35" ht="18.75" x14ac:dyDescent="0.25">
      <c r="A142" s="323" t="s">
        <v>88</v>
      </c>
      <c r="B142" s="249">
        <f>1+1</f>
        <v>2</v>
      </c>
      <c r="C142" s="162">
        <f>1+3</f>
        <v>4</v>
      </c>
      <c r="D142" s="162">
        <f>1+1+1+1+3</f>
        <v>7</v>
      </c>
      <c r="E142" s="162">
        <f>1+1+1+1</f>
        <v>4</v>
      </c>
      <c r="F142" s="162">
        <f>2+3+1+1</f>
        <v>7</v>
      </c>
      <c r="G142" s="162">
        <f>1+1+1+1+2</f>
        <v>6</v>
      </c>
      <c r="H142" s="162">
        <f>1+1+1</f>
        <v>3</v>
      </c>
      <c r="I142" s="162">
        <f>1+1+1+2+1</f>
        <v>6</v>
      </c>
      <c r="J142" s="162">
        <f>1+1+3</f>
        <v>5</v>
      </c>
      <c r="K142" s="162">
        <f>1</f>
        <v>1</v>
      </c>
      <c r="L142" s="162">
        <f>1+1+1+1</f>
        <v>4</v>
      </c>
      <c r="M142" s="162">
        <v>1</v>
      </c>
      <c r="N142" s="162">
        <f>1+1+1+1</f>
        <v>4</v>
      </c>
      <c r="O142" s="162">
        <f>1+4+1+1</f>
        <v>7</v>
      </c>
      <c r="P142" s="162">
        <f>1+1+1</f>
        <v>3</v>
      </c>
      <c r="Q142" s="162">
        <f>1+1+1+1+1+1+1+4</f>
        <v>11</v>
      </c>
      <c r="R142" s="162">
        <f>2+1+1+1+2</f>
        <v>7</v>
      </c>
      <c r="S142" s="162">
        <f>1+1+1+1</f>
        <v>4</v>
      </c>
      <c r="T142" s="162">
        <f>1+1+1+1</f>
        <v>4</v>
      </c>
      <c r="U142" s="162">
        <f>1+1+1+2+1</f>
        <v>6</v>
      </c>
      <c r="V142" s="162">
        <f>1+1+1+1</f>
        <v>4</v>
      </c>
      <c r="W142" s="162">
        <f>2+1+1+1+1</f>
        <v>6</v>
      </c>
      <c r="X142" s="162">
        <f>1+1+2+1+1</f>
        <v>6</v>
      </c>
      <c r="Y142" s="162">
        <f>1+1</f>
        <v>2</v>
      </c>
      <c r="Z142" s="162">
        <f>2+1+1+2</f>
        <v>6</v>
      </c>
      <c r="AA142" s="162">
        <f>1+1+1</f>
        <v>3</v>
      </c>
      <c r="AB142" s="162">
        <f>3+1+1+1+1+1+1+1</f>
        <v>10</v>
      </c>
      <c r="AC142" s="162">
        <f>1+1+1+1+1+2</f>
        <v>7</v>
      </c>
      <c r="AD142" s="162">
        <f>2+1+1+1</f>
        <v>5</v>
      </c>
      <c r="AE142" s="162">
        <f>1+1+1</f>
        <v>3</v>
      </c>
      <c r="AF142" s="161">
        <f>2+1+1</f>
        <v>4</v>
      </c>
      <c r="AG142" s="64">
        <f t="shared" si="19"/>
        <v>152</v>
      </c>
    </row>
    <row r="143" spans="1:35" ht="19.5" thickBot="1" x14ac:dyDescent="0.3">
      <c r="A143" s="324" t="s">
        <v>87</v>
      </c>
      <c r="B143" s="263">
        <v>5</v>
      </c>
      <c r="C143" s="140">
        <f>7+2</f>
        <v>9</v>
      </c>
      <c r="D143" s="140">
        <f>12+3</f>
        <v>15</v>
      </c>
      <c r="E143" s="140">
        <f>3+2</f>
        <v>5</v>
      </c>
      <c r="F143" s="140">
        <f>9+3</f>
        <v>12</v>
      </c>
      <c r="G143" s="140">
        <f>5+1</f>
        <v>6</v>
      </c>
      <c r="H143" s="140">
        <f>12+1</f>
        <v>13</v>
      </c>
      <c r="I143" s="140">
        <f>10+2+2</f>
        <v>14</v>
      </c>
      <c r="J143" s="140">
        <f>5+1+6</f>
        <v>12</v>
      </c>
      <c r="K143" s="140">
        <f>6+1+6+1</f>
        <v>14</v>
      </c>
      <c r="L143" s="140">
        <f>5+6</f>
        <v>11</v>
      </c>
      <c r="M143" s="140">
        <v>8</v>
      </c>
      <c r="N143" s="140">
        <v>8</v>
      </c>
      <c r="O143" s="140">
        <f>6+1</f>
        <v>7</v>
      </c>
      <c r="P143" s="140">
        <f>9+1</f>
        <v>10</v>
      </c>
      <c r="Q143" s="140">
        <f>5+9</f>
        <v>14</v>
      </c>
      <c r="R143" s="140">
        <f>10+6</f>
        <v>16</v>
      </c>
      <c r="S143" s="140">
        <f>18+8</f>
        <v>26</v>
      </c>
      <c r="T143" s="140">
        <f>5+3</f>
        <v>8</v>
      </c>
      <c r="U143" s="140">
        <f>11+1+2</f>
        <v>14</v>
      </c>
      <c r="V143" s="140">
        <f>8+2</f>
        <v>10</v>
      </c>
      <c r="W143" s="140">
        <f>8+1+1</f>
        <v>10</v>
      </c>
      <c r="X143" s="140">
        <f>7+2</f>
        <v>9</v>
      </c>
      <c r="Y143" s="140">
        <f>11+3</f>
        <v>14</v>
      </c>
      <c r="Z143" s="140">
        <f>5+2</f>
        <v>7</v>
      </c>
      <c r="AA143" s="140">
        <f>7+2</f>
        <v>9</v>
      </c>
      <c r="AB143" s="140">
        <f>8+2</f>
        <v>10</v>
      </c>
      <c r="AC143" s="140">
        <f>12+3</f>
        <v>15</v>
      </c>
      <c r="AD143" s="140">
        <f>11+1+2+1</f>
        <v>15</v>
      </c>
      <c r="AE143" s="140">
        <f>7+3</f>
        <v>10</v>
      </c>
      <c r="AF143" s="139">
        <f>5+2</f>
        <v>7</v>
      </c>
      <c r="AG143" s="160">
        <f t="shared" si="19"/>
        <v>343</v>
      </c>
    </row>
    <row r="144" spans="1:35" ht="19.5" thickBot="1" x14ac:dyDescent="0.3">
      <c r="A144" s="309" t="s">
        <v>86</v>
      </c>
      <c r="B144" s="257">
        <f t="shared" ref="B144:AF144" si="20">+B146+B156+B158+B167</f>
        <v>125</v>
      </c>
      <c r="C144" s="158">
        <f t="shared" si="20"/>
        <v>104</v>
      </c>
      <c r="D144" s="158">
        <f t="shared" si="20"/>
        <v>175</v>
      </c>
      <c r="E144" s="158">
        <f t="shared" si="20"/>
        <v>120</v>
      </c>
      <c r="F144" s="158">
        <f t="shared" si="20"/>
        <v>130</v>
      </c>
      <c r="G144" s="158">
        <f t="shared" si="20"/>
        <v>141</v>
      </c>
      <c r="H144" s="158">
        <f t="shared" si="20"/>
        <v>140</v>
      </c>
      <c r="I144" s="158">
        <f t="shared" si="20"/>
        <v>126</v>
      </c>
      <c r="J144" s="158">
        <f t="shared" si="20"/>
        <v>93</v>
      </c>
      <c r="K144" s="158">
        <f t="shared" si="20"/>
        <v>117</v>
      </c>
      <c r="L144" s="158">
        <f t="shared" si="20"/>
        <v>120</v>
      </c>
      <c r="M144" s="158">
        <f t="shared" si="20"/>
        <v>117</v>
      </c>
      <c r="N144" s="158">
        <f t="shared" si="20"/>
        <v>112</v>
      </c>
      <c r="O144" s="158">
        <f t="shared" si="20"/>
        <v>120</v>
      </c>
      <c r="P144" s="158">
        <f t="shared" si="20"/>
        <v>130</v>
      </c>
      <c r="Q144" s="158">
        <f t="shared" si="20"/>
        <v>155</v>
      </c>
      <c r="R144" s="158">
        <f t="shared" si="20"/>
        <v>181</v>
      </c>
      <c r="S144" s="158">
        <f t="shared" si="20"/>
        <v>169</v>
      </c>
      <c r="T144" s="158">
        <f t="shared" si="20"/>
        <v>169</v>
      </c>
      <c r="U144" s="158">
        <f t="shared" si="20"/>
        <v>154</v>
      </c>
      <c r="V144" s="158">
        <f t="shared" si="20"/>
        <v>148</v>
      </c>
      <c r="W144" s="158">
        <f t="shared" si="20"/>
        <v>141</v>
      </c>
      <c r="X144" s="158">
        <f t="shared" si="20"/>
        <v>157</v>
      </c>
      <c r="Y144" s="158">
        <f t="shared" si="20"/>
        <v>137</v>
      </c>
      <c r="Z144" s="158">
        <f t="shared" si="20"/>
        <v>151</v>
      </c>
      <c r="AA144" s="158">
        <f t="shared" si="20"/>
        <v>160</v>
      </c>
      <c r="AB144" s="158">
        <f t="shared" si="20"/>
        <v>156</v>
      </c>
      <c r="AC144" s="158">
        <f t="shared" si="20"/>
        <v>151</v>
      </c>
      <c r="AD144" s="158">
        <f t="shared" si="20"/>
        <v>145</v>
      </c>
      <c r="AE144" s="158">
        <f t="shared" si="20"/>
        <v>117</v>
      </c>
      <c r="AF144" s="158">
        <f t="shared" si="20"/>
        <v>157</v>
      </c>
      <c r="AG144" s="157">
        <f t="shared" si="19"/>
        <v>4318</v>
      </c>
      <c r="AH144" s="85" t="str">
        <f>IF(AG144&lt;&gt;AG93,"*","")</f>
        <v/>
      </c>
      <c r="AI144" t="s">
        <v>85</v>
      </c>
    </row>
    <row r="145" spans="1:35" ht="19.5" thickBot="1" x14ac:dyDescent="0.3">
      <c r="A145" s="325" t="s">
        <v>84</v>
      </c>
      <c r="B145" s="264">
        <f t="shared" ref="B145:AF145" si="21">+B149+B155+B157+B172</f>
        <v>4</v>
      </c>
      <c r="C145" s="155">
        <f t="shared" si="21"/>
        <v>6</v>
      </c>
      <c r="D145" s="155">
        <f t="shared" si="21"/>
        <v>3</v>
      </c>
      <c r="E145" s="155">
        <f t="shared" si="21"/>
        <v>2</v>
      </c>
      <c r="F145" s="155">
        <f t="shared" si="21"/>
        <v>9</v>
      </c>
      <c r="G145" s="155">
        <f t="shared" si="21"/>
        <v>5</v>
      </c>
      <c r="H145" s="155">
        <f t="shared" si="21"/>
        <v>7</v>
      </c>
      <c r="I145" s="155">
        <f t="shared" si="21"/>
        <v>0</v>
      </c>
      <c r="J145" s="155">
        <f t="shared" si="21"/>
        <v>5</v>
      </c>
      <c r="K145" s="155">
        <f t="shared" si="21"/>
        <v>2</v>
      </c>
      <c r="L145" s="155">
        <f t="shared" si="21"/>
        <v>1</v>
      </c>
      <c r="M145" s="155">
        <f t="shared" si="21"/>
        <v>10</v>
      </c>
      <c r="N145" s="155">
        <f t="shared" si="21"/>
        <v>5</v>
      </c>
      <c r="O145" s="155">
        <f t="shared" si="21"/>
        <v>1</v>
      </c>
      <c r="P145" s="155">
        <f t="shared" si="21"/>
        <v>4</v>
      </c>
      <c r="Q145" s="155">
        <f t="shared" si="21"/>
        <v>6</v>
      </c>
      <c r="R145" s="155">
        <f t="shared" si="21"/>
        <v>4</v>
      </c>
      <c r="S145" s="155">
        <f t="shared" si="21"/>
        <v>3</v>
      </c>
      <c r="T145" s="155">
        <f t="shared" si="21"/>
        <v>8</v>
      </c>
      <c r="U145" s="155">
        <f t="shared" si="21"/>
        <v>11</v>
      </c>
      <c r="V145" s="155">
        <f t="shared" si="21"/>
        <v>6</v>
      </c>
      <c r="W145" s="155">
        <f t="shared" si="21"/>
        <v>9</v>
      </c>
      <c r="X145" s="155">
        <f t="shared" si="21"/>
        <v>3</v>
      </c>
      <c r="Y145" s="155">
        <f t="shared" si="21"/>
        <v>8</v>
      </c>
      <c r="Z145" s="155">
        <f t="shared" si="21"/>
        <v>1</v>
      </c>
      <c r="AA145" s="155">
        <f t="shared" si="21"/>
        <v>6</v>
      </c>
      <c r="AB145" s="155">
        <f t="shared" si="21"/>
        <v>15</v>
      </c>
      <c r="AC145" s="155">
        <f t="shared" si="21"/>
        <v>5</v>
      </c>
      <c r="AD145" s="155">
        <f t="shared" si="21"/>
        <v>2</v>
      </c>
      <c r="AE145" s="155">
        <f t="shared" si="21"/>
        <v>5</v>
      </c>
      <c r="AF145" s="154">
        <f t="shared" si="21"/>
        <v>3</v>
      </c>
      <c r="AG145" s="153">
        <f t="shared" si="19"/>
        <v>159</v>
      </c>
      <c r="AH145" s="152"/>
    </row>
    <row r="146" spans="1:35" ht="19.5" thickBot="1" x14ac:dyDescent="0.3">
      <c r="A146" s="326" t="s">
        <v>83</v>
      </c>
      <c r="B146" s="265">
        <f t="shared" ref="B146:AG147" si="22">+B148+B154</f>
        <v>0</v>
      </c>
      <c r="C146" s="8">
        <f t="shared" si="22"/>
        <v>0</v>
      </c>
      <c r="D146" s="8">
        <f t="shared" si="22"/>
        <v>0</v>
      </c>
      <c r="E146" s="8">
        <f t="shared" si="22"/>
        <v>0</v>
      </c>
      <c r="F146" s="8">
        <f t="shared" si="22"/>
        <v>0</v>
      </c>
      <c r="G146" s="8">
        <f t="shared" si="22"/>
        <v>0</v>
      </c>
      <c r="H146" s="8">
        <f t="shared" si="22"/>
        <v>0</v>
      </c>
      <c r="I146" s="8">
        <f t="shared" si="22"/>
        <v>0</v>
      </c>
      <c r="J146" s="8">
        <f t="shared" si="22"/>
        <v>1</v>
      </c>
      <c r="K146" s="8">
        <f t="shared" si="22"/>
        <v>0</v>
      </c>
      <c r="L146" s="8">
        <f t="shared" si="22"/>
        <v>0</v>
      </c>
      <c r="M146" s="8">
        <f t="shared" si="22"/>
        <v>0</v>
      </c>
      <c r="N146" s="8">
        <f t="shared" si="22"/>
        <v>0</v>
      </c>
      <c r="O146" s="8">
        <f t="shared" si="22"/>
        <v>0</v>
      </c>
      <c r="P146" s="8">
        <f t="shared" si="22"/>
        <v>0</v>
      </c>
      <c r="Q146" s="8">
        <f t="shared" si="22"/>
        <v>0</v>
      </c>
      <c r="R146" s="8">
        <f t="shared" si="22"/>
        <v>0</v>
      </c>
      <c r="S146" s="8">
        <f t="shared" si="22"/>
        <v>0</v>
      </c>
      <c r="T146" s="8">
        <f t="shared" si="22"/>
        <v>0</v>
      </c>
      <c r="U146" s="8">
        <f t="shared" si="22"/>
        <v>0</v>
      </c>
      <c r="V146" s="8">
        <f t="shared" si="22"/>
        <v>0</v>
      </c>
      <c r="W146" s="8">
        <f t="shared" si="22"/>
        <v>0</v>
      </c>
      <c r="X146" s="8">
        <f t="shared" si="22"/>
        <v>0</v>
      </c>
      <c r="Y146" s="8">
        <f t="shared" si="22"/>
        <v>0</v>
      </c>
      <c r="Z146" s="8">
        <f t="shared" si="22"/>
        <v>0</v>
      </c>
      <c r="AA146" s="8">
        <f t="shared" si="22"/>
        <v>0</v>
      </c>
      <c r="AB146" s="8">
        <f t="shared" si="22"/>
        <v>0</v>
      </c>
      <c r="AC146" s="8">
        <f t="shared" si="22"/>
        <v>0</v>
      </c>
      <c r="AD146" s="8">
        <f t="shared" si="22"/>
        <v>0</v>
      </c>
      <c r="AE146" s="8">
        <f t="shared" si="22"/>
        <v>0</v>
      </c>
      <c r="AF146" s="150">
        <f t="shared" si="22"/>
        <v>0</v>
      </c>
      <c r="AG146" s="149">
        <f t="shared" si="22"/>
        <v>1</v>
      </c>
    </row>
    <row r="147" spans="1:35" ht="19.5" thickBot="1" x14ac:dyDescent="0.3">
      <c r="A147" s="327" t="s">
        <v>82</v>
      </c>
      <c r="B147" s="266">
        <f t="shared" si="22"/>
        <v>0</v>
      </c>
      <c r="C147" s="143">
        <f t="shared" si="22"/>
        <v>0</v>
      </c>
      <c r="D147" s="143">
        <f t="shared" si="22"/>
        <v>0</v>
      </c>
      <c r="E147" s="143">
        <f t="shared" si="22"/>
        <v>0</v>
      </c>
      <c r="F147" s="143">
        <f t="shared" si="22"/>
        <v>0</v>
      </c>
      <c r="G147" s="143">
        <f t="shared" si="22"/>
        <v>0</v>
      </c>
      <c r="H147" s="143">
        <f t="shared" si="22"/>
        <v>0</v>
      </c>
      <c r="I147" s="143">
        <f t="shared" si="22"/>
        <v>0</v>
      </c>
      <c r="J147" s="143">
        <f t="shared" si="22"/>
        <v>0</v>
      </c>
      <c r="K147" s="143">
        <f t="shared" si="22"/>
        <v>0</v>
      </c>
      <c r="L147" s="143">
        <f t="shared" si="22"/>
        <v>0</v>
      </c>
      <c r="M147" s="143">
        <f t="shared" si="22"/>
        <v>0</v>
      </c>
      <c r="N147" s="143">
        <f t="shared" si="22"/>
        <v>0</v>
      </c>
      <c r="O147" s="143">
        <f t="shared" si="22"/>
        <v>0</v>
      </c>
      <c r="P147" s="143">
        <f t="shared" si="22"/>
        <v>0</v>
      </c>
      <c r="Q147" s="143">
        <f t="shared" si="22"/>
        <v>0</v>
      </c>
      <c r="R147" s="143">
        <f t="shared" si="22"/>
        <v>0</v>
      </c>
      <c r="S147" s="143">
        <f t="shared" si="22"/>
        <v>0</v>
      </c>
      <c r="T147" s="143">
        <f t="shared" si="22"/>
        <v>0</v>
      </c>
      <c r="U147" s="143">
        <f t="shared" si="22"/>
        <v>0</v>
      </c>
      <c r="V147" s="143">
        <f t="shared" si="22"/>
        <v>0</v>
      </c>
      <c r="W147" s="143">
        <f t="shared" si="22"/>
        <v>0</v>
      </c>
      <c r="X147" s="143">
        <f t="shared" si="22"/>
        <v>0</v>
      </c>
      <c r="Y147" s="143">
        <f t="shared" si="22"/>
        <v>0</v>
      </c>
      <c r="Z147" s="143">
        <f t="shared" si="22"/>
        <v>0</v>
      </c>
      <c r="AA147" s="143">
        <f t="shared" si="22"/>
        <v>0</v>
      </c>
      <c r="AB147" s="143">
        <f t="shared" si="22"/>
        <v>0</v>
      </c>
      <c r="AC147" s="143">
        <f t="shared" si="22"/>
        <v>0</v>
      </c>
      <c r="AD147" s="143">
        <f t="shared" si="22"/>
        <v>0</v>
      </c>
      <c r="AE147" s="143">
        <f t="shared" si="22"/>
        <v>0</v>
      </c>
      <c r="AF147" s="142"/>
      <c r="AG147" s="86">
        <f t="shared" ref="AG147:AG179" si="23">SUM(B147:AF147)</f>
        <v>0</v>
      </c>
    </row>
    <row r="148" spans="1:35" ht="19.5" thickBot="1" x14ac:dyDescent="0.3">
      <c r="A148" s="328" t="s">
        <v>81</v>
      </c>
      <c r="B148" s="267">
        <f t="shared" ref="B148:AF148" si="24">SUM(B150:B153)</f>
        <v>0</v>
      </c>
      <c r="C148" s="147">
        <f t="shared" si="24"/>
        <v>0</v>
      </c>
      <c r="D148" s="147">
        <f t="shared" si="24"/>
        <v>0</v>
      </c>
      <c r="E148" s="147">
        <f t="shared" si="24"/>
        <v>0</v>
      </c>
      <c r="F148" s="147">
        <f t="shared" si="24"/>
        <v>0</v>
      </c>
      <c r="G148" s="147">
        <f t="shared" si="24"/>
        <v>0</v>
      </c>
      <c r="H148" s="147">
        <f t="shared" si="24"/>
        <v>0</v>
      </c>
      <c r="I148" s="147">
        <f t="shared" si="24"/>
        <v>0</v>
      </c>
      <c r="J148" s="147">
        <f t="shared" si="24"/>
        <v>0</v>
      </c>
      <c r="K148" s="147">
        <f t="shared" si="24"/>
        <v>0</v>
      </c>
      <c r="L148" s="147">
        <f t="shared" si="24"/>
        <v>0</v>
      </c>
      <c r="M148" s="147">
        <f t="shared" si="24"/>
        <v>0</v>
      </c>
      <c r="N148" s="147">
        <f t="shared" si="24"/>
        <v>0</v>
      </c>
      <c r="O148" s="147">
        <f t="shared" si="24"/>
        <v>0</v>
      </c>
      <c r="P148" s="147">
        <f t="shared" si="24"/>
        <v>0</v>
      </c>
      <c r="Q148" s="147">
        <f t="shared" si="24"/>
        <v>0</v>
      </c>
      <c r="R148" s="147">
        <f t="shared" si="24"/>
        <v>0</v>
      </c>
      <c r="S148" s="147">
        <f t="shared" si="24"/>
        <v>0</v>
      </c>
      <c r="T148" s="147">
        <f t="shared" si="24"/>
        <v>0</v>
      </c>
      <c r="U148" s="147">
        <f t="shared" si="24"/>
        <v>0</v>
      </c>
      <c r="V148" s="147">
        <f t="shared" si="24"/>
        <v>0</v>
      </c>
      <c r="W148" s="147">
        <f t="shared" si="24"/>
        <v>0</v>
      </c>
      <c r="X148" s="147">
        <f t="shared" si="24"/>
        <v>0</v>
      </c>
      <c r="Y148" s="147">
        <f t="shared" si="24"/>
        <v>0</v>
      </c>
      <c r="Z148" s="147">
        <f t="shared" si="24"/>
        <v>0</v>
      </c>
      <c r="AA148" s="147">
        <f t="shared" si="24"/>
        <v>0</v>
      </c>
      <c r="AB148" s="147">
        <f t="shared" si="24"/>
        <v>0</v>
      </c>
      <c r="AC148" s="147">
        <f t="shared" si="24"/>
        <v>0</v>
      </c>
      <c r="AD148" s="147">
        <f t="shared" si="24"/>
        <v>0</v>
      </c>
      <c r="AE148" s="147">
        <f t="shared" si="24"/>
        <v>0</v>
      </c>
      <c r="AF148" s="146">
        <f t="shared" si="24"/>
        <v>0</v>
      </c>
      <c r="AG148" s="145">
        <f t="shared" si="23"/>
        <v>0</v>
      </c>
    </row>
    <row r="149" spans="1:35" ht="19.5" thickBot="1" x14ac:dyDescent="0.3">
      <c r="A149" s="327" t="s">
        <v>80</v>
      </c>
      <c r="B149" s="266"/>
      <c r="C149" s="143"/>
      <c r="D149" s="143"/>
      <c r="E149" s="143"/>
      <c r="F149" s="143"/>
      <c r="G149" s="143"/>
      <c r="H149" s="143"/>
      <c r="I149" s="143"/>
      <c r="J149" s="143"/>
      <c r="K149" s="143"/>
      <c r="L149" s="143"/>
      <c r="M149" s="143"/>
      <c r="N149" s="143"/>
      <c r="O149" s="143"/>
      <c r="P149" s="143"/>
      <c r="Q149" s="143"/>
      <c r="R149" s="143"/>
      <c r="S149" s="143"/>
      <c r="T149" s="143"/>
      <c r="U149" s="143"/>
      <c r="V149" s="143"/>
      <c r="W149" s="143"/>
      <c r="X149" s="143"/>
      <c r="Y149" s="143"/>
      <c r="Z149" s="143"/>
      <c r="AA149" s="143"/>
      <c r="AB149" s="143"/>
      <c r="AC149" s="143"/>
      <c r="AD149" s="143"/>
      <c r="AE149" s="143"/>
      <c r="AF149" s="142"/>
      <c r="AG149" s="86">
        <f t="shared" si="23"/>
        <v>0</v>
      </c>
    </row>
    <row r="150" spans="1:35" ht="18.75" x14ac:dyDescent="0.25">
      <c r="A150" s="329" t="s">
        <v>79</v>
      </c>
      <c r="B150" s="268"/>
      <c r="C150" s="136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5"/>
      <c r="AG150" s="134">
        <f t="shared" si="23"/>
        <v>0</v>
      </c>
      <c r="AI150">
        <f>2021-1975</f>
        <v>46</v>
      </c>
    </row>
    <row r="151" spans="1:35" ht="18.75" x14ac:dyDescent="0.25">
      <c r="A151" s="330" t="s">
        <v>78</v>
      </c>
      <c r="B151" s="269"/>
      <c r="C151" s="130"/>
      <c r="D151" s="130"/>
      <c r="E151" s="130"/>
      <c r="F151" s="130"/>
      <c r="G151" s="130"/>
      <c r="H151" s="130"/>
      <c r="I151" s="130"/>
      <c r="J151" s="130"/>
      <c r="K151" s="130"/>
      <c r="L151" s="130"/>
      <c r="M151" s="130"/>
      <c r="N151" s="130"/>
      <c r="O151" s="130"/>
      <c r="P151" s="130"/>
      <c r="Q151" s="130"/>
      <c r="R151" s="130"/>
      <c r="S151" s="130"/>
      <c r="T151" s="130"/>
      <c r="U151" s="130"/>
      <c r="V151" s="130"/>
      <c r="W151" s="130"/>
      <c r="X151" s="130"/>
      <c r="Y151" s="130"/>
      <c r="Z151" s="130"/>
      <c r="AA151" s="130"/>
      <c r="AB151" s="130"/>
      <c r="AC151" s="130"/>
      <c r="AD151" s="130"/>
      <c r="AE151" s="130"/>
      <c r="AF151" s="129"/>
      <c r="AG151" s="64">
        <f t="shared" si="23"/>
        <v>0</v>
      </c>
    </row>
    <row r="152" spans="1:35" ht="18.75" x14ac:dyDescent="0.25">
      <c r="A152" s="330" t="s">
        <v>77</v>
      </c>
      <c r="B152" s="269"/>
      <c r="C152" s="130"/>
      <c r="D152" s="130"/>
      <c r="E152" s="130"/>
      <c r="F152" s="130"/>
      <c r="G152" s="130"/>
      <c r="H152" s="130"/>
      <c r="I152" s="130"/>
      <c r="J152" s="130"/>
      <c r="K152" s="130"/>
      <c r="L152" s="130"/>
      <c r="M152" s="130"/>
      <c r="N152" s="130"/>
      <c r="O152" s="130"/>
      <c r="P152" s="130"/>
      <c r="Q152" s="130"/>
      <c r="R152" s="130"/>
      <c r="S152" s="130"/>
      <c r="T152" s="130"/>
      <c r="U152" s="130"/>
      <c r="V152" s="130"/>
      <c r="W152" s="130"/>
      <c r="X152" s="130"/>
      <c r="Y152" s="130"/>
      <c r="Z152" s="130"/>
      <c r="AA152" s="130"/>
      <c r="AB152" s="130"/>
      <c r="AC152" s="130"/>
      <c r="AD152" s="130"/>
      <c r="AE152" s="130"/>
      <c r="AF152" s="129"/>
      <c r="AG152" s="64">
        <f t="shared" si="23"/>
        <v>0</v>
      </c>
    </row>
    <row r="153" spans="1:35" ht="19.5" thickBot="1" x14ac:dyDescent="0.3">
      <c r="A153" s="331" t="s">
        <v>76</v>
      </c>
      <c r="B153" s="270"/>
      <c r="C153" s="127"/>
      <c r="D153" s="127"/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  <c r="Y153" s="127"/>
      <c r="Z153" s="127"/>
      <c r="AA153" s="127"/>
      <c r="AB153" s="127"/>
      <c r="AC153" s="127"/>
      <c r="AD153" s="127"/>
      <c r="AE153" s="127"/>
      <c r="AF153" s="126"/>
      <c r="AG153" s="10">
        <f t="shared" si="23"/>
        <v>0</v>
      </c>
    </row>
    <row r="154" spans="1:35" ht="19.5" thickBot="1" x14ac:dyDescent="0.3">
      <c r="A154" s="328" t="s">
        <v>75</v>
      </c>
      <c r="B154" s="267"/>
      <c r="C154" s="147"/>
      <c r="D154" s="147"/>
      <c r="E154" s="147"/>
      <c r="F154" s="147"/>
      <c r="G154" s="147"/>
      <c r="H154" s="147"/>
      <c r="I154" s="147"/>
      <c r="J154" s="147">
        <v>1</v>
      </c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  <c r="AA154" s="147"/>
      <c r="AB154" s="147"/>
      <c r="AC154" s="147"/>
      <c r="AD154" s="147"/>
      <c r="AE154" s="147"/>
      <c r="AF154" s="146"/>
      <c r="AG154" s="145">
        <f t="shared" si="23"/>
        <v>1</v>
      </c>
    </row>
    <row r="155" spans="1:35" ht="19.5" thickBot="1" x14ac:dyDescent="0.3">
      <c r="A155" s="327" t="s">
        <v>74</v>
      </c>
      <c r="B155" s="266"/>
      <c r="C155" s="143"/>
      <c r="D155" s="143"/>
      <c r="E155" s="143"/>
      <c r="F155" s="143"/>
      <c r="G155" s="143"/>
      <c r="H155" s="143"/>
      <c r="I155" s="143"/>
      <c r="J155" s="143"/>
      <c r="K155" s="143"/>
      <c r="L155" s="143"/>
      <c r="M155" s="143"/>
      <c r="N155" s="143"/>
      <c r="O155" s="143"/>
      <c r="P155" s="143"/>
      <c r="Q155" s="143"/>
      <c r="R155" s="143"/>
      <c r="S155" s="143"/>
      <c r="T155" s="143"/>
      <c r="U155" s="143"/>
      <c r="V155" s="143"/>
      <c r="W155" s="143"/>
      <c r="X155" s="143"/>
      <c r="Y155" s="143"/>
      <c r="Z155" s="143"/>
      <c r="AA155" s="143"/>
      <c r="AB155" s="143"/>
      <c r="AC155" s="143"/>
      <c r="AD155" s="143"/>
      <c r="AE155" s="143"/>
      <c r="AF155" s="142"/>
      <c r="AG155" s="86">
        <f t="shared" si="23"/>
        <v>0</v>
      </c>
    </row>
    <row r="156" spans="1:35" ht="18.75" x14ac:dyDescent="0.25">
      <c r="A156" s="332" t="s">
        <v>73</v>
      </c>
      <c r="B156" s="271">
        <v>125</v>
      </c>
      <c r="C156" s="18">
        <v>104</v>
      </c>
      <c r="D156" s="18">
        <v>174</v>
      </c>
      <c r="E156" s="18">
        <v>120</v>
      </c>
      <c r="F156" s="18">
        <v>130</v>
      </c>
      <c r="G156" s="18">
        <v>139</v>
      </c>
      <c r="H156" s="18">
        <v>140</v>
      </c>
      <c r="I156" s="18">
        <v>126</v>
      </c>
      <c r="J156" s="18">
        <v>91</v>
      </c>
      <c r="K156" s="18">
        <v>117</v>
      </c>
      <c r="L156" s="18">
        <v>120</v>
      </c>
      <c r="M156" s="18">
        <v>116</v>
      </c>
      <c r="N156" s="18">
        <v>112</v>
      </c>
      <c r="O156" s="18">
        <v>119</v>
      </c>
      <c r="P156" s="18">
        <v>130</v>
      </c>
      <c r="Q156" s="18">
        <v>155</v>
      </c>
      <c r="R156" s="18">
        <v>180</v>
      </c>
      <c r="S156" s="18">
        <v>169</v>
      </c>
      <c r="T156" s="18">
        <v>169</v>
      </c>
      <c r="U156" s="18">
        <v>153</v>
      </c>
      <c r="V156" s="18">
        <v>148</v>
      </c>
      <c r="W156" s="18">
        <v>141</v>
      </c>
      <c r="X156" s="18">
        <v>156</v>
      </c>
      <c r="Y156" s="18">
        <v>135</v>
      </c>
      <c r="Z156" s="18">
        <v>151</v>
      </c>
      <c r="AA156" s="18">
        <v>160</v>
      </c>
      <c r="AB156" s="18">
        <v>156</v>
      </c>
      <c r="AC156" s="18">
        <v>151</v>
      </c>
      <c r="AD156" s="18">
        <v>144</v>
      </c>
      <c r="AE156" s="18">
        <v>117</v>
      </c>
      <c r="AF156" s="17">
        <v>156</v>
      </c>
      <c r="AG156" s="7">
        <f t="shared" si="23"/>
        <v>4304</v>
      </c>
      <c r="AH156" s="98" t="s">
        <v>72</v>
      </c>
    </row>
    <row r="157" spans="1:35" ht="19.5" thickBot="1" x14ac:dyDescent="0.3">
      <c r="A157" s="324" t="s">
        <v>71</v>
      </c>
      <c r="B157" s="263">
        <v>4</v>
      </c>
      <c r="C157" s="140">
        <v>6</v>
      </c>
      <c r="D157" s="140">
        <v>3</v>
      </c>
      <c r="E157" s="140">
        <v>2</v>
      </c>
      <c r="F157" s="140">
        <v>9</v>
      </c>
      <c r="G157" s="140">
        <v>5</v>
      </c>
      <c r="H157" s="140">
        <v>7</v>
      </c>
      <c r="I157" s="140">
        <v>0</v>
      </c>
      <c r="J157" s="140">
        <v>5</v>
      </c>
      <c r="K157" s="140">
        <v>2</v>
      </c>
      <c r="L157" s="140">
        <v>1</v>
      </c>
      <c r="M157" s="140">
        <v>10</v>
      </c>
      <c r="N157" s="140">
        <v>5</v>
      </c>
      <c r="O157" s="140">
        <v>1</v>
      </c>
      <c r="P157" s="140">
        <v>4</v>
      </c>
      <c r="Q157" s="140">
        <v>6</v>
      </c>
      <c r="R157" s="140">
        <v>4</v>
      </c>
      <c r="S157" s="140">
        <v>3</v>
      </c>
      <c r="T157" s="140">
        <v>8</v>
      </c>
      <c r="U157" s="140">
        <v>11</v>
      </c>
      <c r="V157" s="140">
        <v>6</v>
      </c>
      <c r="W157" s="140">
        <v>9</v>
      </c>
      <c r="X157" s="140">
        <v>3</v>
      </c>
      <c r="Y157" s="140">
        <v>8</v>
      </c>
      <c r="Z157" s="140">
        <v>1</v>
      </c>
      <c r="AA157" s="140">
        <v>6</v>
      </c>
      <c r="AB157" s="140">
        <v>15</v>
      </c>
      <c r="AC157" s="140">
        <v>5</v>
      </c>
      <c r="AD157" s="140">
        <v>2</v>
      </c>
      <c r="AE157" s="140">
        <v>4</v>
      </c>
      <c r="AF157" s="139">
        <v>3</v>
      </c>
      <c r="AG157" s="138">
        <f t="shared" si="23"/>
        <v>158</v>
      </c>
      <c r="AH157" s="98"/>
    </row>
    <row r="158" spans="1:35" ht="19.5" thickBot="1" x14ac:dyDescent="0.3">
      <c r="A158" s="333" t="s">
        <v>70</v>
      </c>
      <c r="B158" s="272">
        <f t="shared" ref="B158:AF158" si="25">SUM(B159:B166)</f>
        <v>0</v>
      </c>
      <c r="C158" s="35">
        <f t="shared" si="25"/>
        <v>0</v>
      </c>
      <c r="D158" s="35">
        <f t="shared" si="25"/>
        <v>1</v>
      </c>
      <c r="E158" s="35">
        <f t="shared" si="25"/>
        <v>0</v>
      </c>
      <c r="F158" s="35">
        <f t="shared" si="25"/>
        <v>0</v>
      </c>
      <c r="G158" s="35">
        <f t="shared" si="25"/>
        <v>2</v>
      </c>
      <c r="H158" s="35">
        <f t="shared" si="25"/>
        <v>0</v>
      </c>
      <c r="I158" s="35">
        <f t="shared" si="25"/>
        <v>0</v>
      </c>
      <c r="J158" s="35">
        <f t="shared" si="25"/>
        <v>0</v>
      </c>
      <c r="K158" s="35">
        <f t="shared" si="25"/>
        <v>0</v>
      </c>
      <c r="L158" s="35">
        <f t="shared" si="25"/>
        <v>0</v>
      </c>
      <c r="M158" s="35">
        <f t="shared" si="25"/>
        <v>0</v>
      </c>
      <c r="N158" s="35">
        <f t="shared" si="25"/>
        <v>0</v>
      </c>
      <c r="O158" s="35">
        <f t="shared" si="25"/>
        <v>0</v>
      </c>
      <c r="P158" s="35">
        <f t="shared" si="25"/>
        <v>0</v>
      </c>
      <c r="Q158" s="35">
        <f t="shared" si="25"/>
        <v>0</v>
      </c>
      <c r="R158" s="35">
        <f t="shared" si="25"/>
        <v>0</v>
      </c>
      <c r="S158" s="35">
        <f t="shared" si="25"/>
        <v>0</v>
      </c>
      <c r="T158" s="35">
        <f t="shared" si="25"/>
        <v>0</v>
      </c>
      <c r="U158" s="35">
        <f t="shared" si="25"/>
        <v>0</v>
      </c>
      <c r="V158" s="35">
        <f t="shared" si="25"/>
        <v>0</v>
      </c>
      <c r="W158" s="35">
        <f t="shared" si="25"/>
        <v>0</v>
      </c>
      <c r="X158" s="35">
        <f t="shared" si="25"/>
        <v>0</v>
      </c>
      <c r="Y158" s="35">
        <f t="shared" si="25"/>
        <v>0</v>
      </c>
      <c r="Z158" s="35">
        <f t="shared" si="25"/>
        <v>0</v>
      </c>
      <c r="AA158" s="35">
        <f t="shared" si="25"/>
        <v>0</v>
      </c>
      <c r="AB158" s="35">
        <f t="shared" si="25"/>
        <v>0</v>
      </c>
      <c r="AC158" s="35">
        <f t="shared" si="25"/>
        <v>0</v>
      </c>
      <c r="AD158" s="35">
        <f t="shared" si="25"/>
        <v>0</v>
      </c>
      <c r="AE158" s="35">
        <f t="shared" si="25"/>
        <v>0</v>
      </c>
      <c r="AF158" s="34">
        <f t="shared" si="25"/>
        <v>0</v>
      </c>
      <c r="AG158" s="33">
        <f t="shared" si="23"/>
        <v>3</v>
      </c>
    </row>
    <row r="159" spans="1:35" ht="18.75" x14ac:dyDescent="0.25">
      <c r="A159" s="329" t="s">
        <v>69</v>
      </c>
      <c r="B159" s="268"/>
      <c r="C159" s="136"/>
      <c r="D159" s="136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A159" s="136"/>
      <c r="AB159" s="136"/>
      <c r="AC159" s="136"/>
      <c r="AD159" s="136"/>
      <c r="AE159" s="136"/>
      <c r="AF159" s="135"/>
      <c r="AG159" s="134">
        <f t="shared" si="23"/>
        <v>0</v>
      </c>
    </row>
    <row r="160" spans="1:35" ht="18.75" x14ac:dyDescent="0.25">
      <c r="A160" s="330" t="s">
        <v>68</v>
      </c>
      <c r="B160" s="269"/>
      <c r="C160" s="130"/>
      <c r="D160" s="130"/>
      <c r="E160" s="130"/>
      <c r="F160" s="130"/>
      <c r="G160" s="130">
        <v>1</v>
      </c>
      <c r="H160" s="130"/>
      <c r="I160" s="130"/>
      <c r="J160" s="130"/>
      <c r="K160" s="130"/>
      <c r="L160" s="130"/>
      <c r="M160" s="130"/>
      <c r="N160" s="130"/>
      <c r="O160" s="130"/>
      <c r="P160" s="130"/>
      <c r="Q160" s="130"/>
      <c r="R160" s="130"/>
      <c r="S160" s="130"/>
      <c r="T160" s="130"/>
      <c r="U160" s="130"/>
      <c r="V160" s="130"/>
      <c r="W160" s="130"/>
      <c r="X160" s="130"/>
      <c r="Y160" s="130"/>
      <c r="Z160" s="130"/>
      <c r="AA160" s="130"/>
      <c r="AB160" s="130"/>
      <c r="AC160" s="130"/>
      <c r="AD160" s="130"/>
      <c r="AE160" s="130"/>
      <c r="AF160" s="129"/>
      <c r="AG160" s="64">
        <f t="shared" si="23"/>
        <v>1</v>
      </c>
    </row>
    <row r="161" spans="1:34" ht="18.75" x14ac:dyDescent="0.25">
      <c r="A161" s="330" t="s">
        <v>67</v>
      </c>
      <c r="B161" s="269"/>
      <c r="C161" s="130"/>
      <c r="D161" s="130">
        <v>1</v>
      </c>
      <c r="E161" s="130"/>
      <c r="F161" s="130"/>
      <c r="G161" s="130"/>
      <c r="H161" s="130"/>
      <c r="I161" s="130"/>
      <c r="J161" s="130"/>
      <c r="K161" s="130"/>
      <c r="L161" s="130"/>
      <c r="M161" s="130"/>
      <c r="N161" s="130"/>
      <c r="O161" s="130"/>
      <c r="P161" s="130"/>
      <c r="Q161" s="130"/>
      <c r="R161" s="130"/>
      <c r="S161" s="130"/>
      <c r="T161" s="130"/>
      <c r="U161" s="130"/>
      <c r="V161" s="130"/>
      <c r="W161" s="130"/>
      <c r="X161" s="130"/>
      <c r="Y161" s="130"/>
      <c r="Z161" s="130"/>
      <c r="AA161" s="130"/>
      <c r="AB161" s="130"/>
      <c r="AC161" s="130"/>
      <c r="AD161" s="130"/>
      <c r="AE161" s="130"/>
      <c r="AF161" s="129"/>
      <c r="AG161" s="64">
        <f t="shared" si="23"/>
        <v>1</v>
      </c>
    </row>
    <row r="162" spans="1:34" ht="18.75" x14ac:dyDescent="0.25">
      <c r="A162" s="330" t="s">
        <v>66</v>
      </c>
      <c r="B162" s="269"/>
      <c r="C162" s="130"/>
      <c r="D162" s="130"/>
      <c r="E162" s="130"/>
      <c r="F162" s="130"/>
      <c r="G162" s="130"/>
      <c r="H162" s="130"/>
      <c r="I162" s="130"/>
      <c r="J162" s="130"/>
      <c r="K162" s="130"/>
      <c r="L162" s="130"/>
      <c r="M162" s="130"/>
      <c r="N162" s="130"/>
      <c r="O162" s="130"/>
      <c r="P162" s="130"/>
      <c r="Q162" s="130"/>
      <c r="R162" s="130"/>
      <c r="S162" s="130"/>
      <c r="T162" s="130"/>
      <c r="U162" s="130"/>
      <c r="V162" s="130"/>
      <c r="W162" s="130"/>
      <c r="X162" s="130"/>
      <c r="Y162" s="130"/>
      <c r="Z162" s="130"/>
      <c r="AA162" s="130"/>
      <c r="AB162" s="130"/>
      <c r="AC162" s="130"/>
      <c r="AD162" s="130"/>
      <c r="AE162" s="130"/>
      <c r="AF162" s="129"/>
      <c r="AG162" s="64">
        <f t="shared" si="23"/>
        <v>0</v>
      </c>
    </row>
    <row r="163" spans="1:34" ht="18.75" x14ac:dyDescent="0.25">
      <c r="A163" s="330" t="s">
        <v>65</v>
      </c>
      <c r="B163" s="269"/>
      <c r="C163" s="130"/>
      <c r="D163" s="130"/>
      <c r="E163" s="130"/>
      <c r="F163" s="130"/>
      <c r="G163" s="130"/>
      <c r="H163" s="130"/>
      <c r="I163" s="130"/>
      <c r="J163" s="130"/>
      <c r="K163" s="130"/>
      <c r="L163" s="130"/>
      <c r="M163" s="130"/>
      <c r="N163" s="130"/>
      <c r="O163" s="130"/>
      <c r="P163" s="130"/>
      <c r="Q163" s="130"/>
      <c r="R163" s="130"/>
      <c r="S163" s="130"/>
      <c r="T163" s="130"/>
      <c r="U163" s="130"/>
      <c r="V163" s="130"/>
      <c r="W163" s="130"/>
      <c r="X163" s="130"/>
      <c r="Y163" s="130"/>
      <c r="Z163" s="130"/>
      <c r="AA163" s="130"/>
      <c r="AB163" s="130"/>
      <c r="AC163" s="130"/>
      <c r="AD163" s="130"/>
      <c r="AE163" s="130"/>
      <c r="AF163" s="129"/>
      <c r="AG163" s="64">
        <f t="shared" si="23"/>
        <v>0</v>
      </c>
    </row>
    <row r="164" spans="1:34" ht="18.75" x14ac:dyDescent="0.25">
      <c r="A164" s="330" t="s">
        <v>64</v>
      </c>
      <c r="B164" s="269"/>
      <c r="C164" s="130"/>
      <c r="D164" s="130"/>
      <c r="E164" s="130"/>
      <c r="F164" s="130"/>
      <c r="G164" s="130">
        <v>1</v>
      </c>
      <c r="H164" s="130"/>
      <c r="I164" s="130"/>
      <c r="J164" s="130"/>
      <c r="K164" s="130"/>
      <c r="L164" s="130"/>
      <c r="M164" s="130"/>
      <c r="N164" s="130"/>
      <c r="O164" s="130"/>
      <c r="P164" s="130"/>
      <c r="Q164" s="130"/>
      <c r="R164" s="130"/>
      <c r="S164" s="130"/>
      <c r="T164" s="130"/>
      <c r="U164" s="130"/>
      <c r="V164" s="130"/>
      <c r="W164" s="130"/>
      <c r="X164" s="130"/>
      <c r="Y164" s="130"/>
      <c r="Z164" s="130"/>
      <c r="AA164" s="130"/>
      <c r="AB164" s="130"/>
      <c r="AC164" s="130"/>
      <c r="AD164" s="130"/>
      <c r="AE164" s="130"/>
      <c r="AF164" s="129"/>
      <c r="AG164" s="64">
        <f t="shared" si="23"/>
        <v>1</v>
      </c>
    </row>
    <row r="165" spans="1:34" ht="18.75" x14ac:dyDescent="0.25">
      <c r="A165" s="330" t="s">
        <v>63</v>
      </c>
      <c r="B165" s="269"/>
      <c r="C165" s="130"/>
      <c r="D165" s="130"/>
      <c r="E165" s="130"/>
      <c r="F165" s="130"/>
      <c r="G165" s="130"/>
      <c r="H165" s="130"/>
      <c r="I165" s="130"/>
      <c r="J165" s="130"/>
      <c r="K165" s="130"/>
      <c r="L165" s="130"/>
      <c r="M165" s="130"/>
      <c r="N165" s="130"/>
      <c r="O165" s="130"/>
      <c r="P165" s="130"/>
      <c r="Q165" s="130"/>
      <c r="R165" s="130"/>
      <c r="S165" s="130"/>
      <c r="T165" s="130"/>
      <c r="U165" s="130"/>
      <c r="V165" s="130"/>
      <c r="W165" s="130"/>
      <c r="X165" s="130"/>
      <c r="Y165" s="130"/>
      <c r="Z165" s="130"/>
      <c r="AA165" s="130"/>
      <c r="AB165" s="130"/>
      <c r="AC165" s="130"/>
      <c r="AD165" s="130"/>
      <c r="AE165" s="130"/>
      <c r="AF165" s="129"/>
      <c r="AG165" s="64">
        <f t="shared" si="23"/>
        <v>0</v>
      </c>
    </row>
    <row r="166" spans="1:34" ht="19.5" thickBot="1" x14ac:dyDescent="0.3">
      <c r="A166" s="331" t="s">
        <v>62</v>
      </c>
      <c r="B166" s="270"/>
      <c r="C166" s="127"/>
      <c r="D166" s="127"/>
      <c r="E166" s="127"/>
      <c r="F166" s="127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  <c r="Y166" s="127"/>
      <c r="Z166" s="127"/>
      <c r="AA166" s="127"/>
      <c r="AB166" s="127"/>
      <c r="AC166" s="127"/>
      <c r="AD166" s="127"/>
      <c r="AE166" s="127"/>
      <c r="AF166" s="126"/>
      <c r="AG166" s="10">
        <f t="shared" si="23"/>
        <v>0</v>
      </c>
    </row>
    <row r="167" spans="1:34" ht="18.75" x14ac:dyDescent="0.25">
      <c r="A167" s="332" t="s">
        <v>61</v>
      </c>
      <c r="B167" s="271">
        <f t="shared" ref="B167:AF167" si="26">SUM(B168:B171)</f>
        <v>0</v>
      </c>
      <c r="C167" s="18">
        <f t="shared" si="26"/>
        <v>0</v>
      </c>
      <c r="D167" s="18">
        <f t="shared" si="26"/>
        <v>0</v>
      </c>
      <c r="E167" s="18">
        <f t="shared" si="26"/>
        <v>0</v>
      </c>
      <c r="F167" s="18">
        <f t="shared" si="26"/>
        <v>0</v>
      </c>
      <c r="G167" s="18">
        <f t="shared" si="26"/>
        <v>0</v>
      </c>
      <c r="H167" s="18">
        <f t="shared" si="26"/>
        <v>0</v>
      </c>
      <c r="I167" s="18">
        <f t="shared" si="26"/>
        <v>0</v>
      </c>
      <c r="J167" s="18">
        <f t="shared" si="26"/>
        <v>1</v>
      </c>
      <c r="K167" s="18">
        <f t="shared" si="26"/>
        <v>0</v>
      </c>
      <c r="L167" s="18">
        <f t="shared" si="26"/>
        <v>0</v>
      </c>
      <c r="M167" s="18">
        <f t="shared" si="26"/>
        <v>1</v>
      </c>
      <c r="N167" s="18">
        <f t="shared" si="26"/>
        <v>0</v>
      </c>
      <c r="O167" s="18">
        <f t="shared" si="26"/>
        <v>1</v>
      </c>
      <c r="P167" s="18">
        <f t="shared" si="26"/>
        <v>0</v>
      </c>
      <c r="Q167" s="18">
        <f t="shared" si="26"/>
        <v>0</v>
      </c>
      <c r="R167" s="18">
        <f t="shared" si="26"/>
        <v>1</v>
      </c>
      <c r="S167" s="18">
        <f t="shared" si="26"/>
        <v>0</v>
      </c>
      <c r="T167" s="18">
        <f t="shared" si="26"/>
        <v>0</v>
      </c>
      <c r="U167" s="18">
        <f t="shared" si="26"/>
        <v>1</v>
      </c>
      <c r="V167" s="18">
        <f t="shared" si="26"/>
        <v>0</v>
      </c>
      <c r="W167" s="18">
        <f t="shared" si="26"/>
        <v>0</v>
      </c>
      <c r="X167" s="18">
        <f t="shared" si="26"/>
        <v>1</v>
      </c>
      <c r="Y167" s="18">
        <f t="shared" si="26"/>
        <v>2</v>
      </c>
      <c r="Z167" s="18">
        <f t="shared" si="26"/>
        <v>0</v>
      </c>
      <c r="AA167" s="18">
        <f t="shared" si="26"/>
        <v>0</v>
      </c>
      <c r="AB167" s="18">
        <f t="shared" si="26"/>
        <v>0</v>
      </c>
      <c r="AC167" s="18">
        <f t="shared" si="26"/>
        <v>0</v>
      </c>
      <c r="AD167" s="18">
        <f t="shared" si="26"/>
        <v>1</v>
      </c>
      <c r="AE167" s="18">
        <f t="shared" si="26"/>
        <v>0</v>
      </c>
      <c r="AF167" s="17">
        <f t="shared" si="26"/>
        <v>1</v>
      </c>
      <c r="AG167" s="7">
        <f t="shared" si="23"/>
        <v>10</v>
      </c>
    </row>
    <row r="168" spans="1:34" ht="18.75" x14ac:dyDescent="0.25">
      <c r="A168" s="334" t="s">
        <v>60</v>
      </c>
      <c r="B168" s="269"/>
      <c r="C168" s="130"/>
      <c r="D168" s="130"/>
      <c r="E168" s="130"/>
      <c r="F168" s="130"/>
      <c r="G168" s="130"/>
      <c r="H168" s="130"/>
      <c r="I168" s="130"/>
      <c r="J168" s="130"/>
      <c r="K168" s="130"/>
      <c r="L168" s="130"/>
      <c r="M168" s="130"/>
      <c r="N168" s="130"/>
      <c r="O168" s="130"/>
      <c r="P168" s="130"/>
      <c r="Q168" s="130"/>
      <c r="R168" s="130"/>
      <c r="S168" s="130"/>
      <c r="T168" s="130"/>
      <c r="U168" s="130"/>
      <c r="V168" s="130"/>
      <c r="W168" s="130"/>
      <c r="X168" s="130"/>
      <c r="Y168" s="130"/>
      <c r="Z168" s="130"/>
      <c r="AA168" s="130"/>
      <c r="AB168" s="130"/>
      <c r="AC168" s="130"/>
      <c r="AD168" s="130"/>
      <c r="AE168" s="130"/>
      <c r="AF168" s="129"/>
      <c r="AG168" s="64">
        <f t="shared" si="23"/>
        <v>0</v>
      </c>
    </row>
    <row r="169" spans="1:34" ht="18.75" x14ac:dyDescent="0.25">
      <c r="A169" s="334" t="s">
        <v>59</v>
      </c>
      <c r="B169" s="269"/>
      <c r="C169" s="130"/>
      <c r="D169" s="130"/>
      <c r="E169" s="130"/>
      <c r="F169" s="130"/>
      <c r="G169" s="130"/>
      <c r="H169" s="130"/>
      <c r="I169" s="130"/>
      <c r="J169" s="130"/>
      <c r="K169" s="130"/>
      <c r="L169" s="130"/>
      <c r="M169" s="130"/>
      <c r="N169" s="130"/>
      <c r="O169" s="130"/>
      <c r="P169" s="130"/>
      <c r="Q169" s="130"/>
      <c r="R169" s="130"/>
      <c r="S169" s="130"/>
      <c r="T169" s="130"/>
      <c r="U169" s="130"/>
      <c r="V169" s="130"/>
      <c r="W169" s="130"/>
      <c r="X169" s="130"/>
      <c r="Y169" s="130"/>
      <c r="Z169" s="130"/>
      <c r="AA169" s="130"/>
      <c r="AB169" s="130"/>
      <c r="AC169" s="130"/>
      <c r="AD169" s="130"/>
      <c r="AE169" s="130"/>
      <c r="AF169" s="129"/>
      <c r="AG169" s="64">
        <f t="shared" si="23"/>
        <v>0</v>
      </c>
    </row>
    <row r="170" spans="1:34" ht="18.75" x14ac:dyDescent="0.25">
      <c r="A170" s="334" t="s">
        <v>58</v>
      </c>
      <c r="B170" s="269"/>
      <c r="C170" s="130"/>
      <c r="D170" s="130"/>
      <c r="E170" s="130"/>
      <c r="F170" s="130"/>
      <c r="G170" s="130"/>
      <c r="H170" s="130"/>
      <c r="I170" s="130"/>
      <c r="J170" s="130"/>
      <c r="K170" s="130"/>
      <c r="L170" s="130"/>
      <c r="M170" s="130"/>
      <c r="N170" s="130"/>
      <c r="O170" s="130"/>
      <c r="P170" s="130"/>
      <c r="Q170" s="130"/>
      <c r="R170" s="130"/>
      <c r="S170" s="130"/>
      <c r="T170" s="130"/>
      <c r="U170" s="130"/>
      <c r="V170" s="130"/>
      <c r="W170" s="130"/>
      <c r="X170" s="130"/>
      <c r="Y170" s="130"/>
      <c r="Z170" s="130"/>
      <c r="AA170" s="130"/>
      <c r="AB170" s="130"/>
      <c r="AC170" s="130"/>
      <c r="AD170" s="130">
        <v>1</v>
      </c>
      <c r="AE170" s="130"/>
      <c r="AF170" s="129"/>
      <c r="AG170" s="64">
        <f t="shared" si="23"/>
        <v>1</v>
      </c>
    </row>
    <row r="171" spans="1:34" ht="19.5" thickBot="1" x14ac:dyDescent="0.3">
      <c r="A171" s="335" t="s">
        <v>57</v>
      </c>
      <c r="B171" s="270"/>
      <c r="C171" s="127"/>
      <c r="D171" s="127"/>
      <c r="E171" s="127"/>
      <c r="F171" s="127"/>
      <c r="G171" s="127"/>
      <c r="H171" s="127"/>
      <c r="I171" s="127"/>
      <c r="J171" s="127">
        <v>1</v>
      </c>
      <c r="K171" s="127"/>
      <c r="L171" s="127"/>
      <c r="M171" s="127">
        <v>1</v>
      </c>
      <c r="N171" s="127"/>
      <c r="O171" s="127">
        <v>1</v>
      </c>
      <c r="P171" s="127"/>
      <c r="Q171" s="127"/>
      <c r="R171" s="127">
        <v>1</v>
      </c>
      <c r="S171" s="127"/>
      <c r="T171" s="127"/>
      <c r="U171" s="127">
        <v>1</v>
      </c>
      <c r="V171" s="127"/>
      <c r="W171" s="127"/>
      <c r="X171" s="127">
        <v>1</v>
      </c>
      <c r="Y171" s="127">
        <v>2</v>
      </c>
      <c r="Z171" s="127"/>
      <c r="AA171" s="127"/>
      <c r="AB171" s="127"/>
      <c r="AC171" s="127"/>
      <c r="AD171" s="127"/>
      <c r="AE171" s="127"/>
      <c r="AF171" s="126">
        <v>1</v>
      </c>
      <c r="AG171" s="10">
        <f t="shared" si="23"/>
        <v>9</v>
      </c>
    </row>
    <row r="172" spans="1:34" ht="19.5" thickBot="1" x14ac:dyDescent="0.3">
      <c r="A172" s="336" t="s">
        <v>56</v>
      </c>
      <c r="B172" s="273"/>
      <c r="C172" s="124"/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  <c r="S172" s="124"/>
      <c r="T172" s="124"/>
      <c r="U172" s="124"/>
      <c r="V172" s="124"/>
      <c r="W172" s="124"/>
      <c r="X172" s="124"/>
      <c r="Y172" s="124"/>
      <c r="Z172" s="124"/>
      <c r="AA172" s="124"/>
      <c r="AB172" s="124"/>
      <c r="AC172" s="124"/>
      <c r="AD172" s="124"/>
      <c r="AE172" s="124">
        <v>1</v>
      </c>
      <c r="AF172" s="123"/>
      <c r="AG172" s="122">
        <f t="shared" si="23"/>
        <v>1</v>
      </c>
    </row>
    <row r="173" spans="1:34" ht="19.5" thickBot="1" x14ac:dyDescent="0.3">
      <c r="A173" s="299" t="s">
        <v>55</v>
      </c>
      <c r="B173" s="247">
        <f>SUM(B174:B176)</f>
        <v>1</v>
      </c>
      <c r="C173" s="120">
        <f t="shared" ref="C173:AF173" si="27">SUM(C174:C176)</f>
        <v>2</v>
      </c>
      <c r="D173" s="120">
        <f t="shared" si="27"/>
        <v>0</v>
      </c>
      <c r="E173" s="120">
        <f t="shared" si="27"/>
        <v>1</v>
      </c>
      <c r="F173" s="120">
        <f t="shared" si="27"/>
        <v>1</v>
      </c>
      <c r="G173" s="120">
        <f t="shared" si="27"/>
        <v>2</v>
      </c>
      <c r="H173" s="120">
        <f t="shared" si="27"/>
        <v>4</v>
      </c>
      <c r="I173" s="120">
        <f t="shared" si="27"/>
        <v>1</v>
      </c>
      <c r="J173" s="120">
        <f t="shared" si="27"/>
        <v>4</v>
      </c>
      <c r="K173" s="120">
        <f t="shared" si="27"/>
        <v>1</v>
      </c>
      <c r="L173" s="120">
        <f t="shared" si="27"/>
        <v>1</v>
      </c>
      <c r="M173" s="120">
        <f t="shared" si="27"/>
        <v>0</v>
      </c>
      <c r="N173" s="120">
        <f t="shared" si="27"/>
        <v>1</v>
      </c>
      <c r="O173" s="120">
        <f t="shared" si="27"/>
        <v>2</v>
      </c>
      <c r="P173" s="120">
        <f t="shared" si="27"/>
        <v>2</v>
      </c>
      <c r="Q173" s="120">
        <f t="shared" si="27"/>
        <v>1</v>
      </c>
      <c r="R173" s="120">
        <f t="shared" si="27"/>
        <v>0</v>
      </c>
      <c r="S173" s="120">
        <f t="shared" si="27"/>
        <v>2</v>
      </c>
      <c r="T173" s="120">
        <f t="shared" si="27"/>
        <v>1</v>
      </c>
      <c r="U173" s="120">
        <f t="shared" si="27"/>
        <v>0</v>
      </c>
      <c r="V173" s="120">
        <f t="shared" si="27"/>
        <v>1</v>
      </c>
      <c r="W173" s="120">
        <f t="shared" si="27"/>
        <v>3</v>
      </c>
      <c r="X173" s="120">
        <f t="shared" si="27"/>
        <v>1</v>
      </c>
      <c r="Y173" s="120">
        <f t="shared" si="27"/>
        <v>3</v>
      </c>
      <c r="Z173" s="120">
        <f t="shared" si="27"/>
        <v>1</v>
      </c>
      <c r="AA173" s="120">
        <f t="shared" si="27"/>
        <v>2</v>
      </c>
      <c r="AB173" s="120">
        <f t="shared" si="27"/>
        <v>0</v>
      </c>
      <c r="AC173" s="120">
        <f t="shared" si="27"/>
        <v>2</v>
      </c>
      <c r="AD173" s="120">
        <f t="shared" si="27"/>
        <v>2</v>
      </c>
      <c r="AE173" s="120">
        <f t="shared" si="27"/>
        <v>0</v>
      </c>
      <c r="AF173" s="119">
        <f t="shared" si="27"/>
        <v>1</v>
      </c>
      <c r="AG173" s="118">
        <f t="shared" si="23"/>
        <v>43</v>
      </c>
      <c r="AH173" s="98" t="s">
        <v>54</v>
      </c>
    </row>
    <row r="174" spans="1:34" ht="18.75" x14ac:dyDescent="0.25">
      <c r="A174" s="337" t="s">
        <v>53</v>
      </c>
      <c r="B174" s="274">
        <v>1</v>
      </c>
      <c r="C174" s="116">
        <v>2</v>
      </c>
      <c r="D174" s="116">
        <v>0</v>
      </c>
      <c r="E174" s="116">
        <v>1</v>
      </c>
      <c r="F174" s="116">
        <v>1</v>
      </c>
      <c r="G174" s="116">
        <v>2</v>
      </c>
      <c r="H174" s="116">
        <v>4</v>
      </c>
      <c r="I174" s="116"/>
      <c r="J174" s="116">
        <v>4</v>
      </c>
      <c r="K174" s="116">
        <v>1</v>
      </c>
      <c r="L174" s="116">
        <v>1</v>
      </c>
      <c r="M174" s="116">
        <v>0</v>
      </c>
      <c r="N174" s="116">
        <v>1</v>
      </c>
      <c r="O174" s="116">
        <v>2</v>
      </c>
      <c r="P174" s="116">
        <v>2</v>
      </c>
      <c r="Q174" s="116">
        <v>1</v>
      </c>
      <c r="R174" s="116">
        <v>0</v>
      </c>
      <c r="S174" s="116">
        <v>2</v>
      </c>
      <c r="T174" s="116">
        <v>1</v>
      </c>
      <c r="U174" s="116">
        <v>0</v>
      </c>
      <c r="V174" s="116">
        <v>1</v>
      </c>
      <c r="W174" s="116">
        <v>3</v>
      </c>
      <c r="X174" s="116">
        <v>1</v>
      </c>
      <c r="Y174" s="116">
        <v>2</v>
      </c>
      <c r="Z174" s="116">
        <v>1</v>
      </c>
      <c r="AA174" s="116">
        <v>2</v>
      </c>
      <c r="AB174" s="116">
        <v>0</v>
      </c>
      <c r="AC174" s="116">
        <v>2</v>
      </c>
      <c r="AD174" s="116">
        <v>2</v>
      </c>
      <c r="AE174" s="116">
        <v>0</v>
      </c>
      <c r="AF174" s="115">
        <v>1</v>
      </c>
      <c r="AG174" s="114">
        <f t="shared" si="23"/>
        <v>41</v>
      </c>
      <c r="AH174" s="98"/>
    </row>
    <row r="175" spans="1:34" ht="18.75" x14ac:dyDescent="0.25">
      <c r="A175" s="338" t="s">
        <v>52</v>
      </c>
      <c r="B175" s="275"/>
      <c r="C175" s="112"/>
      <c r="D175" s="112"/>
      <c r="E175" s="112"/>
      <c r="F175" s="112"/>
      <c r="G175" s="112"/>
      <c r="H175" s="112"/>
      <c r="I175" s="112">
        <v>1</v>
      </c>
      <c r="J175" s="112"/>
      <c r="K175" s="112"/>
      <c r="L175" s="112"/>
      <c r="M175" s="112"/>
      <c r="N175" s="112"/>
      <c r="O175" s="112"/>
      <c r="P175" s="112"/>
      <c r="Q175" s="112"/>
      <c r="R175" s="112"/>
      <c r="S175" s="112"/>
      <c r="T175" s="112"/>
      <c r="U175" s="112"/>
      <c r="V175" s="112"/>
      <c r="W175" s="112"/>
      <c r="X175" s="112"/>
      <c r="Y175" s="112">
        <v>1</v>
      </c>
      <c r="Z175" s="112"/>
      <c r="AA175" s="112"/>
      <c r="AB175" s="112"/>
      <c r="AC175" s="112"/>
      <c r="AD175" s="112"/>
      <c r="AE175" s="112"/>
      <c r="AF175" s="111"/>
      <c r="AG175" s="110">
        <f t="shared" si="23"/>
        <v>2</v>
      </c>
      <c r="AH175" s="98"/>
    </row>
    <row r="176" spans="1:34" ht="19.5" thickBot="1" x14ac:dyDescent="0.3">
      <c r="A176" s="371" t="s">
        <v>168</v>
      </c>
      <c r="B176" s="372"/>
      <c r="C176" s="373"/>
      <c r="D176" s="373"/>
      <c r="E176" s="373"/>
      <c r="F176" s="373"/>
      <c r="G176" s="373"/>
      <c r="H176" s="373"/>
      <c r="I176" s="373"/>
      <c r="J176" s="373"/>
      <c r="K176" s="373"/>
      <c r="L176" s="373"/>
      <c r="M176" s="373"/>
      <c r="N176" s="373"/>
      <c r="O176" s="373"/>
      <c r="P176" s="373"/>
      <c r="Q176" s="373"/>
      <c r="R176" s="373"/>
      <c r="S176" s="373"/>
      <c r="T176" s="373"/>
      <c r="U176" s="373"/>
      <c r="V176" s="373"/>
      <c r="W176" s="373"/>
      <c r="X176" s="373"/>
      <c r="Y176" s="373"/>
      <c r="Z176" s="373"/>
      <c r="AA176" s="373"/>
      <c r="AB176" s="373"/>
      <c r="AC176" s="373"/>
      <c r="AD176" s="373"/>
      <c r="AE176" s="373"/>
      <c r="AF176" s="374"/>
      <c r="AG176" s="375">
        <f t="shared" si="23"/>
        <v>0</v>
      </c>
      <c r="AH176" s="98"/>
    </row>
    <row r="177" spans="1:34" ht="19.5" thickBot="1" x14ac:dyDescent="0.3">
      <c r="A177" s="312" t="s">
        <v>51</v>
      </c>
      <c r="B177" s="376">
        <f t="shared" ref="B177:AF177" si="28">SUM(B178:B179)</f>
        <v>2</v>
      </c>
      <c r="C177" s="377">
        <f t="shared" si="28"/>
        <v>1</v>
      </c>
      <c r="D177" s="377">
        <f t="shared" si="28"/>
        <v>4</v>
      </c>
      <c r="E177" s="377">
        <f t="shared" si="28"/>
        <v>1</v>
      </c>
      <c r="F177" s="377">
        <f t="shared" si="28"/>
        <v>1</v>
      </c>
      <c r="G177" s="377">
        <f t="shared" si="28"/>
        <v>3</v>
      </c>
      <c r="H177" s="377">
        <f t="shared" si="28"/>
        <v>6</v>
      </c>
      <c r="I177" s="377">
        <f t="shared" si="28"/>
        <v>1</v>
      </c>
      <c r="J177" s="377">
        <f t="shared" si="28"/>
        <v>1</v>
      </c>
      <c r="K177" s="377">
        <f t="shared" si="28"/>
        <v>0</v>
      </c>
      <c r="L177" s="377">
        <f t="shared" si="28"/>
        <v>1</v>
      </c>
      <c r="M177" s="377">
        <f t="shared" si="28"/>
        <v>6</v>
      </c>
      <c r="N177" s="377">
        <f t="shared" si="28"/>
        <v>3</v>
      </c>
      <c r="O177" s="377">
        <f t="shared" si="28"/>
        <v>3</v>
      </c>
      <c r="P177" s="377">
        <f t="shared" si="28"/>
        <v>2</v>
      </c>
      <c r="Q177" s="377">
        <f t="shared" si="28"/>
        <v>0</v>
      </c>
      <c r="R177" s="377">
        <f t="shared" si="28"/>
        <v>5</v>
      </c>
      <c r="S177" s="377">
        <f t="shared" si="28"/>
        <v>3</v>
      </c>
      <c r="T177" s="377">
        <f t="shared" si="28"/>
        <v>5</v>
      </c>
      <c r="U177" s="377">
        <f t="shared" si="28"/>
        <v>1</v>
      </c>
      <c r="V177" s="377">
        <f t="shared" si="28"/>
        <v>5</v>
      </c>
      <c r="W177" s="377">
        <f t="shared" si="28"/>
        <v>2</v>
      </c>
      <c r="X177" s="377">
        <f t="shared" si="28"/>
        <v>6</v>
      </c>
      <c r="Y177" s="377">
        <f t="shared" si="28"/>
        <v>0</v>
      </c>
      <c r="Z177" s="377">
        <f t="shared" si="28"/>
        <v>2</v>
      </c>
      <c r="AA177" s="377">
        <f t="shared" si="28"/>
        <v>2</v>
      </c>
      <c r="AB177" s="377">
        <f t="shared" si="28"/>
        <v>0</v>
      </c>
      <c r="AC177" s="377">
        <f t="shared" si="28"/>
        <v>2</v>
      </c>
      <c r="AD177" s="377">
        <f t="shared" si="28"/>
        <v>4</v>
      </c>
      <c r="AE177" s="377">
        <f t="shared" si="28"/>
        <v>4</v>
      </c>
      <c r="AF177" s="378">
        <f t="shared" si="28"/>
        <v>4</v>
      </c>
      <c r="AG177" s="379">
        <f t="shared" si="23"/>
        <v>80</v>
      </c>
      <c r="AH177" s="98" t="s">
        <v>48</v>
      </c>
    </row>
    <row r="178" spans="1:34" ht="18.75" x14ac:dyDescent="0.25">
      <c r="A178" s="340" t="s">
        <v>50</v>
      </c>
      <c r="B178" s="277">
        <v>0</v>
      </c>
      <c r="C178" s="105">
        <v>0</v>
      </c>
      <c r="D178" s="105">
        <v>1</v>
      </c>
      <c r="E178" s="105">
        <v>0</v>
      </c>
      <c r="F178" s="105">
        <v>0</v>
      </c>
      <c r="G178" s="105">
        <v>0</v>
      </c>
      <c r="H178" s="105">
        <v>0</v>
      </c>
      <c r="I178" s="105">
        <v>0</v>
      </c>
      <c r="J178" s="105">
        <v>0</v>
      </c>
      <c r="K178" s="105">
        <v>0</v>
      </c>
      <c r="L178" s="105">
        <v>0</v>
      </c>
      <c r="M178" s="105">
        <v>1</v>
      </c>
      <c r="N178" s="105">
        <v>0</v>
      </c>
      <c r="O178" s="105">
        <v>0</v>
      </c>
      <c r="P178" s="105">
        <v>0</v>
      </c>
      <c r="Q178" s="105">
        <v>0</v>
      </c>
      <c r="R178" s="105">
        <v>1</v>
      </c>
      <c r="S178" s="105">
        <v>1</v>
      </c>
      <c r="T178" s="105">
        <v>0</v>
      </c>
      <c r="U178" s="105">
        <v>0</v>
      </c>
      <c r="V178" s="105">
        <v>0</v>
      </c>
      <c r="W178" s="105">
        <v>0</v>
      </c>
      <c r="X178" s="105">
        <v>2</v>
      </c>
      <c r="Y178" s="105">
        <v>0</v>
      </c>
      <c r="Z178" s="105">
        <v>0</v>
      </c>
      <c r="AA178" s="105">
        <v>0</v>
      </c>
      <c r="AB178" s="105">
        <v>0</v>
      </c>
      <c r="AC178" s="105">
        <v>0</v>
      </c>
      <c r="AD178" s="105">
        <v>0</v>
      </c>
      <c r="AE178" s="105">
        <v>0</v>
      </c>
      <c r="AF178" s="104">
        <v>0</v>
      </c>
      <c r="AG178" s="103">
        <f t="shared" si="23"/>
        <v>6</v>
      </c>
      <c r="AH178" s="98" t="s">
        <v>48</v>
      </c>
    </row>
    <row r="179" spans="1:34" ht="19.5" thickBot="1" x14ac:dyDescent="0.3">
      <c r="A179" s="313" t="s">
        <v>49</v>
      </c>
      <c r="B179" s="278">
        <v>2</v>
      </c>
      <c r="C179" s="101">
        <v>1</v>
      </c>
      <c r="D179" s="101">
        <v>3</v>
      </c>
      <c r="E179" s="101">
        <v>1</v>
      </c>
      <c r="F179" s="101">
        <v>1</v>
      </c>
      <c r="G179" s="101">
        <v>3</v>
      </c>
      <c r="H179" s="101">
        <v>6</v>
      </c>
      <c r="I179" s="101">
        <v>1</v>
      </c>
      <c r="J179" s="101">
        <v>1</v>
      </c>
      <c r="K179" s="101">
        <v>0</v>
      </c>
      <c r="L179" s="101">
        <v>1</v>
      </c>
      <c r="M179" s="101">
        <v>5</v>
      </c>
      <c r="N179" s="101">
        <v>3</v>
      </c>
      <c r="O179" s="101">
        <v>3</v>
      </c>
      <c r="P179" s="101">
        <v>2</v>
      </c>
      <c r="Q179" s="101">
        <v>0</v>
      </c>
      <c r="R179" s="101">
        <v>4</v>
      </c>
      <c r="S179" s="101">
        <v>2</v>
      </c>
      <c r="T179" s="101">
        <v>5</v>
      </c>
      <c r="U179" s="101">
        <v>1</v>
      </c>
      <c r="V179" s="101">
        <v>5</v>
      </c>
      <c r="W179" s="101">
        <v>2</v>
      </c>
      <c r="X179" s="101">
        <v>4</v>
      </c>
      <c r="Y179" s="101">
        <v>0</v>
      </c>
      <c r="Z179" s="101">
        <v>2</v>
      </c>
      <c r="AA179" s="101">
        <v>2</v>
      </c>
      <c r="AB179" s="101">
        <v>0</v>
      </c>
      <c r="AC179" s="101">
        <v>2</v>
      </c>
      <c r="AD179" s="101">
        <v>4</v>
      </c>
      <c r="AE179" s="101">
        <v>4</v>
      </c>
      <c r="AF179" s="100">
        <v>4</v>
      </c>
      <c r="AG179" s="99">
        <f t="shared" si="23"/>
        <v>74</v>
      </c>
      <c r="AH179" s="98" t="s">
        <v>48</v>
      </c>
    </row>
    <row r="180" spans="1:34" ht="18.75" x14ac:dyDescent="0.25">
      <c r="A180" s="341" t="s">
        <v>47</v>
      </c>
      <c r="B180" s="279"/>
      <c r="C180" s="96"/>
      <c r="D180" s="96"/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  <c r="AA180" s="96"/>
      <c r="AB180" s="96"/>
      <c r="AC180" s="96"/>
      <c r="AD180" s="96"/>
      <c r="AE180" s="96"/>
      <c r="AF180" s="95"/>
      <c r="AG180" s="94">
        <f t="shared" ref="AG180:AG211" si="29">SUM(B180:AF180)</f>
        <v>0</v>
      </c>
    </row>
    <row r="181" spans="1:34" ht="19.5" thickBot="1" x14ac:dyDescent="0.3">
      <c r="A181" s="342" t="s">
        <v>46</v>
      </c>
      <c r="B181" s="280"/>
      <c r="C181" s="92"/>
      <c r="D181" s="92"/>
      <c r="E181" s="92"/>
      <c r="F181" s="92"/>
      <c r="G181" s="92"/>
      <c r="H181" s="92"/>
      <c r="I181" s="92"/>
      <c r="J181" s="92"/>
      <c r="K181" s="92"/>
      <c r="L181" s="92"/>
      <c r="M181" s="92"/>
      <c r="N181" s="92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2"/>
      <c r="AA181" s="92"/>
      <c r="AB181" s="92"/>
      <c r="AC181" s="92"/>
      <c r="AD181" s="92"/>
      <c r="AE181" s="92"/>
      <c r="AF181" s="91"/>
      <c r="AG181" s="90">
        <f t="shared" si="29"/>
        <v>0</v>
      </c>
    </row>
    <row r="182" spans="1:34" ht="19.5" thickBot="1" x14ac:dyDescent="0.3">
      <c r="A182" s="343" t="s">
        <v>45</v>
      </c>
      <c r="B182" s="281">
        <f t="shared" ref="B182:AF182" si="30">SUM(B183:B208)</f>
        <v>69</v>
      </c>
      <c r="C182" s="88">
        <f t="shared" si="30"/>
        <v>53</v>
      </c>
      <c r="D182" s="88">
        <f t="shared" si="30"/>
        <v>74</v>
      </c>
      <c r="E182" s="88">
        <f t="shared" si="30"/>
        <v>50</v>
      </c>
      <c r="F182" s="88">
        <f t="shared" si="30"/>
        <v>85</v>
      </c>
      <c r="G182" s="88">
        <f t="shared" si="30"/>
        <v>80</v>
      </c>
      <c r="H182" s="88">
        <f t="shared" si="30"/>
        <v>66</v>
      </c>
      <c r="I182" s="88">
        <f t="shared" si="30"/>
        <v>73</v>
      </c>
      <c r="J182" s="88">
        <f t="shared" si="30"/>
        <v>48</v>
      </c>
      <c r="K182" s="88">
        <f t="shared" si="30"/>
        <v>40</v>
      </c>
      <c r="L182" s="88">
        <f t="shared" si="30"/>
        <v>34</v>
      </c>
      <c r="M182" s="88">
        <f t="shared" si="30"/>
        <v>58</v>
      </c>
      <c r="N182" s="88">
        <f t="shared" si="30"/>
        <v>63</v>
      </c>
      <c r="O182" s="88">
        <f t="shared" si="30"/>
        <v>60</v>
      </c>
      <c r="P182" s="88">
        <f t="shared" si="30"/>
        <v>70</v>
      </c>
      <c r="Q182" s="88">
        <f t="shared" si="30"/>
        <v>75</v>
      </c>
      <c r="R182" s="88">
        <f t="shared" si="30"/>
        <v>78</v>
      </c>
      <c r="S182" s="88">
        <f t="shared" si="30"/>
        <v>74</v>
      </c>
      <c r="T182" s="88">
        <f t="shared" si="30"/>
        <v>100</v>
      </c>
      <c r="U182" s="88">
        <f t="shared" si="30"/>
        <v>92</v>
      </c>
      <c r="V182" s="88">
        <f t="shared" si="30"/>
        <v>85</v>
      </c>
      <c r="W182" s="88">
        <f t="shared" si="30"/>
        <v>70</v>
      </c>
      <c r="X182" s="88">
        <f t="shared" si="30"/>
        <v>106</v>
      </c>
      <c r="Y182" s="88">
        <f t="shared" si="30"/>
        <v>42</v>
      </c>
      <c r="Z182" s="88">
        <f t="shared" si="30"/>
        <v>63</v>
      </c>
      <c r="AA182" s="88">
        <f t="shared" si="30"/>
        <v>81</v>
      </c>
      <c r="AB182" s="88">
        <f t="shared" si="30"/>
        <v>96</v>
      </c>
      <c r="AC182" s="88">
        <f t="shared" si="30"/>
        <v>68</v>
      </c>
      <c r="AD182" s="88">
        <f t="shared" si="30"/>
        <v>82</v>
      </c>
      <c r="AE182" s="88">
        <f t="shared" si="30"/>
        <v>58</v>
      </c>
      <c r="AF182" s="87">
        <f t="shared" si="30"/>
        <v>49</v>
      </c>
      <c r="AG182" s="86">
        <f t="shared" si="29"/>
        <v>2142</v>
      </c>
      <c r="AH182" s="85"/>
    </row>
    <row r="183" spans="1:34" ht="18.75" x14ac:dyDescent="0.25">
      <c r="A183" s="76" t="s">
        <v>44</v>
      </c>
      <c r="B183" s="282">
        <v>1</v>
      </c>
      <c r="C183" s="84">
        <v>1</v>
      </c>
      <c r="D183" s="84">
        <v>6</v>
      </c>
      <c r="E183" s="84">
        <v>5</v>
      </c>
      <c r="F183" s="84">
        <v>3</v>
      </c>
      <c r="G183" s="84">
        <v>4</v>
      </c>
      <c r="H183" s="84">
        <v>2</v>
      </c>
      <c r="I183" s="84">
        <v>2</v>
      </c>
      <c r="J183" s="84"/>
      <c r="K183" s="84">
        <v>4</v>
      </c>
      <c r="L183" s="84">
        <v>2</v>
      </c>
      <c r="M183" s="84">
        <v>2</v>
      </c>
      <c r="N183" s="83">
        <v>10</v>
      </c>
      <c r="O183" s="83">
        <v>2</v>
      </c>
      <c r="P183" s="83">
        <v>2</v>
      </c>
      <c r="Q183" s="83">
        <v>2</v>
      </c>
      <c r="R183" s="83">
        <v>2</v>
      </c>
      <c r="S183" s="83">
        <v>5</v>
      </c>
      <c r="T183" s="83">
        <v>2</v>
      </c>
      <c r="U183" s="83">
        <v>3</v>
      </c>
      <c r="V183" s="83">
        <v>5</v>
      </c>
      <c r="W183" s="83">
        <v>7</v>
      </c>
      <c r="X183" s="83">
        <v>2</v>
      </c>
      <c r="Y183" s="83">
        <v>8</v>
      </c>
      <c r="Z183" s="83">
        <v>4</v>
      </c>
      <c r="AA183" s="83">
        <v>1</v>
      </c>
      <c r="AB183" s="83">
        <v>3</v>
      </c>
      <c r="AC183" s="83">
        <v>2</v>
      </c>
      <c r="AD183" s="83">
        <v>4</v>
      </c>
      <c r="AE183" s="83">
        <v>1</v>
      </c>
      <c r="AF183" s="82">
        <v>2</v>
      </c>
      <c r="AG183" s="11">
        <f t="shared" si="29"/>
        <v>99</v>
      </c>
    </row>
    <row r="184" spans="1:34" ht="18.75" x14ac:dyDescent="0.25">
      <c r="A184" s="76" t="s">
        <v>43</v>
      </c>
      <c r="B184" s="283">
        <v>1</v>
      </c>
      <c r="C184" s="69">
        <v>2</v>
      </c>
      <c r="D184" s="69"/>
      <c r="E184" s="69"/>
      <c r="F184" s="69"/>
      <c r="G184" s="69"/>
      <c r="H184" s="69"/>
      <c r="I184" s="69"/>
      <c r="J184" s="69"/>
      <c r="K184" s="69"/>
      <c r="L184" s="69"/>
      <c r="M184" s="69">
        <v>1</v>
      </c>
      <c r="N184" s="68"/>
      <c r="O184" s="68"/>
      <c r="P184" s="68">
        <v>1</v>
      </c>
      <c r="Q184" s="68"/>
      <c r="R184" s="68"/>
      <c r="S184" s="68"/>
      <c r="T184" s="68"/>
      <c r="U184" s="68"/>
      <c r="V184" s="68"/>
      <c r="W184" s="68"/>
      <c r="X184" s="68"/>
      <c r="Y184" s="68"/>
      <c r="Z184" s="68"/>
      <c r="AA184" s="68"/>
      <c r="AB184" s="68">
        <v>1</v>
      </c>
      <c r="AC184" s="68"/>
      <c r="AD184" s="68"/>
      <c r="AE184" s="68"/>
      <c r="AF184" s="67"/>
      <c r="AG184" s="64">
        <f t="shared" si="29"/>
        <v>6</v>
      </c>
    </row>
    <row r="185" spans="1:34" ht="18.75" x14ac:dyDescent="0.25">
      <c r="A185" s="76" t="s">
        <v>42</v>
      </c>
      <c r="B185" s="283">
        <v>1</v>
      </c>
      <c r="C185" s="69"/>
      <c r="D185" s="69">
        <v>1</v>
      </c>
      <c r="E185" s="69"/>
      <c r="F185" s="69">
        <v>6</v>
      </c>
      <c r="G185" s="69">
        <v>5</v>
      </c>
      <c r="H185" s="69"/>
      <c r="I185" s="69"/>
      <c r="J185" s="69"/>
      <c r="K185" s="69"/>
      <c r="L185" s="69"/>
      <c r="M185" s="69">
        <v>2</v>
      </c>
      <c r="N185" s="68">
        <v>9</v>
      </c>
      <c r="O185" s="68"/>
      <c r="P185" s="68"/>
      <c r="Q185" s="68"/>
      <c r="R185" s="68">
        <v>1</v>
      </c>
      <c r="S185" s="68"/>
      <c r="T185" s="68">
        <v>7</v>
      </c>
      <c r="U185" s="68">
        <v>7</v>
      </c>
      <c r="V185" s="68">
        <v>7</v>
      </c>
      <c r="W185" s="68"/>
      <c r="X185" s="68">
        <v>10</v>
      </c>
      <c r="Y185" s="68"/>
      <c r="Z185" s="68"/>
      <c r="AA185" s="68">
        <v>2</v>
      </c>
      <c r="AB185" s="68"/>
      <c r="AC185" s="68"/>
      <c r="AD185" s="68"/>
      <c r="AE185" s="68">
        <v>1</v>
      </c>
      <c r="AF185" s="67"/>
      <c r="AG185" s="64">
        <f t="shared" si="29"/>
        <v>59</v>
      </c>
    </row>
    <row r="186" spans="1:34" ht="18.75" x14ac:dyDescent="0.25">
      <c r="A186" s="76" t="s">
        <v>41</v>
      </c>
      <c r="B186" s="283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  <c r="AA186" s="68"/>
      <c r="AB186" s="68"/>
      <c r="AC186" s="68"/>
      <c r="AD186" s="68"/>
      <c r="AE186" s="68"/>
      <c r="AF186" s="67"/>
      <c r="AG186" s="64">
        <f t="shared" si="29"/>
        <v>0</v>
      </c>
    </row>
    <row r="187" spans="1:34" s="77" customFormat="1" ht="18.75" x14ac:dyDescent="0.25">
      <c r="A187" s="81" t="s">
        <v>40</v>
      </c>
      <c r="B187" s="284">
        <v>57</v>
      </c>
      <c r="C187" s="80">
        <v>43</v>
      </c>
      <c r="D187" s="80">
        <v>66</v>
      </c>
      <c r="E187" s="80">
        <v>44</v>
      </c>
      <c r="F187" s="80">
        <v>76</v>
      </c>
      <c r="G187" s="80">
        <v>65</v>
      </c>
      <c r="H187" s="80">
        <v>63</v>
      </c>
      <c r="I187" s="80">
        <v>68</v>
      </c>
      <c r="J187" s="80">
        <v>44</v>
      </c>
      <c r="K187" s="80">
        <v>32</v>
      </c>
      <c r="L187" s="80">
        <v>24</v>
      </c>
      <c r="M187" s="80">
        <v>51</v>
      </c>
      <c r="N187" s="79">
        <v>43</v>
      </c>
      <c r="O187" s="79">
        <v>55</v>
      </c>
      <c r="P187" s="79">
        <v>56</v>
      </c>
      <c r="Q187" s="79">
        <v>63</v>
      </c>
      <c r="R187" s="79">
        <v>72</v>
      </c>
      <c r="S187" s="79">
        <v>67</v>
      </c>
      <c r="T187" s="79">
        <v>90</v>
      </c>
      <c r="U187" s="79">
        <v>80</v>
      </c>
      <c r="V187" s="79">
        <v>70</v>
      </c>
      <c r="W187" s="79">
        <v>60</v>
      </c>
      <c r="X187" s="79">
        <v>89</v>
      </c>
      <c r="Y187" s="79">
        <v>34</v>
      </c>
      <c r="Z187" s="79">
        <v>59</v>
      </c>
      <c r="AA187" s="79">
        <v>77</v>
      </c>
      <c r="AB187" s="79">
        <v>88</v>
      </c>
      <c r="AC187" s="79">
        <v>63</v>
      </c>
      <c r="AD187" s="79">
        <v>67</v>
      </c>
      <c r="AE187" s="79">
        <v>50</v>
      </c>
      <c r="AF187" s="78">
        <v>45</v>
      </c>
      <c r="AG187" s="21">
        <f t="shared" si="29"/>
        <v>1861</v>
      </c>
    </row>
    <row r="188" spans="1:34" ht="18.75" x14ac:dyDescent="0.25">
      <c r="A188" s="76" t="s">
        <v>39</v>
      </c>
      <c r="B188" s="283"/>
      <c r="C188" s="69">
        <v>1</v>
      </c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  <c r="AA188" s="68"/>
      <c r="AB188" s="68"/>
      <c r="AC188" s="68"/>
      <c r="AD188" s="68"/>
      <c r="AE188" s="68"/>
      <c r="AF188" s="67"/>
      <c r="AG188" s="64">
        <f t="shared" si="29"/>
        <v>1</v>
      </c>
    </row>
    <row r="189" spans="1:34" ht="18.75" x14ac:dyDescent="0.25">
      <c r="A189" s="76" t="s">
        <v>38</v>
      </c>
      <c r="B189" s="283">
        <v>3</v>
      </c>
      <c r="C189" s="69"/>
      <c r="D189" s="69"/>
      <c r="E189" s="69"/>
      <c r="F189" s="69"/>
      <c r="G189" s="69"/>
      <c r="H189" s="69"/>
      <c r="I189" s="69">
        <v>1</v>
      </c>
      <c r="J189" s="69"/>
      <c r="K189" s="69"/>
      <c r="L189" s="69"/>
      <c r="M189" s="69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  <c r="AA189" s="68"/>
      <c r="AB189" s="68"/>
      <c r="AC189" s="68"/>
      <c r="AD189" s="68">
        <v>1</v>
      </c>
      <c r="AE189" s="68"/>
      <c r="AF189" s="67"/>
      <c r="AG189" s="64">
        <f t="shared" si="29"/>
        <v>5</v>
      </c>
    </row>
    <row r="190" spans="1:34" ht="18.75" x14ac:dyDescent="0.25">
      <c r="A190" s="76" t="s">
        <v>37</v>
      </c>
      <c r="B190" s="283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  <c r="AA190" s="68"/>
      <c r="AB190" s="68"/>
      <c r="AC190" s="68"/>
      <c r="AD190" s="68"/>
      <c r="AE190" s="68"/>
      <c r="AF190" s="67"/>
      <c r="AG190" s="64">
        <f t="shared" si="29"/>
        <v>0</v>
      </c>
    </row>
    <row r="191" spans="1:34" ht="18.75" x14ac:dyDescent="0.25">
      <c r="A191" s="76" t="s">
        <v>36</v>
      </c>
      <c r="B191" s="283">
        <v>5</v>
      </c>
      <c r="C191" s="69"/>
      <c r="D191" s="69"/>
      <c r="E191" s="69"/>
      <c r="F191" s="69"/>
      <c r="G191" s="69">
        <v>2</v>
      </c>
      <c r="H191" s="69"/>
      <c r="I191" s="69">
        <v>1</v>
      </c>
      <c r="J191" s="69">
        <v>2</v>
      </c>
      <c r="K191" s="69"/>
      <c r="L191" s="69">
        <v>1</v>
      </c>
      <c r="M191" s="69"/>
      <c r="N191" s="68"/>
      <c r="O191" s="68"/>
      <c r="P191" s="68">
        <v>8</v>
      </c>
      <c r="Q191" s="68"/>
      <c r="R191" s="68"/>
      <c r="S191" s="68"/>
      <c r="T191" s="68">
        <v>1</v>
      </c>
      <c r="U191" s="68"/>
      <c r="V191" s="68">
        <v>2</v>
      </c>
      <c r="W191" s="68">
        <v>1</v>
      </c>
      <c r="X191" s="68"/>
      <c r="Y191" s="68"/>
      <c r="Z191" s="68"/>
      <c r="AA191" s="68"/>
      <c r="AB191" s="68">
        <v>2</v>
      </c>
      <c r="AC191" s="68"/>
      <c r="AD191" s="68">
        <v>7</v>
      </c>
      <c r="AE191" s="68">
        <v>3</v>
      </c>
      <c r="AF191" s="67"/>
      <c r="AG191" s="64">
        <f t="shared" si="29"/>
        <v>35</v>
      </c>
    </row>
    <row r="192" spans="1:34" ht="18.75" x14ac:dyDescent="0.25">
      <c r="A192" s="66" t="s">
        <v>35</v>
      </c>
      <c r="B192" s="283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  <c r="AA192" s="68"/>
      <c r="AB192" s="68">
        <v>1</v>
      </c>
      <c r="AC192" s="68"/>
      <c r="AD192" s="68"/>
      <c r="AE192" s="68"/>
      <c r="AF192" s="67"/>
      <c r="AG192" s="64">
        <f t="shared" si="29"/>
        <v>1</v>
      </c>
    </row>
    <row r="193" spans="1:33" ht="18.75" x14ac:dyDescent="0.25">
      <c r="A193" s="66" t="s">
        <v>34</v>
      </c>
      <c r="B193" s="283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  <c r="AA193" s="68"/>
      <c r="AB193" s="68"/>
      <c r="AC193" s="68"/>
      <c r="AD193" s="68"/>
      <c r="AE193" s="68"/>
      <c r="AF193" s="67"/>
      <c r="AG193" s="64">
        <f t="shared" si="29"/>
        <v>0</v>
      </c>
    </row>
    <row r="194" spans="1:33" ht="18.75" x14ac:dyDescent="0.25">
      <c r="A194" s="66" t="s">
        <v>33</v>
      </c>
      <c r="B194" s="283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  <c r="AA194" s="68"/>
      <c r="AB194" s="68"/>
      <c r="AC194" s="68"/>
      <c r="AD194" s="68"/>
      <c r="AE194" s="68"/>
      <c r="AF194" s="67"/>
      <c r="AG194" s="64">
        <f t="shared" si="29"/>
        <v>0</v>
      </c>
    </row>
    <row r="195" spans="1:33" ht="18.75" x14ac:dyDescent="0.25">
      <c r="A195" s="66" t="s">
        <v>32</v>
      </c>
      <c r="B195" s="283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  <c r="AA195" s="68"/>
      <c r="AB195" s="68"/>
      <c r="AC195" s="68"/>
      <c r="AD195" s="68"/>
      <c r="AE195" s="68"/>
      <c r="AF195" s="67"/>
      <c r="AG195" s="64">
        <f t="shared" si="29"/>
        <v>0</v>
      </c>
    </row>
    <row r="196" spans="1:33" ht="18.75" x14ac:dyDescent="0.25">
      <c r="A196" s="75" t="s">
        <v>31</v>
      </c>
      <c r="B196" s="285"/>
      <c r="C196" s="74">
        <v>3</v>
      </c>
      <c r="D196" s="74"/>
      <c r="E196" s="74">
        <v>1</v>
      </c>
      <c r="F196" s="74"/>
      <c r="G196" s="74">
        <v>2</v>
      </c>
      <c r="H196" s="74"/>
      <c r="I196" s="74"/>
      <c r="J196" s="74">
        <v>2</v>
      </c>
      <c r="K196" s="74">
        <v>4</v>
      </c>
      <c r="L196" s="74">
        <v>6</v>
      </c>
      <c r="M196" s="74"/>
      <c r="N196" s="73"/>
      <c r="O196" s="73">
        <v>3</v>
      </c>
      <c r="P196" s="73">
        <v>2</v>
      </c>
      <c r="Q196" s="73">
        <v>10</v>
      </c>
      <c r="R196" s="73">
        <v>2</v>
      </c>
      <c r="S196" s="73">
        <v>1</v>
      </c>
      <c r="T196" s="73"/>
      <c r="U196" s="73">
        <v>1</v>
      </c>
      <c r="V196" s="73"/>
      <c r="W196" s="73">
        <v>2</v>
      </c>
      <c r="X196" s="73">
        <v>3</v>
      </c>
      <c r="Y196" s="73"/>
      <c r="Z196" s="73"/>
      <c r="AA196" s="73"/>
      <c r="AB196" s="73"/>
      <c r="AC196" s="73"/>
      <c r="AD196" s="73">
        <v>1</v>
      </c>
      <c r="AE196" s="73">
        <v>2</v>
      </c>
      <c r="AF196" s="72">
        <v>2</v>
      </c>
      <c r="AG196" s="71">
        <f t="shared" si="29"/>
        <v>47</v>
      </c>
    </row>
    <row r="197" spans="1:33" ht="18.75" x14ac:dyDescent="0.25">
      <c r="A197" s="70" t="s">
        <v>30</v>
      </c>
      <c r="B197" s="283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  <c r="AA197" s="68"/>
      <c r="AB197" s="68"/>
      <c r="AC197" s="68"/>
      <c r="AD197" s="68"/>
      <c r="AE197" s="68"/>
      <c r="AF197" s="67"/>
      <c r="AG197" s="64">
        <f t="shared" si="29"/>
        <v>0</v>
      </c>
    </row>
    <row r="198" spans="1:33" ht="18.75" x14ac:dyDescent="0.25">
      <c r="A198" s="70" t="s">
        <v>29</v>
      </c>
      <c r="B198" s="283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  <c r="AA198" s="68"/>
      <c r="AB198" s="68"/>
      <c r="AC198" s="68"/>
      <c r="AD198" s="68"/>
      <c r="AE198" s="68"/>
      <c r="AF198" s="67"/>
      <c r="AG198" s="64">
        <f t="shared" si="29"/>
        <v>0</v>
      </c>
    </row>
    <row r="199" spans="1:33" ht="18.75" x14ac:dyDescent="0.25">
      <c r="A199" s="70" t="s">
        <v>28</v>
      </c>
      <c r="B199" s="283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  <c r="AA199" s="68"/>
      <c r="AB199" s="68"/>
      <c r="AC199" s="68"/>
      <c r="AD199" s="68"/>
      <c r="AE199" s="68"/>
      <c r="AF199" s="67"/>
      <c r="AG199" s="64">
        <f t="shared" si="29"/>
        <v>0</v>
      </c>
    </row>
    <row r="200" spans="1:33" ht="18.75" x14ac:dyDescent="0.25">
      <c r="A200" s="70" t="s">
        <v>27</v>
      </c>
      <c r="B200" s="283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  <c r="AA200" s="68"/>
      <c r="AB200" s="68"/>
      <c r="AC200" s="68"/>
      <c r="AD200" s="68"/>
      <c r="AE200" s="68"/>
      <c r="AF200" s="67"/>
      <c r="AG200" s="64">
        <f t="shared" si="29"/>
        <v>0</v>
      </c>
    </row>
    <row r="201" spans="1:33" ht="18.75" x14ac:dyDescent="0.25">
      <c r="A201" s="70" t="s">
        <v>26</v>
      </c>
      <c r="B201" s="283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  <c r="AA201" s="68"/>
      <c r="AB201" s="68"/>
      <c r="AC201" s="68"/>
      <c r="AD201" s="68"/>
      <c r="AE201" s="68"/>
      <c r="AF201" s="67"/>
      <c r="AG201" s="64">
        <f t="shared" si="29"/>
        <v>0</v>
      </c>
    </row>
    <row r="202" spans="1:33" ht="18.75" x14ac:dyDescent="0.25">
      <c r="A202" s="70" t="s">
        <v>25</v>
      </c>
      <c r="B202" s="283"/>
      <c r="C202" s="69">
        <v>2</v>
      </c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  <c r="AA202" s="68"/>
      <c r="AB202" s="68"/>
      <c r="AC202" s="68"/>
      <c r="AD202" s="68">
        <v>1</v>
      </c>
      <c r="AE202" s="68"/>
      <c r="AF202" s="67"/>
      <c r="AG202" s="64">
        <f t="shared" si="29"/>
        <v>3</v>
      </c>
    </row>
    <row r="203" spans="1:33" ht="18.75" x14ac:dyDescent="0.25">
      <c r="A203" s="66" t="s">
        <v>24</v>
      </c>
      <c r="B203" s="283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  <c r="AA203" s="68"/>
      <c r="AB203" s="68"/>
      <c r="AC203" s="68"/>
      <c r="AD203" s="68">
        <v>1</v>
      </c>
      <c r="AE203" s="68"/>
      <c r="AF203" s="67"/>
      <c r="AG203" s="64">
        <f t="shared" si="29"/>
        <v>1</v>
      </c>
    </row>
    <row r="204" spans="1:33" ht="18.75" x14ac:dyDescent="0.25">
      <c r="A204" s="66" t="s">
        <v>23</v>
      </c>
      <c r="B204" s="283"/>
      <c r="C204" s="69"/>
      <c r="D204" s="69"/>
      <c r="E204" s="69"/>
      <c r="F204" s="69"/>
      <c r="G204" s="69">
        <v>1</v>
      </c>
      <c r="H204" s="69"/>
      <c r="I204" s="69"/>
      <c r="J204" s="69"/>
      <c r="K204" s="69"/>
      <c r="L204" s="69"/>
      <c r="M204" s="69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  <c r="AA204" s="68"/>
      <c r="AB204" s="68"/>
      <c r="AC204" s="68"/>
      <c r="AD204" s="68"/>
      <c r="AE204" s="68"/>
      <c r="AF204" s="67"/>
      <c r="AG204" s="64">
        <f t="shared" si="29"/>
        <v>1</v>
      </c>
    </row>
    <row r="205" spans="1:33" ht="18.75" x14ac:dyDescent="0.25">
      <c r="A205" s="66" t="s">
        <v>22</v>
      </c>
      <c r="B205" s="283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  <c r="AA205" s="68"/>
      <c r="AB205" s="68"/>
      <c r="AC205" s="68">
        <v>1</v>
      </c>
      <c r="AD205" s="68"/>
      <c r="AE205" s="68">
        <v>1</v>
      </c>
      <c r="AF205" s="67"/>
      <c r="AG205" s="64">
        <f t="shared" si="29"/>
        <v>2</v>
      </c>
    </row>
    <row r="206" spans="1:33" ht="18.75" x14ac:dyDescent="0.25">
      <c r="A206" s="66" t="s">
        <v>21</v>
      </c>
      <c r="B206" s="286"/>
      <c r="C206" s="62">
        <v>1</v>
      </c>
      <c r="D206" s="62">
        <v>1</v>
      </c>
      <c r="E206" s="62"/>
      <c r="F206" s="62"/>
      <c r="G206" s="62"/>
      <c r="H206" s="62">
        <v>1</v>
      </c>
      <c r="I206" s="62">
        <v>1</v>
      </c>
      <c r="J206" s="62"/>
      <c r="K206" s="62"/>
      <c r="L206" s="62">
        <v>1</v>
      </c>
      <c r="M206" s="62">
        <v>2</v>
      </c>
      <c r="N206" s="61">
        <v>1</v>
      </c>
      <c r="O206" s="61"/>
      <c r="P206" s="61">
        <v>1</v>
      </c>
      <c r="Q206" s="61"/>
      <c r="R206" s="61">
        <v>1</v>
      </c>
      <c r="S206" s="61">
        <v>1</v>
      </c>
      <c r="T206" s="61"/>
      <c r="U206" s="61">
        <v>1</v>
      </c>
      <c r="V206" s="61">
        <v>1</v>
      </c>
      <c r="W206" s="61"/>
      <c r="X206" s="61">
        <v>2</v>
      </c>
      <c r="Y206" s="61"/>
      <c r="Z206" s="61"/>
      <c r="AA206" s="61"/>
      <c r="AB206" s="61">
        <v>1</v>
      </c>
      <c r="AC206" s="61">
        <v>2</v>
      </c>
      <c r="AD206" s="61"/>
      <c r="AE206" s="61"/>
      <c r="AF206" s="60"/>
      <c r="AG206" s="64">
        <f t="shared" si="29"/>
        <v>18</v>
      </c>
    </row>
    <row r="207" spans="1:33" ht="18.75" x14ac:dyDescent="0.25">
      <c r="A207" s="65" t="s">
        <v>20</v>
      </c>
      <c r="B207" s="286">
        <v>1</v>
      </c>
      <c r="C207" s="62"/>
      <c r="D207" s="62"/>
      <c r="E207" s="62"/>
      <c r="F207" s="62"/>
      <c r="G207" s="62">
        <v>1</v>
      </c>
      <c r="H207" s="62"/>
      <c r="I207" s="62"/>
      <c r="J207" s="62"/>
      <c r="K207" s="62"/>
      <c r="L207" s="62"/>
      <c r="M207" s="62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>
        <v>1</v>
      </c>
      <c r="AB207" s="61"/>
      <c r="AC207" s="61"/>
      <c r="AD207" s="61"/>
      <c r="AE207" s="61"/>
      <c r="AF207" s="60"/>
      <c r="AG207" s="64">
        <f t="shared" si="29"/>
        <v>3</v>
      </c>
    </row>
    <row r="208" spans="1:33" ht="19.5" thickBot="1" x14ac:dyDescent="0.3">
      <c r="A208" s="63" t="s">
        <v>19</v>
      </c>
      <c r="B208" s="286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  <c r="AA208" s="61"/>
      <c r="AB208" s="61"/>
      <c r="AC208" s="61"/>
      <c r="AD208" s="61"/>
      <c r="AE208" s="61"/>
      <c r="AF208" s="60"/>
      <c r="AG208" s="10">
        <f t="shared" si="29"/>
        <v>0</v>
      </c>
    </row>
    <row r="209" spans="1:34" ht="19.5" thickBot="1" x14ac:dyDescent="0.3">
      <c r="A209" s="59" t="s">
        <v>18</v>
      </c>
      <c r="B209" s="287">
        <f t="shared" ref="B209:AF209" si="31">SUM(B210:B214)</f>
        <v>125</v>
      </c>
      <c r="C209" s="57">
        <f t="shared" si="31"/>
        <v>104</v>
      </c>
      <c r="D209" s="57">
        <f t="shared" si="31"/>
        <v>175</v>
      </c>
      <c r="E209" s="57">
        <f t="shared" si="31"/>
        <v>120</v>
      </c>
      <c r="F209" s="57">
        <f t="shared" si="31"/>
        <v>130</v>
      </c>
      <c r="G209" s="57">
        <f t="shared" si="31"/>
        <v>141</v>
      </c>
      <c r="H209" s="57">
        <f t="shared" si="31"/>
        <v>140</v>
      </c>
      <c r="I209" s="57">
        <f t="shared" si="31"/>
        <v>126</v>
      </c>
      <c r="J209" s="57">
        <f t="shared" si="31"/>
        <v>93</v>
      </c>
      <c r="K209" s="57">
        <f t="shared" si="31"/>
        <v>117</v>
      </c>
      <c r="L209" s="57">
        <f t="shared" si="31"/>
        <v>120</v>
      </c>
      <c r="M209" s="57">
        <f t="shared" si="31"/>
        <v>117</v>
      </c>
      <c r="N209" s="56">
        <f t="shared" si="31"/>
        <v>112</v>
      </c>
      <c r="O209" s="56">
        <f t="shared" si="31"/>
        <v>120</v>
      </c>
      <c r="P209" s="56">
        <f t="shared" si="31"/>
        <v>130</v>
      </c>
      <c r="Q209" s="56">
        <f t="shared" si="31"/>
        <v>155</v>
      </c>
      <c r="R209" s="56">
        <f t="shared" si="31"/>
        <v>181</v>
      </c>
      <c r="S209" s="56">
        <f t="shared" si="31"/>
        <v>169</v>
      </c>
      <c r="T209" s="56">
        <f t="shared" si="31"/>
        <v>169</v>
      </c>
      <c r="U209" s="56">
        <f t="shared" si="31"/>
        <v>154</v>
      </c>
      <c r="V209" s="56">
        <f t="shared" si="31"/>
        <v>148</v>
      </c>
      <c r="W209" s="56">
        <f t="shared" si="31"/>
        <v>141</v>
      </c>
      <c r="X209" s="56">
        <f t="shared" si="31"/>
        <v>157</v>
      </c>
      <c r="Y209" s="56">
        <f t="shared" si="31"/>
        <v>137</v>
      </c>
      <c r="Z209" s="56">
        <f t="shared" si="31"/>
        <v>151</v>
      </c>
      <c r="AA209" s="56">
        <f t="shared" si="31"/>
        <v>160</v>
      </c>
      <c r="AB209" s="56">
        <f t="shared" si="31"/>
        <v>156</v>
      </c>
      <c r="AC209" s="56">
        <f t="shared" si="31"/>
        <v>151</v>
      </c>
      <c r="AD209" s="56">
        <f t="shared" si="31"/>
        <v>145</v>
      </c>
      <c r="AE209" s="56">
        <f t="shared" si="31"/>
        <v>117</v>
      </c>
      <c r="AF209" s="55">
        <f t="shared" si="31"/>
        <v>157</v>
      </c>
      <c r="AG209" s="54">
        <f t="shared" si="29"/>
        <v>4318</v>
      </c>
      <c r="AH209" s="53" t="str">
        <f>IF(AG209&lt;&gt;AG93,"X","")</f>
        <v/>
      </c>
    </row>
    <row r="210" spans="1:34" ht="18.75" x14ac:dyDescent="0.25">
      <c r="A210" s="344" t="s">
        <v>17</v>
      </c>
      <c r="B210" s="288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0"/>
      <c r="AB210" s="50"/>
      <c r="AC210" s="50"/>
      <c r="AD210" s="50"/>
      <c r="AE210" s="50"/>
      <c r="AF210" s="49"/>
      <c r="AG210" s="48">
        <f t="shared" si="29"/>
        <v>0</v>
      </c>
    </row>
    <row r="211" spans="1:34" ht="18.75" x14ac:dyDescent="0.25">
      <c r="A211" s="345" t="s">
        <v>16</v>
      </c>
      <c r="B211" s="289">
        <v>1</v>
      </c>
      <c r="C211" s="46"/>
      <c r="D211" s="46">
        <v>1</v>
      </c>
      <c r="E211" s="46"/>
      <c r="F211" s="46"/>
      <c r="G211" s="46"/>
      <c r="H211" s="46"/>
      <c r="I211" s="46">
        <v>1</v>
      </c>
      <c r="J211" s="46">
        <v>1</v>
      </c>
      <c r="K211" s="46"/>
      <c r="L211" s="46">
        <v>1</v>
      </c>
      <c r="M211" s="46">
        <v>1</v>
      </c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>
        <v>3</v>
      </c>
      <c r="Z211" s="45">
        <v>2</v>
      </c>
      <c r="AA211" s="45"/>
      <c r="AB211" s="45"/>
      <c r="AC211" s="45">
        <v>1</v>
      </c>
      <c r="AD211" s="45">
        <v>1</v>
      </c>
      <c r="AE211" s="45">
        <v>1</v>
      </c>
      <c r="AF211" s="44">
        <v>1</v>
      </c>
      <c r="AG211" s="43">
        <f t="shared" si="29"/>
        <v>15</v>
      </c>
    </row>
    <row r="212" spans="1:34" ht="18.75" x14ac:dyDescent="0.25">
      <c r="A212" s="345" t="s">
        <v>15</v>
      </c>
      <c r="B212" s="289">
        <v>3</v>
      </c>
      <c r="C212" s="46">
        <v>10</v>
      </c>
      <c r="D212" s="46">
        <v>13</v>
      </c>
      <c r="E212" s="46">
        <v>17</v>
      </c>
      <c r="F212" s="46">
        <v>4</v>
      </c>
      <c r="G212" s="46">
        <v>12</v>
      </c>
      <c r="H212" s="46">
        <v>14</v>
      </c>
      <c r="I212" s="46">
        <v>7</v>
      </c>
      <c r="J212" s="46">
        <v>9</v>
      </c>
      <c r="K212" s="46">
        <v>10</v>
      </c>
      <c r="L212" s="46">
        <v>16</v>
      </c>
      <c r="M212" s="46">
        <v>9</v>
      </c>
      <c r="N212" s="45">
        <v>14</v>
      </c>
      <c r="O212" s="45">
        <v>8</v>
      </c>
      <c r="P212" s="45">
        <v>9</v>
      </c>
      <c r="Q212" s="45">
        <v>21</v>
      </c>
      <c r="R212" s="45">
        <v>17</v>
      </c>
      <c r="S212" s="45">
        <v>20</v>
      </c>
      <c r="T212" s="45">
        <v>5</v>
      </c>
      <c r="U212" s="45">
        <v>7</v>
      </c>
      <c r="V212" s="45">
        <v>10</v>
      </c>
      <c r="W212" s="45">
        <v>15</v>
      </c>
      <c r="X212" s="45">
        <v>9</v>
      </c>
      <c r="Y212" s="45">
        <v>19</v>
      </c>
      <c r="Z212" s="45">
        <v>12</v>
      </c>
      <c r="AA212" s="45">
        <v>8</v>
      </c>
      <c r="AB212" s="45">
        <v>12</v>
      </c>
      <c r="AC212" s="45">
        <v>10</v>
      </c>
      <c r="AD212" s="45">
        <v>9</v>
      </c>
      <c r="AE212" s="45">
        <v>7</v>
      </c>
      <c r="AF212" s="44">
        <v>19</v>
      </c>
      <c r="AG212" s="43">
        <f t="shared" ref="AG212:AG222" si="32">SUM(B212:AF212)</f>
        <v>355</v>
      </c>
    </row>
    <row r="213" spans="1:34" ht="18.75" x14ac:dyDescent="0.25">
      <c r="A213" s="345" t="s">
        <v>14</v>
      </c>
      <c r="B213" s="289">
        <v>106</v>
      </c>
      <c r="C213" s="46">
        <v>83</v>
      </c>
      <c r="D213" s="46">
        <v>124</v>
      </c>
      <c r="E213" s="46">
        <v>84</v>
      </c>
      <c r="F213" s="46">
        <v>117</v>
      </c>
      <c r="G213" s="46">
        <v>122</v>
      </c>
      <c r="H213" s="46">
        <v>113</v>
      </c>
      <c r="I213" s="46">
        <v>92</v>
      </c>
      <c r="J213" s="46">
        <v>62</v>
      </c>
      <c r="K213" s="46">
        <v>92</v>
      </c>
      <c r="L213" s="46">
        <v>72</v>
      </c>
      <c r="M213" s="46">
        <v>81</v>
      </c>
      <c r="N213" s="45">
        <v>66</v>
      </c>
      <c r="O213" s="45">
        <v>95</v>
      </c>
      <c r="P213" s="45">
        <v>105</v>
      </c>
      <c r="Q213" s="45">
        <v>101</v>
      </c>
      <c r="R213" s="45">
        <v>117</v>
      </c>
      <c r="S213" s="45">
        <v>117</v>
      </c>
      <c r="T213" s="45">
        <v>152</v>
      </c>
      <c r="U213" s="45">
        <v>123</v>
      </c>
      <c r="V213" s="45">
        <v>117</v>
      </c>
      <c r="W213" s="45">
        <v>100</v>
      </c>
      <c r="X213" s="45">
        <v>124</v>
      </c>
      <c r="Y213" s="45">
        <v>85</v>
      </c>
      <c r="Z213" s="45">
        <v>99</v>
      </c>
      <c r="AA213" s="45">
        <v>119</v>
      </c>
      <c r="AB213" s="45">
        <v>123</v>
      </c>
      <c r="AC213" s="45">
        <v>120</v>
      </c>
      <c r="AD213" s="45">
        <v>113</v>
      </c>
      <c r="AE213" s="45">
        <v>83</v>
      </c>
      <c r="AF213" s="44">
        <v>106</v>
      </c>
      <c r="AG213" s="43">
        <f t="shared" si="32"/>
        <v>3213</v>
      </c>
    </row>
    <row r="214" spans="1:34" ht="19.5" thickBot="1" x14ac:dyDescent="0.3">
      <c r="A214" s="346" t="s">
        <v>13</v>
      </c>
      <c r="B214" s="290">
        <v>15</v>
      </c>
      <c r="C214" s="41">
        <v>11</v>
      </c>
      <c r="D214" s="41">
        <v>37</v>
      </c>
      <c r="E214" s="41">
        <v>19</v>
      </c>
      <c r="F214" s="41">
        <v>9</v>
      </c>
      <c r="G214" s="41">
        <v>7</v>
      </c>
      <c r="H214" s="41">
        <v>13</v>
      </c>
      <c r="I214" s="41">
        <v>26</v>
      </c>
      <c r="J214" s="41">
        <v>21</v>
      </c>
      <c r="K214" s="41">
        <v>15</v>
      </c>
      <c r="L214" s="41">
        <v>31</v>
      </c>
      <c r="M214" s="41">
        <v>26</v>
      </c>
      <c r="N214" s="40">
        <v>32</v>
      </c>
      <c r="O214" s="40">
        <v>17</v>
      </c>
      <c r="P214" s="40">
        <v>16</v>
      </c>
      <c r="Q214" s="40">
        <v>33</v>
      </c>
      <c r="R214" s="40">
        <v>47</v>
      </c>
      <c r="S214" s="40">
        <v>32</v>
      </c>
      <c r="T214" s="40">
        <v>12</v>
      </c>
      <c r="U214" s="40">
        <v>24</v>
      </c>
      <c r="V214" s="40">
        <v>21</v>
      </c>
      <c r="W214" s="40">
        <v>26</v>
      </c>
      <c r="X214" s="40">
        <v>24</v>
      </c>
      <c r="Y214" s="40">
        <v>30</v>
      </c>
      <c r="Z214" s="40">
        <v>38</v>
      </c>
      <c r="AA214" s="40">
        <v>33</v>
      </c>
      <c r="AB214" s="40">
        <v>21</v>
      </c>
      <c r="AC214" s="40">
        <v>20</v>
      </c>
      <c r="AD214" s="40">
        <v>22</v>
      </c>
      <c r="AE214" s="40">
        <v>26</v>
      </c>
      <c r="AF214" s="39">
        <v>31</v>
      </c>
      <c r="AG214" s="38">
        <f t="shared" si="32"/>
        <v>735</v>
      </c>
    </row>
    <row r="215" spans="1:34" ht="19.5" thickBot="1" x14ac:dyDescent="0.3">
      <c r="A215" s="333" t="s">
        <v>12</v>
      </c>
      <c r="B215" s="291">
        <f t="shared" ref="B215:AF215" si="33">SUM(B216:B218)</f>
        <v>39</v>
      </c>
      <c r="C215" s="36">
        <f t="shared" si="33"/>
        <v>25</v>
      </c>
      <c r="D215" s="36">
        <f t="shared" si="33"/>
        <v>45</v>
      </c>
      <c r="E215" s="36">
        <f t="shared" si="33"/>
        <v>29</v>
      </c>
      <c r="F215" s="36">
        <f t="shared" si="33"/>
        <v>62</v>
      </c>
      <c r="G215" s="36">
        <f t="shared" si="33"/>
        <v>42</v>
      </c>
      <c r="H215" s="36">
        <f t="shared" si="33"/>
        <v>30</v>
      </c>
      <c r="I215" s="36">
        <f t="shared" si="33"/>
        <v>42</v>
      </c>
      <c r="J215" s="36">
        <f t="shared" si="33"/>
        <v>28</v>
      </c>
      <c r="K215" s="36">
        <f t="shared" si="33"/>
        <v>24</v>
      </c>
      <c r="L215" s="36">
        <f t="shared" si="33"/>
        <v>15</v>
      </c>
      <c r="M215" s="36">
        <f t="shared" si="33"/>
        <v>34</v>
      </c>
      <c r="N215" s="35">
        <f t="shared" si="33"/>
        <v>33</v>
      </c>
      <c r="O215" s="35">
        <f t="shared" si="33"/>
        <v>28</v>
      </c>
      <c r="P215" s="35">
        <f t="shared" si="33"/>
        <v>45</v>
      </c>
      <c r="Q215" s="35">
        <f t="shared" si="33"/>
        <v>41</v>
      </c>
      <c r="R215" s="35">
        <f t="shared" si="33"/>
        <v>56</v>
      </c>
      <c r="S215" s="35">
        <f t="shared" si="33"/>
        <v>44</v>
      </c>
      <c r="T215" s="35">
        <f t="shared" si="33"/>
        <v>62</v>
      </c>
      <c r="U215" s="35">
        <f t="shared" si="33"/>
        <v>58</v>
      </c>
      <c r="V215" s="35">
        <f t="shared" si="33"/>
        <v>50</v>
      </c>
      <c r="W215" s="35">
        <f t="shared" si="33"/>
        <v>48</v>
      </c>
      <c r="X215" s="35">
        <f t="shared" si="33"/>
        <v>76</v>
      </c>
      <c r="Y215" s="35">
        <f t="shared" si="33"/>
        <v>25</v>
      </c>
      <c r="Z215" s="35">
        <f t="shared" si="33"/>
        <v>44</v>
      </c>
      <c r="AA215" s="35">
        <f t="shared" si="33"/>
        <v>59</v>
      </c>
      <c r="AB215" s="35">
        <f t="shared" si="33"/>
        <v>74</v>
      </c>
      <c r="AC215" s="35">
        <f t="shared" si="33"/>
        <v>60</v>
      </c>
      <c r="AD215" s="35">
        <f t="shared" si="33"/>
        <v>48</v>
      </c>
      <c r="AE215" s="35">
        <f t="shared" si="33"/>
        <v>41</v>
      </c>
      <c r="AF215" s="34">
        <f t="shared" si="33"/>
        <v>36</v>
      </c>
      <c r="AG215" s="33">
        <f t="shared" si="32"/>
        <v>1343</v>
      </c>
    </row>
    <row r="216" spans="1:34" ht="18.75" x14ac:dyDescent="0.25">
      <c r="A216" s="81" t="s">
        <v>7</v>
      </c>
      <c r="B216" s="292">
        <v>1</v>
      </c>
      <c r="C216" s="31">
        <v>4</v>
      </c>
      <c r="D216" s="31">
        <v>0</v>
      </c>
      <c r="E216" s="31">
        <v>0</v>
      </c>
      <c r="F216" s="31">
        <v>5</v>
      </c>
      <c r="G216" s="31">
        <v>5</v>
      </c>
      <c r="H216" s="31">
        <v>0</v>
      </c>
      <c r="I216" s="31">
        <v>2</v>
      </c>
      <c r="J216" s="31">
        <v>1</v>
      </c>
      <c r="K216" s="31">
        <v>1</v>
      </c>
      <c r="L216" s="31">
        <v>0</v>
      </c>
      <c r="M216" s="31">
        <v>3</v>
      </c>
      <c r="N216" s="30">
        <v>2</v>
      </c>
      <c r="O216" s="30">
        <v>0</v>
      </c>
      <c r="P216" s="30">
        <v>3</v>
      </c>
      <c r="Q216" s="30">
        <v>5</v>
      </c>
      <c r="R216" s="30">
        <v>6</v>
      </c>
      <c r="S216" s="30">
        <v>2</v>
      </c>
      <c r="T216" s="30">
        <v>1</v>
      </c>
      <c r="U216" s="30">
        <v>1</v>
      </c>
      <c r="V216" s="30">
        <v>0</v>
      </c>
      <c r="W216" s="30">
        <v>3</v>
      </c>
      <c r="X216" s="30">
        <v>3</v>
      </c>
      <c r="Y216" s="30">
        <v>0</v>
      </c>
      <c r="Z216" s="30">
        <v>1</v>
      </c>
      <c r="AA216" s="30">
        <v>4</v>
      </c>
      <c r="AB216" s="30">
        <v>5</v>
      </c>
      <c r="AC216" s="30">
        <v>0</v>
      </c>
      <c r="AD216" s="30">
        <v>1</v>
      </c>
      <c r="AE216" s="30">
        <v>2</v>
      </c>
      <c r="AF216" s="29">
        <v>2</v>
      </c>
      <c r="AG216" s="28">
        <f t="shared" si="32"/>
        <v>63</v>
      </c>
    </row>
    <row r="217" spans="1:34" ht="18.75" x14ac:dyDescent="0.25">
      <c r="A217" s="347" t="s">
        <v>11</v>
      </c>
      <c r="B217" s="293">
        <v>38</v>
      </c>
      <c r="C217" s="25">
        <v>21</v>
      </c>
      <c r="D217" s="25">
        <v>44</v>
      </c>
      <c r="E217" s="25">
        <v>0</v>
      </c>
      <c r="F217" s="25">
        <v>43</v>
      </c>
      <c r="G217" s="25">
        <v>9</v>
      </c>
      <c r="H217" s="25">
        <v>30</v>
      </c>
      <c r="I217" s="25">
        <v>36</v>
      </c>
      <c r="J217" s="25">
        <v>27</v>
      </c>
      <c r="K217" s="25">
        <v>23</v>
      </c>
      <c r="L217" s="25">
        <v>14</v>
      </c>
      <c r="M217" s="25">
        <v>25</v>
      </c>
      <c r="N217" s="24">
        <v>30</v>
      </c>
      <c r="O217" s="24">
        <v>28</v>
      </c>
      <c r="P217" s="24">
        <v>42</v>
      </c>
      <c r="Q217" s="24">
        <v>36</v>
      </c>
      <c r="R217" s="24">
        <v>50</v>
      </c>
      <c r="S217" s="24">
        <v>24</v>
      </c>
      <c r="T217" s="24">
        <v>61</v>
      </c>
      <c r="U217" s="24">
        <v>55</v>
      </c>
      <c r="V217" s="24">
        <v>50</v>
      </c>
      <c r="W217" s="24">
        <v>45</v>
      </c>
      <c r="X217" s="24">
        <v>73</v>
      </c>
      <c r="Y217" s="24">
        <v>25</v>
      </c>
      <c r="Z217" s="24">
        <v>38</v>
      </c>
      <c r="AA217" s="24">
        <v>54</v>
      </c>
      <c r="AB217" s="24">
        <v>3</v>
      </c>
      <c r="AC217" s="24">
        <v>56</v>
      </c>
      <c r="AD217" s="24">
        <v>47</v>
      </c>
      <c r="AE217" s="24">
        <v>38</v>
      </c>
      <c r="AF217" s="23">
        <v>34</v>
      </c>
      <c r="AG217" s="21">
        <f t="shared" si="32"/>
        <v>1099</v>
      </c>
    </row>
    <row r="218" spans="1:34" ht="19.5" thickBot="1" x14ac:dyDescent="0.3">
      <c r="A218" s="348" t="s">
        <v>8</v>
      </c>
      <c r="B218" s="293">
        <v>0</v>
      </c>
      <c r="C218" s="25">
        <v>0</v>
      </c>
      <c r="D218" s="25">
        <v>1</v>
      </c>
      <c r="E218" s="25">
        <v>29</v>
      </c>
      <c r="F218" s="25">
        <v>14</v>
      </c>
      <c r="G218" s="25">
        <v>28</v>
      </c>
      <c r="H218" s="25">
        <v>0</v>
      </c>
      <c r="I218" s="25">
        <v>4</v>
      </c>
      <c r="J218" s="25">
        <v>0</v>
      </c>
      <c r="K218" s="25">
        <v>0</v>
      </c>
      <c r="L218" s="25">
        <v>1</v>
      </c>
      <c r="M218" s="25">
        <v>6</v>
      </c>
      <c r="N218" s="24">
        <v>1</v>
      </c>
      <c r="O218" s="24">
        <v>0</v>
      </c>
      <c r="P218" s="24">
        <v>0</v>
      </c>
      <c r="Q218" s="24">
        <v>0</v>
      </c>
      <c r="R218" s="24">
        <v>0</v>
      </c>
      <c r="S218" s="24">
        <v>18</v>
      </c>
      <c r="T218" s="24">
        <v>0</v>
      </c>
      <c r="U218" s="24">
        <v>2</v>
      </c>
      <c r="V218" s="24">
        <v>0</v>
      </c>
      <c r="W218" s="24">
        <v>0</v>
      </c>
      <c r="X218" s="24">
        <v>0</v>
      </c>
      <c r="Y218" s="24">
        <v>0</v>
      </c>
      <c r="Z218" s="24">
        <v>5</v>
      </c>
      <c r="AA218" s="24">
        <v>1</v>
      </c>
      <c r="AB218" s="24">
        <v>66</v>
      </c>
      <c r="AC218" s="24">
        <v>4</v>
      </c>
      <c r="AD218" s="24">
        <v>0</v>
      </c>
      <c r="AE218" s="24">
        <v>1</v>
      </c>
      <c r="AF218" s="23">
        <v>0</v>
      </c>
      <c r="AG218" s="21">
        <f t="shared" si="32"/>
        <v>181</v>
      </c>
    </row>
    <row r="219" spans="1:34" ht="19.5" thickBot="1" x14ac:dyDescent="0.3">
      <c r="A219" s="327" t="s">
        <v>164</v>
      </c>
      <c r="B219" s="266">
        <f t="shared" ref="B219:AF219" si="34">SUM(B220:B222)</f>
        <v>23</v>
      </c>
      <c r="C219" s="143">
        <f t="shared" si="34"/>
        <v>20</v>
      </c>
      <c r="D219" s="143">
        <f t="shared" si="34"/>
        <v>8</v>
      </c>
      <c r="E219" s="143">
        <f t="shared" si="34"/>
        <v>8</v>
      </c>
      <c r="F219" s="143">
        <f t="shared" si="34"/>
        <v>13</v>
      </c>
      <c r="G219" s="143">
        <f t="shared" si="34"/>
        <v>24</v>
      </c>
      <c r="H219" s="143">
        <f t="shared" si="34"/>
        <v>28</v>
      </c>
      <c r="I219" s="143">
        <f t="shared" si="34"/>
        <v>18</v>
      </c>
      <c r="J219" s="143">
        <f t="shared" si="34"/>
        <v>17</v>
      </c>
      <c r="K219" s="143">
        <f t="shared" si="34"/>
        <v>2</v>
      </c>
      <c r="L219" s="143">
        <f t="shared" si="34"/>
        <v>10</v>
      </c>
      <c r="M219" s="143">
        <f t="shared" si="34"/>
        <v>14</v>
      </c>
      <c r="N219" s="143">
        <f t="shared" si="34"/>
        <v>15</v>
      </c>
      <c r="O219" s="143">
        <f t="shared" si="34"/>
        <v>30</v>
      </c>
      <c r="P219" s="143">
        <f t="shared" si="34"/>
        <v>19</v>
      </c>
      <c r="Q219" s="143">
        <f t="shared" si="34"/>
        <v>7</v>
      </c>
      <c r="R219" s="143">
        <f t="shared" si="34"/>
        <v>9</v>
      </c>
      <c r="S219" s="143">
        <f t="shared" si="34"/>
        <v>4</v>
      </c>
      <c r="T219" s="143">
        <f t="shared" si="34"/>
        <v>22</v>
      </c>
      <c r="U219" s="143">
        <f t="shared" si="34"/>
        <v>8</v>
      </c>
      <c r="V219" s="143">
        <f t="shared" si="34"/>
        <v>16</v>
      </c>
      <c r="W219" s="143">
        <f t="shared" si="34"/>
        <v>15</v>
      </c>
      <c r="X219" s="143">
        <f t="shared" si="34"/>
        <v>10</v>
      </c>
      <c r="Y219" s="143">
        <f t="shared" si="34"/>
        <v>1</v>
      </c>
      <c r="Z219" s="143">
        <f t="shared" si="34"/>
        <v>4</v>
      </c>
      <c r="AA219" s="143">
        <f t="shared" si="34"/>
        <v>11</v>
      </c>
      <c r="AB219" s="143">
        <f t="shared" si="34"/>
        <v>4</v>
      </c>
      <c r="AC219" s="143">
        <f t="shared" si="34"/>
        <v>18</v>
      </c>
      <c r="AD219" s="143">
        <f t="shared" si="34"/>
        <v>15</v>
      </c>
      <c r="AE219" s="143">
        <f t="shared" si="34"/>
        <v>9</v>
      </c>
      <c r="AF219" s="143">
        <f t="shared" si="34"/>
        <v>4</v>
      </c>
      <c r="AG219" s="86">
        <f t="shared" si="32"/>
        <v>406</v>
      </c>
    </row>
    <row r="220" spans="1:34" ht="18.75" x14ac:dyDescent="0.25">
      <c r="A220" s="349" t="s">
        <v>165</v>
      </c>
      <c r="B220" s="355">
        <v>2</v>
      </c>
      <c r="C220" s="218">
        <v>2</v>
      </c>
      <c r="D220" s="218">
        <v>0</v>
      </c>
      <c r="E220" s="218">
        <v>2</v>
      </c>
      <c r="F220" s="218">
        <v>2</v>
      </c>
      <c r="G220" s="218">
        <v>3</v>
      </c>
      <c r="H220" s="218">
        <v>1</v>
      </c>
      <c r="I220" s="218">
        <v>0</v>
      </c>
      <c r="J220" s="218">
        <v>2</v>
      </c>
      <c r="K220" s="218">
        <v>1</v>
      </c>
      <c r="L220" s="218">
        <v>0</v>
      </c>
      <c r="M220" s="218">
        <v>3</v>
      </c>
      <c r="N220" s="218">
        <v>0</v>
      </c>
      <c r="O220" s="218">
        <v>1</v>
      </c>
      <c r="P220" s="218">
        <v>1</v>
      </c>
      <c r="Q220" s="218">
        <v>0</v>
      </c>
      <c r="R220" s="218">
        <v>1</v>
      </c>
      <c r="S220" s="218">
        <v>1</v>
      </c>
      <c r="T220" s="218">
        <v>2</v>
      </c>
      <c r="U220" s="218">
        <v>0</v>
      </c>
      <c r="V220" s="218">
        <v>1</v>
      </c>
      <c r="W220" s="218">
        <v>0</v>
      </c>
      <c r="X220" s="218">
        <v>1</v>
      </c>
      <c r="Y220" s="218">
        <v>0</v>
      </c>
      <c r="Z220" s="218">
        <v>0</v>
      </c>
      <c r="AA220" s="218">
        <v>0</v>
      </c>
      <c r="AB220" s="218">
        <v>0</v>
      </c>
      <c r="AC220" s="218">
        <v>0</v>
      </c>
      <c r="AD220" s="218">
        <v>2</v>
      </c>
      <c r="AE220" s="218">
        <v>0</v>
      </c>
      <c r="AF220" s="218">
        <v>0</v>
      </c>
      <c r="AG220" s="225">
        <f t="shared" si="32"/>
        <v>28</v>
      </c>
    </row>
    <row r="221" spans="1:34" ht="18.75" x14ac:dyDescent="0.25">
      <c r="A221" s="350" t="s">
        <v>166</v>
      </c>
      <c r="B221" s="273">
        <v>21</v>
      </c>
      <c r="C221" s="124">
        <v>18</v>
      </c>
      <c r="D221" s="124">
        <v>8</v>
      </c>
      <c r="E221" s="124">
        <v>6</v>
      </c>
      <c r="F221" s="124">
        <v>11</v>
      </c>
      <c r="G221" s="124">
        <v>21</v>
      </c>
      <c r="H221" s="124">
        <v>27</v>
      </c>
      <c r="I221" s="124">
        <v>18</v>
      </c>
      <c r="J221" s="124">
        <v>15</v>
      </c>
      <c r="K221" s="124">
        <v>1</v>
      </c>
      <c r="L221" s="124">
        <v>10</v>
      </c>
      <c r="M221" s="124">
        <v>11</v>
      </c>
      <c r="N221" s="124">
        <v>15</v>
      </c>
      <c r="O221" s="124">
        <v>29</v>
      </c>
      <c r="P221" s="124">
        <v>18</v>
      </c>
      <c r="Q221" s="124">
        <v>7</v>
      </c>
      <c r="R221" s="124">
        <v>8</v>
      </c>
      <c r="S221" s="124">
        <v>3</v>
      </c>
      <c r="T221" s="124">
        <v>20</v>
      </c>
      <c r="U221" s="124">
        <v>8</v>
      </c>
      <c r="V221" s="124">
        <v>15</v>
      </c>
      <c r="W221" s="124">
        <v>15</v>
      </c>
      <c r="X221" s="124">
        <v>9</v>
      </c>
      <c r="Y221" s="124">
        <v>1</v>
      </c>
      <c r="Z221" s="124">
        <v>4</v>
      </c>
      <c r="AA221" s="124">
        <v>11</v>
      </c>
      <c r="AB221" s="124">
        <v>4</v>
      </c>
      <c r="AC221" s="124">
        <v>18</v>
      </c>
      <c r="AD221" s="124">
        <v>13</v>
      </c>
      <c r="AE221" s="124">
        <v>9</v>
      </c>
      <c r="AF221" s="124">
        <v>4</v>
      </c>
      <c r="AG221" s="122">
        <f t="shared" si="32"/>
        <v>378</v>
      </c>
    </row>
    <row r="222" spans="1:34" ht="19.5" thickBot="1" x14ac:dyDescent="0.3">
      <c r="A222" s="324" t="s">
        <v>167</v>
      </c>
      <c r="B222" s="263">
        <v>0</v>
      </c>
      <c r="C222" s="140">
        <v>0</v>
      </c>
      <c r="D222" s="140">
        <v>0</v>
      </c>
      <c r="E222" s="140">
        <v>0</v>
      </c>
      <c r="F222" s="140">
        <v>0</v>
      </c>
      <c r="G222" s="140">
        <v>0</v>
      </c>
      <c r="H222" s="140">
        <v>0</v>
      </c>
      <c r="I222" s="140">
        <v>0</v>
      </c>
      <c r="J222" s="140">
        <v>0</v>
      </c>
      <c r="K222" s="140">
        <v>0</v>
      </c>
      <c r="L222" s="140">
        <v>0</v>
      </c>
      <c r="M222" s="140">
        <v>0</v>
      </c>
      <c r="N222" s="140">
        <v>0</v>
      </c>
      <c r="O222" s="140">
        <v>0</v>
      </c>
      <c r="P222" s="140">
        <v>0</v>
      </c>
      <c r="Q222" s="140">
        <v>0</v>
      </c>
      <c r="R222" s="140">
        <v>0</v>
      </c>
      <c r="S222" s="140">
        <v>0</v>
      </c>
      <c r="T222" s="140">
        <v>0</v>
      </c>
      <c r="U222" s="140">
        <v>0</v>
      </c>
      <c r="V222" s="140">
        <v>0</v>
      </c>
      <c r="W222" s="140">
        <v>0</v>
      </c>
      <c r="X222" s="140">
        <v>0</v>
      </c>
      <c r="Y222" s="140">
        <v>0</v>
      </c>
      <c r="Z222" s="140">
        <v>0</v>
      </c>
      <c r="AA222" s="140">
        <v>0</v>
      </c>
      <c r="AB222" s="140">
        <v>0</v>
      </c>
      <c r="AC222" s="140">
        <v>0</v>
      </c>
      <c r="AD222" s="140">
        <v>0</v>
      </c>
      <c r="AE222" s="140">
        <v>0</v>
      </c>
      <c r="AF222" s="140">
        <v>0</v>
      </c>
      <c r="AG222" s="138">
        <f t="shared" si="32"/>
        <v>0</v>
      </c>
    </row>
    <row r="223" spans="1:34" ht="18.75" x14ac:dyDescent="0.25">
      <c r="A223" s="351" t="s">
        <v>4</v>
      </c>
      <c r="B223" s="265">
        <f t="shared" ref="B223:AF223" si="35">SUM(B224:B226)</f>
        <v>15</v>
      </c>
      <c r="C223" s="8">
        <f t="shared" si="35"/>
        <v>14</v>
      </c>
      <c r="D223" s="8">
        <f t="shared" si="35"/>
        <v>4</v>
      </c>
      <c r="E223" s="8">
        <f t="shared" si="35"/>
        <v>7</v>
      </c>
      <c r="F223" s="8">
        <f t="shared" si="35"/>
        <v>8</v>
      </c>
      <c r="G223" s="8">
        <f t="shared" si="35"/>
        <v>8</v>
      </c>
      <c r="H223" s="8">
        <f t="shared" si="35"/>
        <v>14</v>
      </c>
      <c r="I223" s="8">
        <f t="shared" si="35"/>
        <v>6</v>
      </c>
      <c r="J223" s="8">
        <f t="shared" si="35"/>
        <v>11</v>
      </c>
      <c r="K223" s="8">
        <f t="shared" si="35"/>
        <v>4</v>
      </c>
      <c r="L223" s="8">
        <f t="shared" si="35"/>
        <v>1</v>
      </c>
      <c r="M223" s="8">
        <f t="shared" si="35"/>
        <v>12</v>
      </c>
      <c r="N223" s="8">
        <f t="shared" si="35"/>
        <v>10</v>
      </c>
      <c r="O223" s="8">
        <f t="shared" si="35"/>
        <v>10</v>
      </c>
      <c r="P223" s="8">
        <f t="shared" si="35"/>
        <v>9</v>
      </c>
      <c r="Q223" s="8">
        <f t="shared" si="35"/>
        <v>8</v>
      </c>
      <c r="R223" s="8">
        <f t="shared" si="35"/>
        <v>6</v>
      </c>
      <c r="S223" s="8">
        <f t="shared" si="35"/>
        <v>8</v>
      </c>
      <c r="T223" s="8">
        <f t="shared" si="35"/>
        <v>3</v>
      </c>
      <c r="U223" s="8">
        <f t="shared" si="35"/>
        <v>8</v>
      </c>
      <c r="V223" s="8">
        <f t="shared" si="35"/>
        <v>10</v>
      </c>
      <c r="W223" s="8">
        <f t="shared" si="35"/>
        <v>12</v>
      </c>
      <c r="X223" s="8">
        <f t="shared" si="35"/>
        <v>8</v>
      </c>
      <c r="Y223" s="8">
        <f t="shared" si="35"/>
        <v>10</v>
      </c>
      <c r="Z223" s="8">
        <f t="shared" si="35"/>
        <v>6</v>
      </c>
      <c r="AA223" s="8">
        <f t="shared" si="35"/>
        <v>8</v>
      </c>
      <c r="AB223" s="8">
        <f t="shared" si="35"/>
        <v>8</v>
      </c>
      <c r="AC223" s="8">
        <f t="shared" si="35"/>
        <v>9</v>
      </c>
      <c r="AD223" s="8">
        <f t="shared" si="35"/>
        <v>11</v>
      </c>
      <c r="AE223" s="8">
        <f t="shared" si="35"/>
        <v>9</v>
      </c>
      <c r="AF223" s="8">
        <f t="shared" si="35"/>
        <v>3</v>
      </c>
      <c r="AG223" s="7">
        <f t="shared" ref="AG223:AG226" si="36">SUM(B223:AF223)</f>
        <v>260</v>
      </c>
      <c r="AH223" s="406" t="s">
        <v>3</v>
      </c>
    </row>
    <row r="224" spans="1:34" ht="18.75" x14ac:dyDescent="0.25">
      <c r="A224" s="352" t="s">
        <v>2</v>
      </c>
      <c r="B224" s="5">
        <v>10</v>
      </c>
      <c r="C224" s="3">
        <v>6</v>
      </c>
      <c r="D224" s="3">
        <v>1</v>
      </c>
      <c r="E224" s="3">
        <v>2</v>
      </c>
      <c r="F224" s="3">
        <v>6</v>
      </c>
      <c r="G224" s="3">
        <v>4</v>
      </c>
      <c r="H224" s="3">
        <v>6</v>
      </c>
      <c r="I224" s="3">
        <v>1</v>
      </c>
      <c r="J224" s="3">
        <v>5</v>
      </c>
      <c r="K224" s="3">
        <v>1</v>
      </c>
      <c r="L224" s="3"/>
      <c r="M224" s="3">
        <v>8</v>
      </c>
      <c r="N224" s="5">
        <v>5</v>
      </c>
      <c r="O224" s="3">
        <v>5</v>
      </c>
      <c r="P224" s="3">
        <v>4</v>
      </c>
      <c r="Q224" s="3">
        <v>1</v>
      </c>
      <c r="R224" s="3">
        <v>2</v>
      </c>
      <c r="S224" s="3">
        <v>1</v>
      </c>
      <c r="T224" s="3">
        <v>3</v>
      </c>
      <c r="U224" s="3">
        <v>6</v>
      </c>
      <c r="V224" s="3">
        <v>5</v>
      </c>
      <c r="W224" s="3">
        <v>7</v>
      </c>
      <c r="X224" s="3">
        <v>3</v>
      </c>
      <c r="Y224" s="3">
        <v>3</v>
      </c>
      <c r="Z224" s="4">
        <v>0</v>
      </c>
      <c r="AA224" s="3">
        <v>5</v>
      </c>
      <c r="AB224" s="3">
        <v>5</v>
      </c>
      <c r="AC224" s="3">
        <v>6</v>
      </c>
      <c r="AD224" s="3">
        <v>5</v>
      </c>
      <c r="AE224" s="3">
        <v>5</v>
      </c>
      <c r="AF224" s="2">
        <v>0</v>
      </c>
      <c r="AG224" s="1">
        <f t="shared" si="36"/>
        <v>121</v>
      </c>
      <c r="AH224" s="407"/>
    </row>
    <row r="225" spans="1:34" ht="18.75" x14ac:dyDescent="0.25">
      <c r="A225" s="352" t="s">
        <v>1</v>
      </c>
      <c r="B225" s="5">
        <v>5</v>
      </c>
      <c r="C225" s="3">
        <v>8</v>
      </c>
      <c r="D225" s="3">
        <v>3</v>
      </c>
      <c r="E225" s="3">
        <v>5</v>
      </c>
      <c r="F225" s="3">
        <v>2</v>
      </c>
      <c r="G225" s="3">
        <v>4</v>
      </c>
      <c r="H225" s="3">
        <v>8</v>
      </c>
      <c r="I225" s="3">
        <v>5</v>
      </c>
      <c r="J225" s="3">
        <v>6</v>
      </c>
      <c r="K225" s="3">
        <v>3</v>
      </c>
      <c r="L225" s="3">
        <v>1</v>
      </c>
      <c r="M225" s="3">
        <v>4</v>
      </c>
      <c r="N225" s="5">
        <v>5</v>
      </c>
      <c r="O225" s="3">
        <v>5</v>
      </c>
      <c r="P225" s="3">
        <v>5</v>
      </c>
      <c r="Q225" s="3">
        <v>7</v>
      </c>
      <c r="R225" s="3">
        <v>4</v>
      </c>
      <c r="S225" s="3">
        <v>7</v>
      </c>
      <c r="T225" s="3">
        <v>0</v>
      </c>
      <c r="U225" s="3">
        <v>2</v>
      </c>
      <c r="V225" s="3">
        <v>5</v>
      </c>
      <c r="W225" s="3">
        <v>5</v>
      </c>
      <c r="X225" s="3">
        <v>5</v>
      </c>
      <c r="Y225" s="3">
        <v>7</v>
      </c>
      <c r="Z225" s="4">
        <v>6</v>
      </c>
      <c r="AA225" s="3">
        <v>3</v>
      </c>
      <c r="AB225" s="3">
        <v>3</v>
      </c>
      <c r="AC225" s="3">
        <v>3</v>
      </c>
      <c r="AD225" s="3">
        <v>6</v>
      </c>
      <c r="AE225" s="3">
        <v>4</v>
      </c>
      <c r="AF225" s="2">
        <v>3</v>
      </c>
      <c r="AG225" s="1">
        <f t="shared" si="36"/>
        <v>139</v>
      </c>
      <c r="AH225" s="407"/>
    </row>
    <row r="226" spans="1:34" ht="19.5" thickBot="1" x14ac:dyDescent="0.3">
      <c r="A226" s="353" t="s">
        <v>0</v>
      </c>
      <c r="B226" s="297"/>
      <c r="C226" s="240"/>
      <c r="D226" s="240"/>
      <c r="E226" s="240"/>
      <c r="F226" s="240"/>
      <c r="G226" s="240"/>
      <c r="H226" s="240"/>
      <c r="I226" s="240"/>
      <c r="J226" s="240"/>
      <c r="K226" s="241"/>
      <c r="L226" s="241"/>
      <c r="M226" s="241"/>
      <c r="N226" s="242"/>
      <c r="O226" s="243"/>
      <c r="P226" s="243"/>
      <c r="Q226" s="243"/>
      <c r="R226" s="243"/>
      <c r="S226" s="243"/>
      <c r="T226" s="243"/>
      <c r="U226" s="243"/>
      <c r="V226" s="243"/>
      <c r="W226" s="243"/>
      <c r="X226" s="243"/>
      <c r="Y226" s="243"/>
      <c r="Z226" s="243"/>
      <c r="AA226" s="243"/>
      <c r="AB226" s="243"/>
      <c r="AC226" s="243"/>
      <c r="AD226" s="243"/>
      <c r="AE226" s="243"/>
      <c r="AF226" s="244"/>
      <c r="AG226" s="10">
        <f t="shared" si="36"/>
        <v>0</v>
      </c>
      <c r="AH226" s="408"/>
    </row>
    <row r="246" ht="18.75" customHeight="1" x14ac:dyDescent="0.25"/>
    <row r="247" ht="18.75" customHeight="1" x14ac:dyDescent="0.25"/>
    <row r="248" ht="18.75" customHeight="1" x14ac:dyDescent="0.25"/>
    <row r="249" ht="18.75" customHeight="1" x14ac:dyDescent="0.25"/>
    <row r="250" ht="18.75" customHeight="1" x14ac:dyDescent="0.25"/>
    <row r="251" ht="18.75" customHeight="1" x14ac:dyDescent="0.25"/>
    <row r="252" ht="18.75" customHeight="1" x14ac:dyDescent="0.25"/>
    <row r="253" ht="18.75" customHeight="1" x14ac:dyDescent="0.25"/>
    <row r="254" ht="18.75" customHeight="1" x14ac:dyDescent="0.25"/>
    <row r="255" ht="18.75" customHeight="1" x14ac:dyDescent="0.25"/>
    <row r="256" ht="18.75" customHeight="1" x14ac:dyDescent="0.25"/>
    <row r="257" ht="19.5" customHeight="1" x14ac:dyDescent="0.25"/>
    <row r="259" ht="18.75" customHeight="1" x14ac:dyDescent="0.25"/>
    <row r="262" ht="18.75" customHeight="1" x14ac:dyDescent="0.25"/>
  </sheetData>
  <dataConsolidate link="1"/>
  <mergeCells count="3">
    <mergeCell ref="A1:AG1"/>
    <mergeCell ref="AI84:AI86"/>
    <mergeCell ref="AH223:AH226"/>
  </mergeCells>
  <conditionalFormatting sqref="B29:AF52">
    <cfRule type="cellIs" dxfId="59" priority="6" operator="lessThan">
      <formula>0</formula>
    </cfRule>
  </conditionalFormatting>
  <conditionalFormatting sqref="D54:D77">
    <cfRule type="cellIs" dxfId="58" priority="2" operator="lessThan">
      <formula>0</formula>
    </cfRule>
  </conditionalFormatting>
  <conditionalFormatting sqref="G54:G77">
    <cfRule type="cellIs" dxfId="57" priority="1" operator="lessThan">
      <formula>0</formula>
    </cfRule>
  </conditionalFormatting>
  <conditionalFormatting sqref="AH81">
    <cfRule type="cellIs" dxfId="56" priority="4" operator="equal">
      <formula>"*"</formula>
    </cfRule>
  </conditionalFormatting>
  <conditionalFormatting sqref="AH84 AH87">
    <cfRule type="cellIs" dxfId="55" priority="5" operator="equal">
      <formula>"*"</formula>
    </cfRule>
  </conditionalFormatting>
  <conditionalFormatting sqref="AH93">
    <cfRule type="cellIs" dxfId="54" priority="10" operator="equal">
      <formula>"*"</formula>
    </cfRule>
  </conditionalFormatting>
  <conditionalFormatting sqref="AH130">
    <cfRule type="cellIs" dxfId="53" priority="8" operator="equal">
      <formula>"*"</formula>
    </cfRule>
  </conditionalFormatting>
  <conditionalFormatting sqref="AH144:AH145">
    <cfRule type="cellIs" dxfId="52" priority="9" operator="equal">
      <formula>"*"</formula>
    </cfRule>
  </conditionalFormatting>
  <conditionalFormatting sqref="AH182">
    <cfRule type="cellIs" dxfId="51" priority="7" operator="equal">
      <formula>"*"</formula>
    </cfRule>
  </conditionalFormatting>
  <conditionalFormatting sqref="AH209">
    <cfRule type="cellIs" dxfId="50" priority="3" operator="equal">
      <formula>"X"</formula>
    </cfRule>
  </conditionalFormatting>
  <dataValidations disablePrompts="1" count="1">
    <dataValidation type="whole" allowBlank="1" showInputMessage="1" showErrorMessage="1" errorTitle="ERROR" error="Por favor ingrese solo Números" sqref="A98:A99 A101:A115" xr:uid="{27D09BB1-1D83-465C-8EB7-BA9ED0829F68}">
      <formula1>0</formula1>
      <formula2>1000000000</formula2>
    </dataValidation>
  </dataValidations>
  <pageMargins left="0.7" right="0.7" top="0.75" bottom="0.75" header="0.3" footer="0.3"/>
  <pageSetup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3B218-594F-406D-8ACE-5463C4A696E0}">
  <sheetPr codeName="Hoja10"/>
  <dimension ref="A1:AI263"/>
  <sheetViews>
    <sheetView zoomScale="80" zoomScaleNormal="80" workbookViewId="0">
      <pane xSplit="1" ySplit="3" topLeftCell="B4" activePane="bottomRight" state="frozen"/>
      <selection activeCell="AG3" sqref="AG3"/>
      <selection pane="topRight" activeCell="AG3" sqref="AG3"/>
      <selection pane="bottomLeft" activeCell="AG3" sqref="AG3"/>
      <selection pane="bottomRight" activeCell="B4" sqref="B4"/>
    </sheetView>
  </sheetViews>
  <sheetFormatPr baseColWidth="10" defaultRowHeight="15" x14ac:dyDescent="0.25"/>
  <cols>
    <col min="1" max="1" width="34.7109375" customWidth="1"/>
    <col min="2" max="13" width="8.28515625" customWidth="1"/>
    <col min="14" max="14" width="10.140625" customWidth="1"/>
    <col min="15" max="27" width="8.28515625" customWidth="1"/>
    <col min="28" max="28" width="9.7109375" customWidth="1"/>
    <col min="29" max="32" width="8.28515625" customWidth="1"/>
    <col min="33" max="33" width="11.140625" customWidth="1"/>
    <col min="34" max="34" width="12.42578125" customWidth="1"/>
  </cols>
  <sheetData>
    <row r="1" spans="1:33" ht="21.75" thickBot="1" x14ac:dyDescent="0.3">
      <c r="A1" s="400"/>
      <c r="B1" s="401"/>
      <c r="C1" s="401"/>
      <c r="D1" s="401"/>
      <c r="E1" s="401"/>
      <c r="F1" s="401"/>
      <c r="G1" s="401"/>
      <c r="H1" s="401"/>
      <c r="I1" s="401"/>
      <c r="J1" s="401"/>
      <c r="K1" s="401"/>
      <c r="L1" s="401"/>
      <c r="M1" s="401"/>
      <c r="N1" s="401"/>
      <c r="O1" s="401"/>
      <c r="P1" s="401"/>
      <c r="Q1" s="401"/>
      <c r="R1" s="401"/>
      <c r="S1" s="401"/>
      <c r="T1" s="401"/>
      <c r="U1" s="401"/>
      <c r="V1" s="401"/>
      <c r="W1" s="401"/>
      <c r="X1" s="401"/>
      <c r="Y1" s="401"/>
      <c r="Z1" s="401"/>
      <c r="AA1" s="401"/>
      <c r="AB1" s="401"/>
      <c r="AC1" s="401"/>
      <c r="AD1" s="401"/>
      <c r="AE1" s="401"/>
      <c r="AF1" s="401"/>
      <c r="AG1" s="402"/>
    </row>
    <row r="2" spans="1:33" ht="21.75" thickBot="1" x14ac:dyDescent="0.3">
      <c r="A2" s="298" t="s">
        <v>159</v>
      </c>
      <c r="B2" s="354">
        <v>1</v>
      </c>
      <c r="C2" s="215">
        <f t="shared" ref="C2:AA2" si="0">+B2+1</f>
        <v>2</v>
      </c>
      <c r="D2" s="215">
        <f t="shared" si="0"/>
        <v>3</v>
      </c>
      <c r="E2" s="215">
        <f t="shared" si="0"/>
        <v>4</v>
      </c>
      <c r="F2" s="215">
        <f t="shared" si="0"/>
        <v>5</v>
      </c>
      <c r="G2" s="215">
        <f t="shared" si="0"/>
        <v>6</v>
      </c>
      <c r="H2" s="217">
        <f t="shared" si="0"/>
        <v>7</v>
      </c>
      <c r="I2" s="217">
        <f t="shared" si="0"/>
        <v>8</v>
      </c>
      <c r="J2" s="215">
        <f t="shared" si="0"/>
        <v>9</v>
      </c>
      <c r="K2" s="215">
        <f t="shared" si="0"/>
        <v>10</v>
      </c>
      <c r="L2" s="215">
        <f t="shared" si="0"/>
        <v>11</v>
      </c>
      <c r="M2" s="215">
        <f t="shared" si="0"/>
        <v>12</v>
      </c>
      <c r="N2" s="215">
        <f t="shared" si="0"/>
        <v>13</v>
      </c>
      <c r="O2" s="217">
        <f t="shared" si="0"/>
        <v>14</v>
      </c>
      <c r="P2" s="217">
        <f t="shared" si="0"/>
        <v>15</v>
      </c>
      <c r="Q2" s="215">
        <f t="shared" si="0"/>
        <v>16</v>
      </c>
      <c r="R2" s="215">
        <f t="shared" si="0"/>
        <v>17</v>
      </c>
      <c r="S2" s="215">
        <f t="shared" si="0"/>
        <v>18</v>
      </c>
      <c r="T2" s="215">
        <f t="shared" si="0"/>
        <v>19</v>
      </c>
      <c r="U2" s="217">
        <f t="shared" si="0"/>
        <v>20</v>
      </c>
      <c r="V2" s="217">
        <f t="shared" si="0"/>
        <v>21</v>
      </c>
      <c r="W2" s="217">
        <f t="shared" si="0"/>
        <v>22</v>
      </c>
      <c r="X2" s="215">
        <f t="shared" si="0"/>
        <v>23</v>
      </c>
      <c r="Y2" s="215">
        <f t="shared" si="0"/>
        <v>24</v>
      </c>
      <c r="Z2" s="215">
        <f t="shared" si="0"/>
        <v>25</v>
      </c>
      <c r="AA2" s="215">
        <f t="shared" si="0"/>
        <v>26</v>
      </c>
      <c r="AB2" s="215">
        <v>27</v>
      </c>
      <c r="AC2" s="217">
        <f>+AB2+1</f>
        <v>28</v>
      </c>
      <c r="AD2" s="217">
        <v>29</v>
      </c>
      <c r="AE2" s="215">
        <v>30</v>
      </c>
      <c r="AF2" s="215">
        <v>31</v>
      </c>
      <c r="AG2" s="214" t="s">
        <v>148</v>
      </c>
    </row>
    <row r="3" spans="1:33" ht="19.5" thickBot="1" x14ac:dyDescent="0.3">
      <c r="A3" s="299" t="s">
        <v>147</v>
      </c>
      <c r="B3" s="247">
        <f t="shared" ref="B3:AF3" si="1">SUM(B4:B27)</f>
        <v>177</v>
      </c>
      <c r="C3" s="120">
        <f t="shared" si="1"/>
        <v>165</v>
      </c>
      <c r="D3" s="120">
        <f t="shared" si="1"/>
        <v>173</v>
      </c>
      <c r="E3" s="120">
        <f t="shared" si="1"/>
        <v>131</v>
      </c>
      <c r="F3" s="120">
        <f t="shared" si="1"/>
        <v>123</v>
      </c>
      <c r="G3" s="120">
        <f t="shared" si="1"/>
        <v>125</v>
      </c>
      <c r="H3" s="120">
        <f t="shared" si="1"/>
        <v>142</v>
      </c>
      <c r="I3" s="120">
        <f t="shared" si="1"/>
        <v>121</v>
      </c>
      <c r="J3" s="120">
        <f t="shared" si="1"/>
        <v>192</v>
      </c>
      <c r="K3" s="120">
        <f t="shared" si="1"/>
        <v>146</v>
      </c>
      <c r="L3" s="120">
        <f t="shared" si="1"/>
        <v>153</v>
      </c>
      <c r="M3" s="120">
        <f t="shared" si="1"/>
        <v>143</v>
      </c>
      <c r="N3" s="120">
        <f t="shared" si="1"/>
        <v>140</v>
      </c>
      <c r="O3" s="120">
        <f t="shared" si="1"/>
        <v>142</v>
      </c>
      <c r="P3" s="120">
        <f t="shared" si="1"/>
        <v>150</v>
      </c>
      <c r="Q3" s="120">
        <f t="shared" si="1"/>
        <v>153</v>
      </c>
      <c r="R3" s="120">
        <f t="shared" si="1"/>
        <v>141</v>
      </c>
      <c r="S3" s="120">
        <f t="shared" si="1"/>
        <v>147</v>
      </c>
      <c r="T3" s="120">
        <f t="shared" si="1"/>
        <v>128</v>
      </c>
      <c r="U3" s="120">
        <f t="shared" si="1"/>
        <v>162</v>
      </c>
      <c r="V3" s="120">
        <f t="shared" si="1"/>
        <v>134</v>
      </c>
      <c r="W3" s="120">
        <f t="shared" si="1"/>
        <v>145</v>
      </c>
      <c r="X3" s="120">
        <f t="shared" si="1"/>
        <v>172</v>
      </c>
      <c r="Y3" s="120">
        <f t="shared" si="1"/>
        <v>123</v>
      </c>
      <c r="Z3" s="120">
        <f t="shared" si="1"/>
        <v>145</v>
      </c>
      <c r="AA3" s="120">
        <f t="shared" si="1"/>
        <v>125</v>
      </c>
      <c r="AB3" s="120">
        <f t="shared" si="1"/>
        <v>117</v>
      </c>
      <c r="AC3" s="120">
        <f t="shared" si="1"/>
        <v>151</v>
      </c>
      <c r="AD3" s="120">
        <f t="shared" si="1"/>
        <v>133</v>
      </c>
      <c r="AE3" s="120">
        <f t="shared" si="1"/>
        <v>180</v>
      </c>
      <c r="AF3" s="120">
        <f t="shared" si="1"/>
        <v>160</v>
      </c>
      <c r="AG3" s="118">
        <f t="shared" ref="AG3:AG66" si="2">SUM(B3:AF3)</f>
        <v>4539</v>
      </c>
    </row>
    <row r="4" spans="1:33" ht="18.75" x14ac:dyDescent="0.25">
      <c r="A4" s="300" t="s">
        <v>144</v>
      </c>
      <c r="B4" s="248">
        <v>3</v>
      </c>
      <c r="C4" s="199">
        <v>2</v>
      </c>
      <c r="D4" s="199">
        <v>6</v>
      </c>
      <c r="E4" s="199">
        <v>1</v>
      </c>
      <c r="F4" s="199">
        <v>4</v>
      </c>
      <c r="G4" s="199">
        <v>2</v>
      </c>
      <c r="H4" s="199">
        <v>2</v>
      </c>
      <c r="I4" s="199">
        <v>2</v>
      </c>
      <c r="J4" s="199">
        <v>2</v>
      </c>
      <c r="K4" s="199">
        <v>1</v>
      </c>
      <c r="L4" s="199">
        <v>4</v>
      </c>
      <c r="M4" s="199">
        <v>5</v>
      </c>
      <c r="N4" s="199">
        <v>3</v>
      </c>
      <c r="O4" s="199">
        <v>6</v>
      </c>
      <c r="P4" s="199">
        <v>5</v>
      </c>
      <c r="Q4" s="199">
        <v>3</v>
      </c>
      <c r="R4" s="199">
        <v>3</v>
      </c>
      <c r="S4" s="199">
        <v>4</v>
      </c>
      <c r="T4" s="199"/>
      <c r="U4" s="199">
        <v>6</v>
      </c>
      <c r="V4" s="199">
        <v>6</v>
      </c>
      <c r="W4" s="199">
        <v>1</v>
      </c>
      <c r="X4" s="199">
        <v>6</v>
      </c>
      <c r="Y4" s="199">
        <v>3</v>
      </c>
      <c r="Z4" s="199">
        <v>3</v>
      </c>
      <c r="AA4" s="199">
        <v>2</v>
      </c>
      <c r="AB4" s="199">
        <v>1</v>
      </c>
      <c r="AC4" s="199">
        <v>4</v>
      </c>
      <c r="AD4" s="199">
        <v>2</v>
      </c>
      <c r="AE4" s="199">
        <v>7</v>
      </c>
      <c r="AF4" s="206">
        <v>5</v>
      </c>
      <c r="AG4" s="134">
        <f t="shared" si="2"/>
        <v>104</v>
      </c>
    </row>
    <row r="5" spans="1:33" ht="18.75" x14ac:dyDescent="0.25">
      <c r="A5" s="301" t="s">
        <v>143</v>
      </c>
      <c r="B5" s="249">
        <v>4</v>
      </c>
      <c r="C5" s="162">
        <v>8</v>
      </c>
      <c r="D5" s="162">
        <v>4</v>
      </c>
      <c r="E5" s="162">
        <v>6</v>
      </c>
      <c r="F5" s="162">
        <v>5</v>
      </c>
      <c r="G5" s="162">
        <v>4</v>
      </c>
      <c r="H5" s="162">
        <v>5</v>
      </c>
      <c r="I5" s="162">
        <v>4</v>
      </c>
      <c r="J5" s="162">
        <v>7</v>
      </c>
      <c r="K5" s="162">
        <v>6</v>
      </c>
      <c r="L5" s="162">
        <v>1</v>
      </c>
      <c r="M5" s="162">
        <v>4</v>
      </c>
      <c r="N5" s="162">
        <v>2</v>
      </c>
      <c r="O5" s="162">
        <v>8</v>
      </c>
      <c r="P5" s="162">
        <v>5</v>
      </c>
      <c r="Q5" s="162">
        <v>3</v>
      </c>
      <c r="R5" s="162">
        <v>7</v>
      </c>
      <c r="S5" s="162">
        <v>5</v>
      </c>
      <c r="T5" s="162">
        <v>3</v>
      </c>
      <c r="U5" s="162">
        <v>6</v>
      </c>
      <c r="V5" s="162">
        <v>5</v>
      </c>
      <c r="W5" s="162">
        <v>8</v>
      </c>
      <c r="X5" s="162">
        <v>6</v>
      </c>
      <c r="Y5" s="162">
        <v>2</v>
      </c>
      <c r="Z5" s="162">
        <v>1</v>
      </c>
      <c r="AA5" s="162">
        <v>3</v>
      </c>
      <c r="AB5" s="162">
        <v>5</v>
      </c>
      <c r="AC5" s="162">
        <v>8</v>
      </c>
      <c r="AD5" s="162">
        <v>10</v>
      </c>
      <c r="AE5" s="162">
        <v>6</v>
      </c>
      <c r="AF5" s="161">
        <v>4</v>
      </c>
      <c r="AG5" s="64">
        <f t="shared" si="2"/>
        <v>155</v>
      </c>
    </row>
    <row r="6" spans="1:33" ht="18.75" x14ac:dyDescent="0.25">
      <c r="A6" s="301" t="s">
        <v>142</v>
      </c>
      <c r="B6" s="249">
        <v>13</v>
      </c>
      <c r="C6" s="162">
        <v>2</v>
      </c>
      <c r="D6" s="162">
        <v>2</v>
      </c>
      <c r="E6" s="162">
        <v>6</v>
      </c>
      <c r="F6" s="162">
        <v>3</v>
      </c>
      <c r="G6" s="162">
        <v>2</v>
      </c>
      <c r="H6" s="162">
        <v>10</v>
      </c>
      <c r="I6" s="162">
        <v>4</v>
      </c>
      <c r="J6" s="162">
        <v>4</v>
      </c>
      <c r="K6" s="162">
        <v>3</v>
      </c>
      <c r="L6" s="162">
        <v>4</v>
      </c>
      <c r="M6" s="162">
        <v>4</v>
      </c>
      <c r="N6" s="162">
        <v>2</v>
      </c>
      <c r="O6" s="162">
        <v>10</v>
      </c>
      <c r="P6" s="162">
        <v>10</v>
      </c>
      <c r="Q6" s="162">
        <v>5</v>
      </c>
      <c r="R6" s="162">
        <v>2</v>
      </c>
      <c r="S6" s="162"/>
      <c r="T6" s="162">
        <v>2</v>
      </c>
      <c r="U6" s="162">
        <v>5</v>
      </c>
      <c r="V6" s="162">
        <v>12</v>
      </c>
      <c r="W6" s="162">
        <v>10</v>
      </c>
      <c r="X6" s="162">
        <v>9</v>
      </c>
      <c r="Y6" s="162">
        <v>4</v>
      </c>
      <c r="Z6" s="162">
        <v>3</v>
      </c>
      <c r="AA6" s="162">
        <v>3</v>
      </c>
      <c r="AB6" s="162">
        <v>4</v>
      </c>
      <c r="AC6" s="162">
        <v>10</v>
      </c>
      <c r="AD6" s="162">
        <v>7</v>
      </c>
      <c r="AE6" s="162">
        <v>5</v>
      </c>
      <c r="AF6" s="161">
        <v>6</v>
      </c>
      <c r="AG6" s="64">
        <f t="shared" si="2"/>
        <v>166</v>
      </c>
    </row>
    <row r="7" spans="1:33" ht="18.75" x14ac:dyDescent="0.25">
      <c r="A7" s="301" t="s">
        <v>141</v>
      </c>
      <c r="B7" s="249">
        <v>8</v>
      </c>
      <c r="C7" s="162">
        <v>4</v>
      </c>
      <c r="D7" s="162">
        <v>6</v>
      </c>
      <c r="E7" s="162">
        <v>5</v>
      </c>
      <c r="F7" s="162">
        <v>3</v>
      </c>
      <c r="G7" s="162">
        <v>4</v>
      </c>
      <c r="H7" s="162">
        <v>19</v>
      </c>
      <c r="I7" s="162">
        <v>7</v>
      </c>
      <c r="J7" s="162">
        <v>5</v>
      </c>
      <c r="K7" s="162">
        <v>3</v>
      </c>
      <c r="L7" s="162">
        <v>6</v>
      </c>
      <c r="M7" s="162"/>
      <c r="N7" s="162">
        <v>2</v>
      </c>
      <c r="O7" s="162">
        <v>7</v>
      </c>
      <c r="P7" s="162">
        <v>11</v>
      </c>
      <c r="Q7" s="162">
        <v>3</v>
      </c>
      <c r="R7" s="162">
        <v>1</v>
      </c>
      <c r="S7" s="162">
        <v>4</v>
      </c>
      <c r="T7" s="162">
        <v>1</v>
      </c>
      <c r="U7" s="162">
        <v>11</v>
      </c>
      <c r="V7" s="162">
        <v>17</v>
      </c>
      <c r="W7" s="162">
        <v>8</v>
      </c>
      <c r="X7" s="162">
        <v>1</v>
      </c>
      <c r="Y7" s="162">
        <v>4</v>
      </c>
      <c r="Z7" s="162">
        <v>7</v>
      </c>
      <c r="AA7" s="162">
        <v>3</v>
      </c>
      <c r="AB7" s="162">
        <v>5</v>
      </c>
      <c r="AC7" s="162">
        <v>10</v>
      </c>
      <c r="AD7" s="162">
        <v>10</v>
      </c>
      <c r="AE7" s="162">
        <v>2</v>
      </c>
      <c r="AF7" s="161">
        <v>2</v>
      </c>
      <c r="AG7" s="64">
        <f t="shared" si="2"/>
        <v>179</v>
      </c>
    </row>
    <row r="8" spans="1:33" ht="18.75" x14ac:dyDescent="0.25">
      <c r="A8" s="301" t="s">
        <v>140</v>
      </c>
      <c r="B8" s="249">
        <v>17</v>
      </c>
      <c r="C8" s="162">
        <v>2</v>
      </c>
      <c r="D8" s="162">
        <v>7</v>
      </c>
      <c r="E8" s="162">
        <v>2</v>
      </c>
      <c r="F8" s="162">
        <v>4</v>
      </c>
      <c r="G8" s="162">
        <v>5</v>
      </c>
      <c r="H8" s="162">
        <v>16</v>
      </c>
      <c r="I8" s="162">
        <v>11</v>
      </c>
      <c r="J8" s="162">
        <v>10</v>
      </c>
      <c r="K8" s="162">
        <v>4</v>
      </c>
      <c r="L8" s="162">
        <v>1</v>
      </c>
      <c r="M8" s="162">
        <v>1</v>
      </c>
      <c r="N8" s="162">
        <v>1</v>
      </c>
      <c r="O8" s="162">
        <v>6</v>
      </c>
      <c r="P8" s="162">
        <v>10</v>
      </c>
      <c r="Q8" s="162">
        <v>2</v>
      </c>
      <c r="R8" s="162">
        <v>1</v>
      </c>
      <c r="S8" s="162">
        <v>5</v>
      </c>
      <c r="T8" s="162">
        <v>1</v>
      </c>
      <c r="U8" s="162">
        <v>9</v>
      </c>
      <c r="V8" s="162">
        <v>14</v>
      </c>
      <c r="W8" s="162">
        <v>9</v>
      </c>
      <c r="X8" s="162">
        <v>3</v>
      </c>
      <c r="Y8" s="162">
        <v>2</v>
      </c>
      <c r="Z8" s="162">
        <v>3</v>
      </c>
      <c r="AA8" s="162">
        <v>3</v>
      </c>
      <c r="AB8" s="162">
        <v>1</v>
      </c>
      <c r="AC8" s="162">
        <v>13</v>
      </c>
      <c r="AD8" s="162">
        <v>8</v>
      </c>
      <c r="AE8" s="162">
        <v>1</v>
      </c>
      <c r="AF8" s="161">
        <v>2</v>
      </c>
      <c r="AG8" s="64">
        <f t="shared" si="2"/>
        <v>174</v>
      </c>
    </row>
    <row r="9" spans="1:33" ht="18.75" x14ac:dyDescent="0.25">
      <c r="A9" s="301" t="s">
        <v>139</v>
      </c>
      <c r="B9" s="249">
        <v>9</v>
      </c>
      <c r="C9" s="162">
        <v>1</v>
      </c>
      <c r="D9" s="162">
        <v>6</v>
      </c>
      <c r="E9" s="162">
        <v>3</v>
      </c>
      <c r="F9" s="162"/>
      <c r="G9" s="162">
        <v>5</v>
      </c>
      <c r="H9" s="162">
        <v>5</v>
      </c>
      <c r="I9" s="162">
        <v>7</v>
      </c>
      <c r="J9" s="162">
        <v>3</v>
      </c>
      <c r="K9" s="162">
        <v>4</v>
      </c>
      <c r="L9" s="162">
        <v>9</v>
      </c>
      <c r="M9" s="162">
        <v>9</v>
      </c>
      <c r="N9" s="162">
        <v>7</v>
      </c>
      <c r="O9" s="162">
        <v>12</v>
      </c>
      <c r="P9" s="162">
        <v>13</v>
      </c>
      <c r="Q9" s="162"/>
      <c r="R9" s="162">
        <v>2</v>
      </c>
      <c r="S9" s="162">
        <v>7</v>
      </c>
      <c r="T9" s="162">
        <v>2</v>
      </c>
      <c r="U9" s="162">
        <v>8</v>
      </c>
      <c r="V9" s="162">
        <v>5</v>
      </c>
      <c r="W9" s="162">
        <v>9</v>
      </c>
      <c r="X9" s="162"/>
      <c r="Y9" s="162">
        <v>6</v>
      </c>
      <c r="Z9" s="162">
        <v>2</v>
      </c>
      <c r="AA9" s="162"/>
      <c r="AB9" s="162">
        <v>2</v>
      </c>
      <c r="AC9" s="162">
        <v>10</v>
      </c>
      <c r="AD9" s="162">
        <v>11</v>
      </c>
      <c r="AE9" s="162">
        <v>3</v>
      </c>
      <c r="AF9" s="161">
        <v>2</v>
      </c>
      <c r="AG9" s="64">
        <f t="shared" si="2"/>
        <v>162</v>
      </c>
    </row>
    <row r="10" spans="1:33" ht="18.75" x14ac:dyDescent="0.25">
      <c r="A10" s="301" t="s">
        <v>138</v>
      </c>
      <c r="B10" s="249">
        <v>15</v>
      </c>
      <c r="C10" s="162">
        <v>9</v>
      </c>
      <c r="D10" s="162">
        <v>2</v>
      </c>
      <c r="E10" s="162">
        <v>4</v>
      </c>
      <c r="F10" s="162">
        <v>2</v>
      </c>
      <c r="G10" s="162">
        <v>2</v>
      </c>
      <c r="H10" s="162">
        <v>10</v>
      </c>
      <c r="I10" s="162">
        <v>10</v>
      </c>
      <c r="J10" s="162">
        <v>8</v>
      </c>
      <c r="K10" s="162">
        <v>5</v>
      </c>
      <c r="L10" s="162">
        <v>3</v>
      </c>
      <c r="M10" s="162">
        <v>3</v>
      </c>
      <c r="N10" s="162">
        <v>8</v>
      </c>
      <c r="O10" s="162">
        <v>7</v>
      </c>
      <c r="P10" s="162">
        <v>8</v>
      </c>
      <c r="Q10" s="162">
        <v>11</v>
      </c>
      <c r="R10" s="162">
        <v>4</v>
      </c>
      <c r="S10" s="162">
        <v>3</v>
      </c>
      <c r="T10" s="162">
        <v>2</v>
      </c>
      <c r="U10" s="162">
        <v>9</v>
      </c>
      <c r="V10" s="162">
        <v>6</v>
      </c>
      <c r="W10" s="162">
        <v>10</v>
      </c>
      <c r="X10" s="162">
        <v>1</v>
      </c>
      <c r="Y10" s="162">
        <v>1</v>
      </c>
      <c r="Z10" s="162">
        <v>3</v>
      </c>
      <c r="AA10" s="162">
        <v>1</v>
      </c>
      <c r="AB10" s="162"/>
      <c r="AC10" s="162">
        <v>7</v>
      </c>
      <c r="AD10" s="162">
        <v>9</v>
      </c>
      <c r="AE10" s="162">
        <v>5</v>
      </c>
      <c r="AF10" s="161">
        <v>2</v>
      </c>
      <c r="AG10" s="64">
        <f t="shared" si="2"/>
        <v>170</v>
      </c>
    </row>
    <row r="11" spans="1:33" ht="18.75" x14ac:dyDescent="0.25">
      <c r="A11" s="301" t="s">
        <v>137</v>
      </c>
      <c r="B11" s="249">
        <v>20</v>
      </c>
      <c r="C11" s="162">
        <v>10</v>
      </c>
      <c r="D11" s="162">
        <v>7</v>
      </c>
      <c r="E11" s="162">
        <v>3</v>
      </c>
      <c r="F11" s="162">
        <v>6</v>
      </c>
      <c r="G11" s="162"/>
      <c r="H11" s="162">
        <v>5</v>
      </c>
      <c r="I11" s="162">
        <v>6</v>
      </c>
      <c r="J11" s="162">
        <v>6</v>
      </c>
      <c r="K11" s="162">
        <v>5</v>
      </c>
      <c r="L11" s="162">
        <v>5</v>
      </c>
      <c r="M11" s="162">
        <v>2</v>
      </c>
      <c r="N11" s="162">
        <v>4</v>
      </c>
      <c r="O11" s="162">
        <v>10</v>
      </c>
      <c r="P11" s="162">
        <v>7</v>
      </c>
      <c r="Q11" s="162">
        <v>3</v>
      </c>
      <c r="R11" s="162">
        <v>3</v>
      </c>
      <c r="S11" s="162">
        <v>7</v>
      </c>
      <c r="T11" s="162">
        <v>2</v>
      </c>
      <c r="U11" s="162">
        <v>9</v>
      </c>
      <c r="V11" s="162">
        <v>9</v>
      </c>
      <c r="W11" s="162">
        <v>12</v>
      </c>
      <c r="X11" s="162">
        <v>10</v>
      </c>
      <c r="Y11" s="162">
        <v>5</v>
      </c>
      <c r="Z11" s="162">
        <v>1</v>
      </c>
      <c r="AA11" s="162">
        <v>1</v>
      </c>
      <c r="AB11" s="162">
        <v>3</v>
      </c>
      <c r="AC11" s="162">
        <v>10</v>
      </c>
      <c r="AD11" s="162">
        <v>7</v>
      </c>
      <c r="AE11" s="162">
        <v>5</v>
      </c>
      <c r="AF11" s="161">
        <v>1</v>
      </c>
      <c r="AG11" s="64">
        <f t="shared" si="2"/>
        <v>184</v>
      </c>
    </row>
    <row r="12" spans="1:33" ht="18.75" x14ac:dyDescent="0.25">
      <c r="A12" s="301" t="s">
        <v>136</v>
      </c>
      <c r="B12" s="249">
        <v>11</v>
      </c>
      <c r="C12" s="162">
        <v>4</v>
      </c>
      <c r="D12" s="162">
        <v>6</v>
      </c>
      <c r="E12" s="162">
        <v>4</v>
      </c>
      <c r="F12" s="162">
        <v>7</v>
      </c>
      <c r="G12" s="162">
        <v>5</v>
      </c>
      <c r="H12" s="162">
        <v>9</v>
      </c>
      <c r="I12" s="162">
        <v>12</v>
      </c>
      <c r="J12" s="162">
        <v>14</v>
      </c>
      <c r="K12" s="162">
        <v>5</v>
      </c>
      <c r="L12" s="162">
        <v>7</v>
      </c>
      <c r="M12" s="162">
        <v>9</v>
      </c>
      <c r="N12" s="162">
        <v>5</v>
      </c>
      <c r="O12" s="162">
        <v>19</v>
      </c>
      <c r="P12" s="162">
        <v>11</v>
      </c>
      <c r="Q12" s="162">
        <v>7</v>
      </c>
      <c r="R12" s="162">
        <v>11</v>
      </c>
      <c r="S12" s="162">
        <v>6</v>
      </c>
      <c r="T12" s="162">
        <v>6</v>
      </c>
      <c r="U12" s="162">
        <v>9</v>
      </c>
      <c r="V12" s="162">
        <v>2</v>
      </c>
      <c r="W12" s="162">
        <v>7</v>
      </c>
      <c r="X12" s="162">
        <v>8</v>
      </c>
      <c r="Y12" s="162">
        <v>4</v>
      </c>
      <c r="Z12" s="162">
        <v>4</v>
      </c>
      <c r="AA12" s="162">
        <v>1</v>
      </c>
      <c r="AB12" s="162">
        <v>5</v>
      </c>
      <c r="AC12" s="162">
        <v>16</v>
      </c>
      <c r="AD12" s="162">
        <v>8</v>
      </c>
      <c r="AE12" s="162">
        <v>5</v>
      </c>
      <c r="AF12" s="161">
        <v>10</v>
      </c>
      <c r="AG12" s="64">
        <f t="shared" si="2"/>
        <v>237</v>
      </c>
    </row>
    <row r="13" spans="1:33" ht="18.75" x14ac:dyDescent="0.25">
      <c r="A13" s="301" t="s">
        <v>135</v>
      </c>
      <c r="B13" s="249">
        <v>20</v>
      </c>
      <c r="C13" s="162">
        <v>49</v>
      </c>
      <c r="D13" s="162">
        <v>51</v>
      </c>
      <c r="E13" s="162">
        <v>33</v>
      </c>
      <c r="F13" s="162">
        <v>36</v>
      </c>
      <c r="G13" s="162">
        <v>40</v>
      </c>
      <c r="H13" s="162">
        <v>9</v>
      </c>
      <c r="I13" s="162">
        <v>7</v>
      </c>
      <c r="J13" s="162">
        <v>39</v>
      </c>
      <c r="K13" s="162">
        <v>37</v>
      </c>
      <c r="L13" s="162">
        <v>31</v>
      </c>
      <c r="M13" s="162">
        <v>46</v>
      </c>
      <c r="N13" s="162">
        <v>33</v>
      </c>
      <c r="O13" s="162">
        <v>6</v>
      </c>
      <c r="P13" s="162">
        <v>16</v>
      </c>
      <c r="Q13" s="162">
        <v>36</v>
      </c>
      <c r="R13" s="162">
        <v>41</v>
      </c>
      <c r="S13" s="162">
        <v>41</v>
      </c>
      <c r="T13" s="162">
        <v>41</v>
      </c>
      <c r="U13" s="162">
        <v>16</v>
      </c>
      <c r="V13" s="162">
        <v>15</v>
      </c>
      <c r="W13" s="162">
        <v>16</v>
      </c>
      <c r="X13" s="162">
        <v>54</v>
      </c>
      <c r="Y13" s="162">
        <v>26</v>
      </c>
      <c r="Z13" s="162">
        <v>38</v>
      </c>
      <c r="AA13" s="162">
        <v>37</v>
      </c>
      <c r="AB13" s="162">
        <v>40</v>
      </c>
      <c r="AC13" s="162">
        <v>12</v>
      </c>
      <c r="AD13" s="162">
        <v>12</v>
      </c>
      <c r="AE13" s="162">
        <v>48</v>
      </c>
      <c r="AF13" s="161">
        <v>46</v>
      </c>
      <c r="AG13" s="64">
        <f t="shared" si="2"/>
        <v>972</v>
      </c>
    </row>
    <row r="14" spans="1:33" ht="18.75" x14ac:dyDescent="0.25">
      <c r="A14" s="301" t="s">
        <v>134</v>
      </c>
      <c r="B14" s="249">
        <v>7</v>
      </c>
      <c r="C14" s="162">
        <v>25</v>
      </c>
      <c r="D14" s="162">
        <v>18</v>
      </c>
      <c r="E14" s="162">
        <v>11</v>
      </c>
      <c r="F14" s="162">
        <v>10</v>
      </c>
      <c r="G14" s="162">
        <v>15</v>
      </c>
      <c r="H14" s="162">
        <v>17</v>
      </c>
      <c r="I14" s="162">
        <v>12</v>
      </c>
      <c r="J14" s="162">
        <v>24</v>
      </c>
      <c r="K14" s="162">
        <v>13</v>
      </c>
      <c r="L14" s="162">
        <v>16</v>
      </c>
      <c r="M14" s="162">
        <v>7</v>
      </c>
      <c r="N14" s="162">
        <v>18</v>
      </c>
      <c r="O14" s="162">
        <v>8</v>
      </c>
      <c r="P14" s="162">
        <v>6</v>
      </c>
      <c r="Q14" s="162">
        <v>21</v>
      </c>
      <c r="R14" s="162">
        <v>21</v>
      </c>
      <c r="S14" s="162">
        <v>12</v>
      </c>
      <c r="T14" s="162">
        <v>19</v>
      </c>
      <c r="U14" s="162">
        <v>11</v>
      </c>
      <c r="V14" s="162">
        <v>8</v>
      </c>
      <c r="W14" s="162">
        <v>11</v>
      </c>
      <c r="X14" s="162">
        <v>23</v>
      </c>
      <c r="Y14" s="162">
        <v>17</v>
      </c>
      <c r="Z14" s="162">
        <v>15</v>
      </c>
      <c r="AA14" s="162">
        <v>18</v>
      </c>
      <c r="AB14" s="162">
        <v>9</v>
      </c>
      <c r="AC14" s="162">
        <v>6</v>
      </c>
      <c r="AD14" s="162">
        <v>8</v>
      </c>
      <c r="AE14" s="162">
        <v>23</v>
      </c>
      <c r="AF14" s="161">
        <v>16</v>
      </c>
      <c r="AG14" s="64">
        <f t="shared" si="2"/>
        <v>445</v>
      </c>
    </row>
    <row r="15" spans="1:33" ht="18.75" x14ac:dyDescent="0.25">
      <c r="A15" s="301" t="s">
        <v>133</v>
      </c>
      <c r="B15" s="249">
        <v>9</v>
      </c>
      <c r="C15" s="162">
        <v>10</v>
      </c>
      <c r="D15" s="162">
        <v>14</v>
      </c>
      <c r="E15" s="162">
        <v>12</v>
      </c>
      <c r="F15" s="162">
        <v>9</v>
      </c>
      <c r="G15" s="162">
        <v>6</v>
      </c>
      <c r="H15" s="162">
        <v>10</v>
      </c>
      <c r="I15" s="162">
        <v>8</v>
      </c>
      <c r="J15" s="162">
        <v>21</v>
      </c>
      <c r="K15" s="162">
        <v>15</v>
      </c>
      <c r="L15" s="162">
        <v>19</v>
      </c>
      <c r="M15" s="162">
        <v>11</v>
      </c>
      <c r="N15" s="162">
        <v>16</v>
      </c>
      <c r="O15" s="162">
        <v>11</v>
      </c>
      <c r="P15" s="162">
        <v>9</v>
      </c>
      <c r="Q15" s="162">
        <v>18</v>
      </c>
      <c r="R15" s="162">
        <v>12</v>
      </c>
      <c r="S15" s="162">
        <v>10</v>
      </c>
      <c r="T15" s="162">
        <v>14</v>
      </c>
      <c r="U15" s="162">
        <v>17</v>
      </c>
      <c r="V15" s="162">
        <v>9</v>
      </c>
      <c r="W15" s="162">
        <v>13</v>
      </c>
      <c r="X15" s="162">
        <v>12</v>
      </c>
      <c r="Y15" s="162">
        <v>14</v>
      </c>
      <c r="Z15" s="162">
        <v>16</v>
      </c>
      <c r="AA15" s="162">
        <v>13</v>
      </c>
      <c r="AB15" s="162">
        <v>8</v>
      </c>
      <c r="AC15" s="162">
        <v>9</v>
      </c>
      <c r="AD15" s="162">
        <v>10</v>
      </c>
      <c r="AE15" s="162">
        <v>9</v>
      </c>
      <c r="AF15" s="161">
        <v>8</v>
      </c>
      <c r="AG15" s="64">
        <f t="shared" si="2"/>
        <v>372</v>
      </c>
    </row>
    <row r="16" spans="1:33" ht="18.75" x14ac:dyDescent="0.25">
      <c r="A16" s="301" t="s">
        <v>132</v>
      </c>
      <c r="B16" s="249">
        <v>8</v>
      </c>
      <c r="C16" s="162">
        <v>8</v>
      </c>
      <c r="D16" s="162">
        <v>13</v>
      </c>
      <c r="E16" s="162">
        <v>11</v>
      </c>
      <c r="F16" s="162">
        <v>7</v>
      </c>
      <c r="G16" s="162">
        <v>9</v>
      </c>
      <c r="H16" s="162">
        <v>5</v>
      </c>
      <c r="I16" s="162">
        <v>9</v>
      </c>
      <c r="J16" s="162">
        <v>12</v>
      </c>
      <c r="K16" s="162">
        <v>14</v>
      </c>
      <c r="L16" s="162">
        <v>18</v>
      </c>
      <c r="M16" s="162">
        <v>17</v>
      </c>
      <c r="N16" s="162">
        <v>12</v>
      </c>
      <c r="O16" s="162">
        <v>8</v>
      </c>
      <c r="P16" s="162">
        <v>15</v>
      </c>
      <c r="Q16" s="162">
        <v>10</v>
      </c>
      <c r="R16" s="162">
        <v>7</v>
      </c>
      <c r="S16" s="162">
        <v>19</v>
      </c>
      <c r="T16" s="162">
        <v>8</v>
      </c>
      <c r="U16" s="162">
        <v>8</v>
      </c>
      <c r="V16" s="162">
        <v>1</v>
      </c>
      <c r="W16" s="162">
        <v>9</v>
      </c>
      <c r="X16" s="162">
        <v>10</v>
      </c>
      <c r="Y16" s="162">
        <v>12</v>
      </c>
      <c r="Z16" s="162">
        <v>10</v>
      </c>
      <c r="AA16" s="162">
        <v>8</v>
      </c>
      <c r="AB16" s="162">
        <v>6</v>
      </c>
      <c r="AC16" s="162">
        <v>6</v>
      </c>
      <c r="AD16" s="162">
        <v>6</v>
      </c>
      <c r="AE16" s="162">
        <v>20</v>
      </c>
      <c r="AF16" s="161">
        <v>18</v>
      </c>
      <c r="AG16" s="64">
        <f t="shared" si="2"/>
        <v>324</v>
      </c>
    </row>
    <row r="17" spans="1:33" ht="18.75" x14ac:dyDescent="0.25">
      <c r="A17" s="301" t="s">
        <v>131</v>
      </c>
      <c r="B17" s="249">
        <v>6</v>
      </c>
      <c r="C17" s="162">
        <v>13</v>
      </c>
      <c r="D17" s="162">
        <v>8</v>
      </c>
      <c r="E17" s="162">
        <v>12</v>
      </c>
      <c r="F17" s="162">
        <v>8</v>
      </c>
      <c r="G17" s="162">
        <v>6</v>
      </c>
      <c r="H17" s="162">
        <v>5</v>
      </c>
      <c r="I17" s="162">
        <v>7</v>
      </c>
      <c r="J17" s="162">
        <v>16</v>
      </c>
      <c r="K17" s="162">
        <v>14</v>
      </c>
      <c r="L17" s="162">
        <v>12</v>
      </c>
      <c r="M17" s="162">
        <v>5</v>
      </c>
      <c r="N17" s="162">
        <v>6</v>
      </c>
      <c r="O17" s="162">
        <v>9</v>
      </c>
      <c r="P17" s="162">
        <v>4</v>
      </c>
      <c r="Q17" s="162">
        <v>13</v>
      </c>
      <c r="R17" s="162">
        <v>9</v>
      </c>
      <c r="S17" s="162">
        <v>6</v>
      </c>
      <c r="T17" s="162">
        <v>9</v>
      </c>
      <c r="U17" s="162">
        <v>12</v>
      </c>
      <c r="V17" s="162">
        <v>6</v>
      </c>
      <c r="W17" s="162">
        <v>4</v>
      </c>
      <c r="X17" s="162">
        <v>17</v>
      </c>
      <c r="Y17" s="162">
        <v>9</v>
      </c>
      <c r="Z17" s="162">
        <v>14</v>
      </c>
      <c r="AA17" s="162">
        <v>11</v>
      </c>
      <c r="AB17" s="162">
        <v>3</v>
      </c>
      <c r="AC17" s="162">
        <v>4</v>
      </c>
      <c r="AD17" s="162">
        <v>11</v>
      </c>
      <c r="AE17" s="162">
        <v>16</v>
      </c>
      <c r="AF17" s="161">
        <v>14</v>
      </c>
      <c r="AG17" s="64">
        <f t="shared" si="2"/>
        <v>289</v>
      </c>
    </row>
    <row r="18" spans="1:33" ht="18.75" x14ac:dyDescent="0.25">
      <c r="A18" s="301" t="s">
        <v>130</v>
      </c>
      <c r="B18" s="249">
        <v>13</v>
      </c>
      <c r="C18" s="162">
        <v>4</v>
      </c>
      <c r="D18" s="162">
        <v>7</v>
      </c>
      <c r="E18" s="162">
        <v>6</v>
      </c>
      <c r="F18" s="162">
        <v>6</v>
      </c>
      <c r="G18" s="162">
        <v>8</v>
      </c>
      <c r="H18" s="162">
        <v>6</v>
      </c>
      <c r="I18" s="162">
        <v>6</v>
      </c>
      <c r="J18" s="162">
        <v>12</v>
      </c>
      <c r="K18" s="162">
        <v>7</v>
      </c>
      <c r="L18" s="162"/>
      <c r="M18" s="162">
        <v>5</v>
      </c>
      <c r="N18" s="162">
        <v>9</v>
      </c>
      <c r="O18" s="162">
        <v>4</v>
      </c>
      <c r="P18" s="162">
        <v>7</v>
      </c>
      <c r="Q18" s="162">
        <v>9</v>
      </c>
      <c r="R18" s="162">
        <v>2</v>
      </c>
      <c r="S18" s="162">
        <v>8</v>
      </c>
      <c r="T18" s="162">
        <v>2</v>
      </c>
      <c r="U18" s="162">
        <v>8</v>
      </c>
      <c r="V18" s="162">
        <v>5</v>
      </c>
      <c r="W18" s="162">
        <v>5</v>
      </c>
      <c r="X18" s="162">
        <v>3</v>
      </c>
      <c r="Y18" s="162">
        <v>5</v>
      </c>
      <c r="Z18" s="162">
        <v>13</v>
      </c>
      <c r="AA18" s="162">
        <v>6</v>
      </c>
      <c r="AB18" s="162">
        <v>5</v>
      </c>
      <c r="AC18" s="162">
        <v>5</v>
      </c>
      <c r="AD18" s="162">
        <v>4</v>
      </c>
      <c r="AE18" s="162">
        <v>8</v>
      </c>
      <c r="AF18" s="161">
        <v>9</v>
      </c>
      <c r="AG18" s="64">
        <f t="shared" si="2"/>
        <v>197</v>
      </c>
    </row>
    <row r="19" spans="1:33" ht="18.75" x14ac:dyDescent="0.25">
      <c r="A19" s="301" t="s">
        <v>129</v>
      </c>
      <c r="B19" s="249">
        <v>3</v>
      </c>
      <c r="C19" s="162">
        <v>7</v>
      </c>
      <c r="D19" s="162">
        <v>4</v>
      </c>
      <c r="E19" s="162">
        <v>4</v>
      </c>
      <c r="F19" s="162">
        <v>4</v>
      </c>
      <c r="G19" s="162">
        <v>6</v>
      </c>
      <c r="H19" s="162">
        <v>3</v>
      </c>
      <c r="I19" s="162">
        <v>3</v>
      </c>
      <c r="J19" s="162">
        <v>5</v>
      </c>
      <c r="K19" s="162">
        <v>2</v>
      </c>
      <c r="L19" s="162">
        <v>2</v>
      </c>
      <c r="M19" s="162">
        <v>4</v>
      </c>
      <c r="N19" s="162">
        <v>3</v>
      </c>
      <c r="O19" s="162">
        <v>4</v>
      </c>
      <c r="P19" s="162">
        <v>4</v>
      </c>
      <c r="Q19" s="162">
        <v>3</v>
      </c>
      <c r="R19" s="162">
        <v>5</v>
      </c>
      <c r="S19" s="162">
        <v>2</v>
      </c>
      <c r="T19" s="162">
        <v>6</v>
      </c>
      <c r="U19" s="162">
        <v>2</v>
      </c>
      <c r="V19" s="162"/>
      <c r="W19" s="162">
        <v>3</v>
      </c>
      <c r="X19" s="162">
        <v>3</v>
      </c>
      <c r="Y19" s="162">
        <v>2</v>
      </c>
      <c r="Z19" s="162">
        <v>5</v>
      </c>
      <c r="AA19" s="162">
        <v>8</v>
      </c>
      <c r="AB19" s="162">
        <v>4</v>
      </c>
      <c r="AC19" s="162">
        <v>8</v>
      </c>
      <c r="AD19" s="162">
        <v>3</v>
      </c>
      <c r="AE19" s="162">
        <v>10</v>
      </c>
      <c r="AF19" s="161">
        <v>7</v>
      </c>
      <c r="AG19" s="64">
        <f t="shared" si="2"/>
        <v>129</v>
      </c>
    </row>
    <row r="20" spans="1:33" ht="18.75" x14ac:dyDescent="0.25">
      <c r="A20" s="301" t="s">
        <v>128</v>
      </c>
      <c r="B20" s="249">
        <v>3</v>
      </c>
      <c r="C20" s="162">
        <v>1</v>
      </c>
      <c r="D20" s="162">
        <v>1</v>
      </c>
      <c r="E20" s="162">
        <v>2</v>
      </c>
      <c r="F20" s="162">
        <v>2</v>
      </c>
      <c r="G20" s="162">
        <v>2</v>
      </c>
      <c r="H20" s="162">
        <v>3</v>
      </c>
      <c r="I20" s="162">
        <v>1</v>
      </c>
      <c r="J20" s="162"/>
      <c r="K20" s="162">
        <v>2</v>
      </c>
      <c r="L20" s="162">
        <v>5</v>
      </c>
      <c r="M20" s="162">
        <v>3</v>
      </c>
      <c r="N20" s="162">
        <v>4</v>
      </c>
      <c r="O20" s="162">
        <v>1</v>
      </c>
      <c r="P20" s="162">
        <v>6</v>
      </c>
      <c r="Q20" s="162">
        <v>3</v>
      </c>
      <c r="R20" s="162">
        <v>2</v>
      </c>
      <c r="S20" s="162">
        <v>4</v>
      </c>
      <c r="T20" s="162">
        <v>4</v>
      </c>
      <c r="U20" s="162">
        <v>5</v>
      </c>
      <c r="V20" s="162">
        <v>5</v>
      </c>
      <c r="W20" s="162">
        <v>4</v>
      </c>
      <c r="X20" s="162">
        <v>2</v>
      </c>
      <c r="Y20" s="162">
        <v>3</v>
      </c>
      <c r="Z20" s="162">
        <v>4</v>
      </c>
      <c r="AA20" s="162">
        <v>3</v>
      </c>
      <c r="AB20" s="162">
        <v>2</v>
      </c>
      <c r="AC20" s="162">
        <v>4</v>
      </c>
      <c r="AD20" s="162">
        <v>1</v>
      </c>
      <c r="AE20" s="162">
        <v>2</v>
      </c>
      <c r="AF20" s="161">
        <v>1</v>
      </c>
      <c r="AG20" s="64">
        <f t="shared" si="2"/>
        <v>85</v>
      </c>
    </row>
    <row r="21" spans="1:33" ht="18.75" x14ac:dyDescent="0.25">
      <c r="A21" s="301" t="s">
        <v>127</v>
      </c>
      <c r="B21" s="249">
        <v>1</v>
      </c>
      <c r="C21" s="162">
        <v>1</v>
      </c>
      <c r="D21" s="162">
        <v>2</v>
      </c>
      <c r="E21" s="162">
        <v>1</v>
      </c>
      <c r="F21" s="162">
        <v>2</v>
      </c>
      <c r="G21" s="162"/>
      <c r="H21" s="162"/>
      <c r="I21" s="162">
        <v>3</v>
      </c>
      <c r="J21" s="162">
        <v>3</v>
      </c>
      <c r="K21" s="162"/>
      <c r="L21" s="162">
        <v>3</v>
      </c>
      <c r="M21" s="162">
        <v>4</v>
      </c>
      <c r="N21" s="162">
        <v>2</v>
      </c>
      <c r="O21" s="162">
        <v>2</v>
      </c>
      <c r="P21" s="162"/>
      <c r="Q21" s="162"/>
      <c r="R21" s="162">
        <v>1</v>
      </c>
      <c r="S21" s="162">
        <v>1</v>
      </c>
      <c r="T21" s="162">
        <v>2</v>
      </c>
      <c r="U21" s="162">
        <v>2</v>
      </c>
      <c r="V21" s="162"/>
      <c r="W21" s="162">
        <v>1</v>
      </c>
      <c r="X21" s="162">
        <v>1</v>
      </c>
      <c r="Y21" s="162"/>
      <c r="Z21" s="162"/>
      <c r="AA21" s="162">
        <v>1</v>
      </c>
      <c r="AB21" s="162">
        <v>5</v>
      </c>
      <c r="AC21" s="162">
        <v>2</v>
      </c>
      <c r="AD21" s="162"/>
      <c r="AE21" s="162"/>
      <c r="AF21" s="161">
        <v>1</v>
      </c>
      <c r="AG21" s="64">
        <f t="shared" si="2"/>
        <v>41</v>
      </c>
    </row>
    <row r="22" spans="1:33" ht="18.75" x14ac:dyDescent="0.25">
      <c r="A22" s="301" t="s">
        <v>126</v>
      </c>
      <c r="B22" s="249">
        <v>1</v>
      </c>
      <c r="C22" s="162">
        <v>1</v>
      </c>
      <c r="D22" s="162"/>
      <c r="E22" s="162">
        <v>1</v>
      </c>
      <c r="F22" s="162">
        <v>3</v>
      </c>
      <c r="G22" s="162">
        <v>1</v>
      </c>
      <c r="H22" s="162">
        <v>1</v>
      </c>
      <c r="I22" s="162"/>
      <c r="J22" s="162">
        <v>1</v>
      </c>
      <c r="K22" s="162">
        <v>4</v>
      </c>
      <c r="L22" s="162">
        <v>1</v>
      </c>
      <c r="M22" s="162"/>
      <c r="N22" s="162">
        <v>1</v>
      </c>
      <c r="O22" s="162">
        <v>1</v>
      </c>
      <c r="P22" s="162"/>
      <c r="Q22" s="162"/>
      <c r="R22" s="162">
        <v>2</v>
      </c>
      <c r="S22" s="162">
        <v>1</v>
      </c>
      <c r="T22" s="162">
        <v>1</v>
      </c>
      <c r="U22" s="162">
        <v>2</v>
      </c>
      <c r="V22" s="162">
        <v>1</v>
      </c>
      <c r="W22" s="162">
        <v>2</v>
      </c>
      <c r="X22" s="162">
        <v>1</v>
      </c>
      <c r="Y22" s="162">
        <v>2</v>
      </c>
      <c r="Z22" s="162">
        <v>1</v>
      </c>
      <c r="AA22" s="162">
        <v>2</v>
      </c>
      <c r="AB22" s="162">
        <v>1</v>
      </c>
      <c r="AC22" s="162">
        <v>3</v>
      </c>
      <c r="AD22" s="162"/>
      <c r="AE22" s="162">
        <v>2</v>
      </c>
      <c r="AF22" s="161">
        <v>2</v>
      </c>
      <c r="AG22" s="64">
        <f t="shared" si="2"/>
        <v>39</v>
      </c>
    </row>
    <row r="23" spans="1:33" ht="18.75" x14ac:dyDescent="0.25">
      <c r="A23" s="301" t="s">
        <v>125</v>
      </c>
      <c r="B23" s="249"/>
      <c r="C23" s="162">
        <v>1</v>
      </c>
      <c r="D23" s="162">
        <v>2</v>
      </c>
      <c r="E23" s="162"/>
      <c r="F23" s="162"/>
      <c r="G23" s="162">
        <v>1</v>
      </c>
      <c r="H23" s="162">
        <v>1</v>
      </c>
      <c r="I23" s="162"/>
      <c r="J23" s="162"/>
      <c r="K23" s="162"/>
      <c r="L23" s="162">
        <v>1</v>
      </c>
      <c r="M23" s="162">
        <v>1</v>
      </c>
      <c r="N23" s="162"/>
      <c r="O23" s="162">
        <v>1</v>
      </c>
      <c r="P23" s="162">
        <v>1</v>
      </c>
      <c r="Q23" s="162">
        <v>1</v>
      </c>
      <c r="R23" s="162">
        <v>1</v>
      </c>
      <c r="S23" s="162"/>
      <c r="T23" s="162">
        <v>1</v>
      </c>
      <c r="U23" s="162">
        <v>1</v>
      </c>
      <c r="V23" s="162">
        <v>2</v>
      </c>
      <c r="W23" s="162"/>
      <c r="X23" s="162"/>
      <c r="Y23" s="162"/>
      <c r="Z23" s="162"/>
      <c r="AA23" s="162"/>
      <c r="AB23" s="162">
        <v>1</v>
      </c>
      <c r="AC23" s="162">
        <v>1</v>
      </c>
      <c r="AD23" s="162">
        <v>2</v>
      </c>
      <c r="AE23" s="162"/>
      <c r="AF23" s="161">
        <v>1</v>
      </c>
      <c r="AG23" s="64">
        <f t="shared" si="2"/>
        <v>20</v>
      </c>
    </row>
    <row r="24" spans="1:33" ht="18.75" x14ac:dyDescent="0.25">
      <c r="A24" s="301" t="s">
        <v>124</v>
      </c>
      <c r="B24" s="249">
        <v>2</v>
      </c>
      <c r="C24" s="162">
        <v>2</v>
      </c>
      <c r="D24" s="162">
        <v>5</v>
      </c>
      <c r="E24" s="162">
        <v>1</v>
      </c>
      <c r="F24" s="162"/>
      <c r="G24" s="162"/>
      <c r="H24" s="162"/>
      <c r="I24" s="162">
        <v>1</v>
      </c>
      <c r="J24" s="162"/>
      <c r="K24" s="162">
        <v>2</v>
      </c>
      <c r="L24" s="162">
        <v>3</v>
      </c>
      <c r="M24" s="162">
        <v>1</v>
      </c>
      <c r="N24" s="162"/>
      <c r="O24" s="162">
        <v>1</v>
      </c>
      <c r="P24" s="162"/>
      <c r="Q24" s="162"/>
      <c r="R24" s="162">
        <v>3</v>
      </c>
      <c r="S24" s="162"/>
      <c r="T24" s="162"/>
      <c r="U24" s="162">
        <v>1</v>
      </c>
      <c r="V24" s="162">
        <v>1</v>
      </c>
      <c r="W24" s="162">
        <v>1</v>
      </c>
      <c r="X24" s="162">
        <v>1</v>
      </c>
      <c r="Y24" s="162"/>
      <c r="Z24" s="162"/>
      <c r="AA24" s="162">
        <v>1</v>
      </c>
      <c r="AB24" s="162">
        <v>1</v>
      </c>
      <c r="AC24" s="162">
        <v>1</v>
      </c>
      <c r="AD24" s="162">
        <v>2</v>
      </c>
      <c r="AE24" s="162"/>
      <c r="AF24" s="161">
        <v>1</v>
      </c>
      <c r="AG24" s="64">
        <f t="shared" si="2"/>
        <v>31</v>
      </c>
    </row>
    <row r="25" spans="1:33" ht="18.75" x14ac:dyDescent="0.25">
      <c r="A25" s="301" t="s">
        <v>123</v>
      </c>
      <c r="B25" s="249">
        <v>2</v>
      </c>
      <c r="C25" s="162"/>
      <c r="D25" s="162"/>
      <c r="E25" s="162"/>
      <c r="F25" s="162">
        <v>1</v>
      </c>
      <c r="G25" s="162">
        <v>1</v>
      </c>
      <c r="H25" s="162"/>
      <c r="I25" s="162"/>
      <c r="J25" s="162"/>
      <c r="K25" s="162"/>
      <c r="L25" s="162">
        <v>2</v>
      </c>
      <c r="M25" s="162">
        <v>1</v>
      </c>
      <c r="N25" s="162"/>
      <c r="O25" s="162"/>
      <c r="P25" s="162">
        <v>1</v>
      </c>
      <c r="Q25" s="162">
        <v>1</v>
      </c>
      <c r="R25" s="162"/>
      <c r="S25" s="162">
        <v>1</v>
      </c>
      <c r="T25" s="162"/>
      <c r="U25" s="162">
        <v>3</v>
      </c>
      <c r="V25" s="162">
        <v>3</v>
      </c>
      <c r="W25" s="162">
        <v>2</v>
      </c>
      <c r="X25" s="162"/>
      <c r="Y25" s="162">
        <v>1</v>
      </c>
      <c r="Z25" s="162"/>
      <c r="AA25" s="162"/>
      <c r="AB25" s="162">
        <v>4</v>
      </c>
      <c r="AC25" s="162"/>
      <c r="AD25" s="162">
        <v>1</v>
      </c>
      <c r="AE25" s="162"/>
      <c r="AF25" s="161"/>
      <c r="AG25" s="64">
        <f t="shared" si="2"/>
        <v>24</v>
      </c>
    </row>
    <row r="26" spans="1:33" ht="18.75" x14ac:dyDescent="0.25">
      <c r="A26" s="301" t="s">
        <v>122</v>
      </c>
      <c r="B26" s="249">
        <v>2</v>
      </c>
      <c r="C26" s="162">
        <v>1</v>
      </c>
      <c r="D26" s="162">
        <v>2</v>
      </c>
      <c r="E26" s="162">
        <v>2</v>
      </c>
      <c r="F26" s="162">
        <v>1</v>
      </c>
      <c r="G26" s="162">
        <v>1</v>
      </c>
      <c r="H26" s="162"/>
      <c r="I26" s="162">
        <v>1</v>
      </c>
      <c r="J26" s="162"/>
      <c r="K26" s="162"/>
      <c r="L26" s="162"/>
      <c r="M26" s="162">
        <v>1</v>
      </c>
      <c r="N26" s="162">
        <v>1</v>
      </c>
      <c r="O26" s="162"/>
      <c r="P26" s="162">
        <v>1</v>
      </c>
      <c r="Q26" s="162"/>
      <c r="R26" s="162">
        <v>1</v>
      </c>
      <c r="S26" s="162">
        <v>1</v>
      </c>
      <c r="T26" s="162">
        <v>1</v>
      </c>
      <c r="U26" s="162">
        <v>1</v>
      </c>
      <c r="V26" s="162">
        <v>1</v>
      </c>
      <c r="W26" s="162"/>
      <c r="X26" s="162">
        <v>1</v>
      </c>
      <c r="Y26" s="162">
        <v>1</v>
      </c>
      <c r="Z26" s="162">
        <v>2</v>
      </c>
      <c r="AA26" s="162"/>
      <c r="AB26" s="162"/>
      <c r="AC26" s="162">
        <v>2</v>
      </c>
      <c r="AD26" s="162">
        <v>1</v>
      </c>
      <c r="AE26" s="162">
        <v>3</v>
      </c>
      <c r="AF26" s="161">
        <v>2</v>
      </c>
      <c r="AG26" s="64">
        <f t="shared" si="2"/>
        <v>30</v>
      </c>
    </row>
    <row r="27" spans="1:33" ht="19.5" thickBot="1" x14ac:dyDescent="0.3">
      <c r="A27" s="302" t="s">
        <v>121</v>
      </c>
      <c r="B27" s="250"/>
      <c r="C27" s="212"/>
      <c r="D27" s="212"/>
      <c r="E27" s="212">
        <v>1</v>
      </c>
      <c r="F27" s="212"/>
      <c r="G27" s="212"/>
      <c r="H27" s="212">
        <v>1</v>
      </c>
      <c r="I27" s="212"/>
      <c r="J27" s="212"/>
      <c r="K27" s="212"/>
      <c r="L27" s="212"/>
      <c r="M27" s="212"/>
      <c r="N27" s="212">
        <v>1</v>
      </c>
      <c r="O27" s="212">
        <v>1</v>
      </c>
      <c r="P27" s="212"/>
      <c r="Q27" s="212">
        <v>1</v>
      </c>
      <c r="R27" s="212"/>
      <c r="S27" s="212"/>
      <c r="T27" s="212">
        <v>1</v>
      </c>
      <c r="U27" s="212">
        <v>1</v>
      </c>
      <c r="V27" s="212">
        <v>1</v>
      </c>
      <c r="W27" s="212"/>
      <c r="X27" s="212"/>
      <c r="Y27" s="212"/>
      <c r="Z27" s="212"/>
      <c r="AA27" s="212"/>
      <c r="AB27" s="212">
        <v>2</v>
      </c>
      <c r="AC27" s="212"/>
      <c r="AD27" s="212"/>
      <c r="AE27" s="212"/>
      <c r="AF27" s="211"/>
      <c r="AG27" s="64">
        <f t="shared" si="2"/>
        <v>10</v>
      </c>
    </row>
    <row r="28" spans="1:33" ht="18.75" x14ac:dyDescent="0.25">
      <c r="A28" s="303" t="s">
        <v>146</v>
      </c>
      <c r="B28" s="251">
        <f t="shared" ref="B28:AF28" si="3">SUM(B29:B52)</f>
        <v>175</v>
      </c>
      <c r="C28" s="209">
        <f t="shared" si="3"/>
        <v>156</v>
      </c>
      <c r="D28" s="209">
        <f t="shared" si="3"/>
        <v>161</v>
      </c>
      <c r="E28" s="209">
        <f t="shared" si="3"/>
        <v>129</v>
      </c>
      <c r="F28" s="209">
        <f t="shared" si="3"/>
        <v>117</v>
      </c>
      <c r="G28" s="209">
        <f t="shared" si="3"/>
        <v>123</v>
      </c>
      <c r="H28" s="209">
        <f t="shared" si="3"/>
        <v>138</v>
      </c>
      <c r="I28" s="209">
        <f t="shared" si="3"/>
        <v>120</v>
      </c>
      <c r="J28" s="209">
        <f t="shared" si="3"/>
        <v>178</v>
      </c>
      <c r="K28" s="209">
        <f t="shared" si="3"/>
        <v>141</v>
      </c>
      <c r="L28" s="209">
        <f t="shared" si="3"/>
        <v>143</v>
      </c>
      <c r="M28" s="209">
        <f t="shared" si="3"/>
        <v>135</v>
      </c>
      <c r="N28" s="209">
        <f t="shared" si="3"/>
        <v>124</v>
      </c>
      <c r="O28" s="209">
        <f t="shared" si="3"/>
        <v>140</v>
      </c>
      <c r="P28" s="209">
        <f t="shared" si="3"/>
        <v>144</v>
      </c>
      <c r="Q28" s="209">
        <f t="shared" si="3"/>
        <v>145</v>
      </c>
      <c r="R28" s="209">
        <f t="shared" si="3"/>
        <v>130</v>
      </c>
      <c r="S28" s="209">
        <f t="shared" si="3"/>
        <v>143</v>
      </c>
      <c r="T28" s="209">
        <f t="shared" si="3"/>
        <v>120</v>
      </c>
      <c r="U28" s="209">
        <f t="shared" si="3"/>
        <v>159</v>
      </c>
      <c r="V28" s="209">
        <f t="shared" si="3"/>
        <v>132</v>
      </c>
      <c r="W28" s="209">
        <f t="shared" si="3"/>
        <v>141</v>
      </c>
      <c r="X28" s="209">
        <f t="shared" si="3"/>
        <v>156</v>
      </c>
      <c r="Y28" s="209">
        <f t="shared" si="3"/>
        <v>118</v>
      </c>
      <c r="Z28" s="209">
        <f t="shared" si="3"/>
        <v>134</v>
      </c>
      <c r="AA28" s="209">
        <f t="shared" si="3"/>
        <v>120</v>
      </c>
      <c r="AB28" s="209">
        <f t="shared" si="3"/>
        <v>115</v>
      </c>
      <c r="AC28" s="209">
        <f t="shared" si="3"/>
        <v>150</v>
      </c>
      <c r="AD28" s="209">
        <f t="shared" si="3"/>
        <v>129</v>
      </c>
      <c r="AE28" s="209">
        <f t="shared" si="3"/>
        <v>169</v>
      </c>
      <c r="AF28" s="209">
        <f t="shared" si="3"/>
        <v>151</v>
      </c>
      <c r="AG28" s="164">
        <f t="shared" si="2"/>
        <v>4336</v>
      </c>
    </row>
    <row r="29" spans="1:33" ht="18.75" x14ac:dyDescent="0.25">
      <c r="A29" s="301" t="s">
        <v>144</v>
      </c>
      <c r="B29" s="249">
        <v>1</v>
      </c>
      <c r="C29" s="162"/>
      <c r="D29" s="162">
        <v>5</v>
      </c>
      <c r="E29" s="162">
        <v>1</v>
      </c>
      <c r="F29" s="162">
        <v>2</v>
      </c>
      <c r="G29" s="162"/>
      <c r="H29" s="162">
        <v>1</v>
      </c>
      <c r="I29" s="162"/>
      <c r="J29" s="162">
        <v>1</v>
      </c>
      <c r="K29" s="162">
        <v>1</v>
      </c>
      <c r="L29" s="162">
        <v>2</v>
      </c>
      <c r="M29" s="162">
        <v>2</v>
      </c>
      <c r="N29" s="162">
        <v>2</v>
      </c>
      <c r="O29" s="162">
        <v>4</v>
      </c>
      <c r="P29" s="162">
        <v>4</v>
      </c>
      <c r="Q29" s="162">
        <v>2</v>
      </c>
      <c r="R29" s="162">
        <v>2</v>
      </c>
      <c r="S29" s="162">
        <v>2</v>
      </c>
      <c r="T29" s="162">
        <v>1</v>
      </c>
      <c r="U29" s="162">
        <v>5</v>
      </c>
      <c r="V29" s="162">
        <v>1</v>
      </c>
      <c r="W29" s="162">
        <v>1</v>
      </c>
      <c r="X29" s="162">
        <v>1</v>
      </c>
      <c r="Y29" s="162">
        <v>1</v>
      </c>
      <c r="Z29" s="162"/>
      <c r="AA29" s="162">
        <v>1</v>
      </c>
      <c r="AB29" s="162">
        <v>1</v>
      </c>
      <c r="AC29" s="162">
        <v>2</v>
      </c>
      <c r="AD29" s="162">
        <v>1</v>
      </c>
      <c r="AE29" s="162">
        <v>1</v>
      </c>
      <c r="AF29" s="161">
        <v>4</v>
      </c>
      <c r="AG29" s="64">
        <f t="shared" si="2"/>
        <v>52</v>
      </c>
    </row>
    <row r="30" spans="1:33" ht="18.75" x14ac:dyDescent="0.25">
      <c r="A30" s="301" t="s">
        <v>143</v>
      </c>
      <c r="B30" s="249">
        <v>5</v>
      </c>
      <c r="C30" s="162">
        <v>6</v>
      </c>
      <c r="D30" s="162">
        <v>4</v>
      </c>
      <c r="E30" s="162">
        <v>3</v>
      </c>
      <c r="F30" s="162">
        <v>5</v>
      </c>
      <c r="G30" s="162">
        <v>4</v>
      </c>
      <c r="H30" s="162">
        <v>2</v>
      </c>
      <c r="I30" s="162">
        <v>2</v>
      </c>
      <c r="J30" s="162">
        <v>6</v>
      </c>
      <c r="K30" s="162">
        <v>4</v>
      </c>
      <c r="L30" s="162">
        <v>3</v>
      </c>
      <c r="M30" s="162">
        <v>3</v>
      </c>
      <c r="N30" s="162">
        <v>2</v>
      </c>
      <c r="O30" s="162">
        <v>7</v>
      </c>
      <c r="P30" s="162">
        <v>3</v>
      </c>
      <c r="Q30" s="162">
        <v>4</v>
      </c>
      <c r="R30" s="162">
        <v>3</v>
      </c>
      <c r="S30" s="162">
        <v>1</v>
      </c>
      <c r="T30" s="162">
        <v>2</v>
      </c>
      <c r="U30" s="162">
        <v>5</v>
      </c>
      <c r="V30" s="162">
        <v>6</v>
      </c>
      <c r="W30" s="162">
        <v>3</v>
      </c>
      <c r="X30" s="162">
        <v>7</v>
      </c>
      <c r="Y30" s="162">
        <v>3</v>
      </c>
      <c r="Z30" s="162">
        <v>3</v>
      </c>
      <c r="AA30" s="162">
        <v>1</v>
      </c>
      <c r="AB30" s="162">
        <v>4</v>
      </c>
      <c r="AC30" s="162">
        <v>9</v>
      </c>
      <c r="AD30" s="162">
        <v>5</v>
      </c>
      <c r="AE30" s="162">
        <v>8</v>
      </c>
      <c r="AF30" s="161">
        <v>4</v>
      </c>
      <c r="AG30" s="64">
        <f t="shared" si="2"/>
        <v>127</v>
      </c>
    </row>
    <row r="31" spans="1:33" ht="18.75" x14ac:dyDescent="0.25">
      <c r="A31" s="301" t="s">
        <v>142</v>
      </c>
      <c r="B31" s="249">
        <v>5</v>
      </c>
      <c r="C31" s="162">
        <v>4</v>
      </c>
      <c r="D31" s="162">
        <v>2</v>
      </c>
      <c r="E31" s="162">
        <v>7</v>
      </c>
      <c r="F31" s="162">
        <v>4</v>
      </c>
      <c r="G31" s="162">
        <v>2</v>
      </c>
      <c r="H31" s="162">
        <v>7</v>
      </c>
      <c r="I31" s="162">
        <v>7</v>
      </c>
      <c r="J31" s="162">
        <v>3</v>
      </c>
      <c r="K31" s="162">
        <v>5</v>
      </c>
      <c r="L31" s="162">
        <v>2</v>
      </c>
      <c r="M31" s="162">
        <v>7</v>
      </c>
      <c r="N31" s="162">
        <v>1</v>
      </c>
      <c r="O31" s="162">
        <v>8</v>
      </c>
      <c r="P31" s="162">
        <v>11</v>
      </c>
      <c r="Q31" s="162">
        <v>2</v>
      </c>
      <c r="R31" s="162">
        <v>6</v>
      </c>
      <c r="S31" s="162">
        <v>6</v>
      </c>
      <c r="T31" s="162">
        <v>2</v>
      </c>
      <c r="U31" s="162">
        <v>5</v>
      </c>
      <c r="V31" s="162">
        <v>11</v>
      </c>
      <c r="W31" s="162">
        <v>8</v>
      </c>
      <c r="X31" s="162">
        <v>8</v>
      </c>
      <c r="Y31" s="162">
        <v>3</v>
      </c>
      <c r="Z31" s="162">
        <v>2</v>
      </c>
      <c r="AA31" s="162">
        <v>5</v>
      </c>
      <c r="AB31" s="162">
        <v>3</v>
      </c>
      <c r="AC31" s="162">
        <v>6</v>
      </c>
      <c r="AD31" s="162">
        <v>8</v>
      </c>
      <c r="AE31" s="162">
        <v>7</v>
      </c>
      <c r="AF31" s="161">
        <v>5</v>
      </c>
      <c r="AG31" s="64">
        <f t="shared" si="2"/>
        <v>162</v>
      </c>
    </row>
    <row r="32" spans="1:33" ht="18.75" x14ac:dyDescent="0.25">
      <c r="A32" s="301" t="s">
        <v>141</v>
      </c>
      <c r="B32" s="249">
        <v>16</v>
      </c>
      <c r="C32" s="162">
        <v>4</v>
      </c>
      <c r="D32" s="162">
        <v>4</v>
      </c>
      <c r="E32" s="162">
        <v>4</v>
      </c>
      <c r="F32" s="162">
        <v>1</v>
      </c>
      <c r="G32" s="162">
        <v>3</v>
      </c>
      <c r="H32" s="162">
        <v>11</v>
      </c>
      <c r="I32" s="162">
        <v>7</v>
      </c>
      <c r="J32" s="162">
        <v>6</v>
      </c>
      <c r="K32" s="162">
        <v>2</v>
      </c>
      <c r="L32" s="162">
        <v>5</v>
      </c>
      <c r="M32" s="162">
        <v>1</v>
      </c>
      <c r="N32" s="162">
        <v>1</v>
      </c>
      <c r="O32" s="162">
        <v>13</v>
      </c>
      <c r="P32" s="162">
        <v>9</v>
      </c>
      <c r="Q32" s="162">
        <v>4</v>
      </c>
      <c r="R32" s="162"/>
      <c r="S32" s="162">
        <v>2</v>
      </c>
      <c r="T32" s="162">
        <v>1</v>
      </c>
      <c r="U32" s="162">
        <v>7</v>
      </c>
      <c r="V32" s="162">
        <v>15</v>
      </c>
      <c r="W32" s="162">
        <v>10</v>
      </c>
      <c r="X32" s="162">
        <v>5</v>
      </c>
      <c r="Y32" s="162">
        <v>5</v>
      </c>
      <c r="Z32" s="162">
        <v>5</v>
      </c>
      <c r="AA32" s="162">
        <v>1</v>
      </c>
      <c r="AB32" s="162">
        <v>4</v>
      </c>
      <c r="AC32" s="162">
        <v>8</v>
      </c>
      <c r="AD32" s="162">
        <v>9</v>
      </c>
      <c r="AE32" s="162">
        <v>3</v>
      </c>
      <c r="AF32" s="161">
        <v>2</v>
      </c>
      <c r="AG32" s="64">
        <f t="shared" si="2"/>
        <v>168</v>
      </c>
    </row>
    <row r="33" spans="1:33" ht="18.75" x14ac:dyDescent="0.25">
      <c r="A33" s="301" t="s">
        <v>140</v>
      </c>
      <c r="B33" s="249">
        <v>7</v>
      </c>
      <c r="C33" s="162">
        <v>1</v>
      </c>
      <c r="D33" s="162">
        <v>5</v>
      </c>
      <c r="E33" s="162">
        <v>4</v>
      </c>
      <c r="F33" s="162">
        <v>4</v>
      </c>
      <c r="G33" s="162">
        <v>5</v>
      </c>
      <c r="H33" s="162">
        <v>8</v>
      </c>
      <c r="I33" s="162">
        <v>8</v>
      </c>
      <c r="J33" s="162">
        <v>7</v>
      </c>
      <c r="K33" s="162">
        <v>4</v>
      </c>
      <c r="L33" s="162">
        <v>3</v>
      </c>
      <c r="M33" s="162">
        <v>1</v>
      </c>
      <c r="N33" s="162">
        <v>1</v>
      </c>
      <c r="O33" s="162">
        <v>4</v>
      </c>
      <c r="P33" s="162">
        <v>12</v>
      </c>
      <c r="Q33" s="162">
        <v>4</v>
      </c>
      <c r="R33" s="162">
        <v>2</v>
      </c>
      <c r="S33" s="162">
        <v>6</v>
      </c>
      <c r="T33" s="162">
        <v>2</v>
      </c>
      <c r="U33" s="162">
        <v>10</v>
      </c>
      <c r="V33" s="162">
        <v>13</v>
      </c>
      <c r="W33" s="162">
        <v>6</v>
      </c>
      <c r="X33" s="162">
        <v>2</v>
      </c>
      <c r="Y33" s="162">
        <v>1</v>
      </c>
      <c r="Z33" s="162">
        <v>4</v>
      </c>
      <c r="AA33" s="162">
        <v>4</v>
      </c>
      <c r="AB33" s="162">
        <v>3</v>
      </c>
      <c r="AC33" s="162">
        <v>15</v>
      </c>
      <c r="AD33" s="162">
        <v>6</v>
      </c>
      <c r="AE33" s="162">
        <v>2</v>
      </c>
      <c r="AF33" s="161">
        <v>3</v>
      </c>
      <c r="AG33" s="64">
        <f t="shared" si="2"/>
        <v>157</v>
      </c>
    </row>
    <row r="34" spans="1:33" ht="18.75" x14ac:dyDescent="0.25">
      <c r="A34" s="301" t="s">
        <v>139</v>
      </c>
      <c r="B34" s="249">
        <v>15</v>
      </c>
      <c r="C34" s="162">
        <v>2</v>
      </c>
      <c r="D34" s="162">
        <v>8</v>
      </c>
      <c r="E34" s="162"/>
      <c r="F34" s="162">
        <v>3</v>
      </c>
      <c r="G34" s="162">
        <v>6</v>
      </c>
      <c r="H34" s="162">
        <v>18</v>
      </c>
      <c r="I34" s="162">
        <v>7</v>
      </c>
      <c r="J34" s="162">
        <v>5</v>
      </c>
      <c r="K34" s="162">
        <v>2</v>
      </c>
      <c r="L34" s="162">
        <v>2</v>
      </c>
      <c r="M34" s="162"/>
      <c r="N34" s="162">
        <v>6</v>
      </c>
      <c r="O34" s="162">
        <v>9</v>
      </c>
      <c r="P34" s="162">
        <v>8</v>
      </c>
      <c r="Q34" s="162"/>
      <c r="R34" s="162"/>
      <c r="S34" s="162">
        <v>2</v>
      </c>
      <c r="T34" s="162">
        <v>1</v>
      </c>
      <c r="U34" s="162">
        <v>2</v>
      </c>
      <c r="V34" s="162">
        <v>9</v>
      </c>
      <c r="W34" s="162">
        <v>12</v>
      </c>
      <c r="X34" s="162">
        <v>2</v>
      </c>
      <c r="Y34" s="162">
        <v>7</v>
      </c>
      <c r="Z34" s="162">
        <v>3</v>
      </c>
      <c r="AA34" s="162">
        <v>1</v>
      </c>
      <c r="AB34" s="162">
        <v>1</v>
      </c>
      <c r="AC34" s="162">
        <v>8</v>
      </c>
      <c r="AD34" s="162">
        <v>11</v>
      </c>
      <c r="AE34" s="162"/>
      <c r="AF34" s="161">
        <v>3</v>
      </c>
      <c r="AG34" s="64">
        <f t="shared" si="2"/>
        <v>153</v>
      </c>
    </row>
    <row r="35" spans="1:33" ht="18.75" x14ac:dyDescent="0.25">
      <c r="A35" s="301" t="s">
        <v>138</v>
      </c>
      <c r="B35" s="249">
        <v>8</v>
      </c>
      <c r="C35" s="162">
        <v>3</v>
      </c>
      <c r="D35" s="162">
        <v>5</v>
      </c>
      <c r="E35" s="162">
        <v>5</v>
      </c>
      <c r="F35" s="162"/>
      <c r="G35" s="162">
        <v>4</v>
      </c>
      <c r="H35" s="162">
        <v>9</v>
      </c>
      <c r="I35" s="162">
        <v>2</v>
      </c>
      <c r="J35" s="162">
        <v>8</v>
      </c>
      <c r="K35" s="162">
        <v>3</v>
      </c>
      <c r="L35" s="162">
        <v>5</v>
      </c>
      <c r="M35" s="162">
        <v>8</v>
      </c>
      <c r="N35" s="162">
        <v>3</v>
      </c>
      <c r="O35" s="162">
        <v>6</v>
      </c>
      <c r="P35" s="162">
        <v>8</v>
      </c>
      <c r="Q35" s="162">
        <v>3</v>
      </c>
      <c r="R35" s="162">
        <v>4</v>
      </c>
      <c r="S35" s="162">
        <v>8</v>
      </c>
      <c r="T35" s="162">
        <v>1</v>
      </c>
      <c r="U35" s="162">
        <v>12</v>
      </c>
      <c r="V35" s="162">
        <v>6</v>
      </c>
      <c r="W35" s="162">
        <v>11</v>
      </c>
      <c r="X35" s="162">
        <v>1</v>
      </c>
      <c r="Y35" s="162">
        <v>1</v>
      </c>
      <c r="Z35" s="162">
        <v>3</v>
      </c>
      <c r="AA35" s="162"/>
      <c r="AB35" s="162">
        <v>2</v>
      </c>
      <c r="AC35" s="162">
        <v>9</v>
      </c>
      <c r="AD35" s="162">
        <v>10</v>
      </c>
      <c r="AE35" s="162">
        <v>4</v>
      </c>
      <c r="AF35" s="161">
        <v>1</v>
      </c>
      <c r="AG35" s="64">
        <f t="shared" si="2"/>
        <v>153</v>
      </c>
    </row>
    <row r="36" spans="1:33" ht="18.75" x14ac:dyDescent="0.25">
      <c r="A36" s="301" t="s">
        <v>137</v>
      </c>
      <c r="B36" s="249">
        <v>18</v>
      </c>
      <c r="C36" s="162">
        <v>10</v>
      </c>
      <c r="D36" s="162">
        <v>2</v>
      </c>
      <c r="E36" s="162">
        <v>3</v>
      </c>
      <c r="F36" s="162">
        <v>7</v>
      </c>
      <c r="G36" s="162"/>
      <c r="H36" s="162">
        <v>11</v>
      </c>
      <c r="I36" s="162">
        <v>16</v>
      </c>
      <c r="J36" s="162">
        <v>3</v>
      </c>
      <c r="K36" s="162">
        <v>5</v>
      </c>
      <c r="L36" s="162">
        <v>4</v>
      </c>
      <c r="M36" s="162">
        <v>5</v>
      </c>
      <c r="N36" s="162">
        <v>7</v>
      </c>
      <c r="O36" s="162">
        <v>13</v>
      </c>
      <c r="P36" s="162">
        <v>12</v>
      </c>
      <c r="Q36" s="162">
        <v>7</v>
      </c>
      <c r="R36" s="162">
        <v>3</v>
      </c>
      <c r="S36" s="162">
        <v>3</v>
      </c>
      <c r="T36" s="162">
        <v>1</v>
      </c>
      <c r="U36" s="162">
        <v>10</v>
      </c>
      <c r="V36" s="162">
        <v>6</v>
      </c>
      <c r="W36" s="162">
        <v>9</v>
      </c>
      <c r="X36" s="162">
        <v>3</v>
      </c>
      <c r="Y36" s="162">
        <v>4</v>
      </c>
      <c r="Z36" s="162">
        <v>2</v>
      </c>
      <c r="AA36" s="162">
        <v>2</v>
      </c>
      <c r="AB36" s="162">
        <v>1</v>
      </c>
      <c r="AC36" s="162">
        <v>13</v>
      </c>
      <c r="AD36" s="162">
        <v>7</v>
      </c>
      <c r="AE36" s="162">
        <v>6</v>
      </c>
      <c r="AF36" s="161">
        <v>2</v>
      </c>
      <c r="AG36" s="64">
        <f t="shared" si="2"/>
        <v>195</v>
      </c>
    </row>
    <row r="37" spans="1:33" ht="18.75" x14ac:dyDescent="0.25">
      <c r="A37" s="301" t="s">
        <v>136</v>
      </c>
      <c r="B37" s="249">
        <v>14</v>
      </c>
      <c r="C37" s="162">
        <v>8</v>
      </c>
      <c r="D37" s="162">
        <v>10</v>
      </c>
      <c r="E37" s="162">
        <v>6</v>
      </c>
      <c r="F37" s="162">
        <v>3</v>
      </c>
      <c r="G37" s="162">
        <v>2</v>
      </c>
      <c r="H37" s="162">
        <v>4</v>
      </c>
      <c r="I37" s="162">
        <v>9</v>
      </c>
      <c r="J37" s="162">
        <v>9</v>
      </c>
      <c r="K37" s="162">
        <v>5</v>
      </c>
      <c r="L37" s="162">
        <v>6</v>
      </c>
      <c r="M37" s="162">
        <v>5</v>
      </c>
      <c r="N37" s="162">
        <v>3</v>
      </c>
      <c r="O37" s="162">
        <v>13</v>
      </c>
      <c r="P37" s="162">
        <v>4</v>
      </c>
      <c r="Q37" s="162">
        <v>7</v>
      </c>
      <c r="R37" s="162">
        <v>5</v>
      </c>
      <c r="S37" s="162">
        <v>5</v>
      </c>
      <c r="T37" s="162">
        <v>4</v>
      </c>
      <c r="U37" s="162">
        <v>11</v>
      </c>
      <c r="V37" s="162">
        <v>6</v>
      </c>
      <c r="W37" s="162">
        <v>10</v>
      </c>
      <c r="X37" s="162">
        <v>8</v>
      </c>
      <c r="Y37" s="162">
        <v>2</v>
      </c>
      <c r="Z37" s="162">
        <v>2</v>
      </c>
      <c r="AA37" s="162"/>
      <c r="AB37" s="162">
        <v>2</v>
      </c>
      <c r="AC37" s="162">
        <v>8</v>
      </c>
      <c r="AD37" s="162">
        <v>9</v>
      </c>
      <c r="AE37" s="162">
        <v>5</v>
      </c>
      <c r="AF37" s="161">
        <v>2</v>
      </c>
      <c r="AG37" s="64">
        <f t="shared" si="2"/>
        <v>187</v>
      </c>
    </row>
    <row r="38" spans="1:33" ht="18.75" x14ac:dyDescent="0.25">
      <c r="A38" s="301" t="s">
        <v>135</v>
      </c>
      <c r="B38" s="249">
        <v>21</v>
      </c>
      <c r="C38" s="162">
        <v>4</v>
      </c>
      <c r="D38" s="162">
        <v>9</v>
      </c>
      <c r="E38" s="162">
        <v>6</v>
      </c>
      <c r="F38" s="162">
        <v>5</v>
      </c>
      <c r="G38" s="162">
        <v>9</v>
      </c>
      <c r="H38" s="162">
        <v>15</v>
      </c>
      <c r="I38" s="162">
        <v>8</v>
      </c>
      <c r="J38" s="162">
        <v>7</v>
      </c>
      <c r="K38" s="162">
        <v>9</v>
      </c>
      <c r="L38" s="162">
        <v>5</v>
      </c>
      <c r="M38" s="162">
        <v>8</v>
      </c>
      <c r="N38" s="162">
        <v>9</v>
      </c>
      <c r="O38" s="162">
        <v>13</v>
      </c>
      <c r="P38" s="162">
        <v>13</v>
      </c>
      <c r="Q38" s="162">
        <v>9</v>
      </c>
      <c r="R38" s="162">
        <v>5</v>
      </c>
      <c r="S38" s="162">
        <v>13</v>
      </c>
      <c r="T38" s="162">
        <v>10</v>
      </c>
      <c r="U38" s="162">
        <v>13</v>
      </c>
      <c r="V38" s="162">
        <v>9</v>
      </c>
      <c r="W38" s="162">
        <v>10</v>
      </c>
      <c r="X38" s="162">
        <v>7</v>
      </c>
      <c r="Y38" s="162">
        <v>8</v>
      </c>
      <c r="Z38" s="162">
        <v>4</v>
      </c>
      <c r="AA38" s="162">
        <v>5</v>
      </c>
      <c r="AB38" s="162">
        <v>7</v>
      </c>
      <c r="AC38" s="162">
        <v>17</v>
      </c>
      <c r="AD38" s="162">
        <v>8</v>
      </c>
      <c r="AE38" s="162">
        <v>7</v>
      </c>
      <c r="AF38" s="161">
        <v>8</v>
      </c>
      <c r="AG38" s="64">
        <f t="shared" si="2"/>
        <v>281</v>
      </c>
    </row>
    <row r="39" spans="1:33" ht="18.75" x14ac:dyDescent="0.25">
      <c r="A39" s="301" t="s">
        <v>134</v>
      </c>
      <c r="B39" s="249">
        <v>11</v>
      </c>
      <c r="C39" s="162">
        <v>23</v>
      </c>
      <c r="D39" s="162">
        <v>22</v>
      </c>
      <c r="E39" s="162">
        <v>16</v>
      </c>
      <c r="F39" s="162">
        <v>21</v>
      </c>
      <c r="G39" s="162">
        <v>21</v>
      </c>
      <c r="H39" s="162">
        <v>7</v>
      </c>
      <c r="I39" s="162">
        <v>12</v>
      </c>
      <c r="J39" s="162">
        <v>29</v>
      </c>
      <c r="K39" s="162">
        <v>25</v>
      </c>
      <c r="L39" s="162">
        <v>23</v>
      </c>
      <c r="M39" s="162">
        <v>21</v>
      </c>
      <c r="N39" s="162">
        <v>19</v>
      </c>
      <c r="O39" s="162">
        <v>6</v>
      </c>
      <c r="P39" s="162">
        <v>14</v>
      </c>
      <c r="Q39" s="162">
        <v>22</v>
      </c>
      <c r="R39" s="162">
        <v>19</v>
      </c>
      <c r="S39" s="162">
        <v>25</v>
      </c>
      <c r="T39" s="162">
        <v>25</v>
      </c>
      <c r="U39" s="162">
        <v>9</v>
      </c>
      <c r="V39" s="162">
        <v>11</v>
      </c>
      <c r="W39" s="162">
        <v>16</v>
      </c>
      <c r="X39" s="162">
        <v>23</v>
      </c>
      <c r="Y39" s="162">
        <v>15</v>
      </c>
      <c r="Z39" s="162">
        <v>20</v>
      </c>
      <c r="AA39" s="162">
        <v>27</v>
      </c>
      <c r="AB39" s="162">
        <v>27</v>
      </c>
      <c r="AC39" s="162">
        <v>3</v>
      </c>
      <c r="AD39" s="162">
        <v>9</v>
      </c>
      <c r="AE39" s="162">
        <v>25</v>
      </c>
      <c r="AF39" s="161">
        <v>21</v>
      </c>
      <c r="AG39" s="64">
        <f t="shared" si="2"/>
        <v>567</v>
      </c>
    </row>
    <row r="40" spans="1:33" ht="18.75" x14ac:dyDescent="0.25">
      <c r="A40" s="301" t="s">
        <v>133</v>
      </c>
      <c r="B40" s="249">
        <v>10</v>
      </c>
      <c r="C40" s="162">
        <v>25</v>
      </c>
      <c r="D40" s="162">
        <v>23</v>
      </c>
      <c r="E40" s="162">
        <v>22</v>
      </c>
      <c r="F40" s="162">
        <v>22</v>
      </c>
      <c r="G40" s="162">
        <v>26</v>
      </c>
      <c r="H40" s="162">
        <v>14</v>
      </c>
      <c r="I40" s="162">
        <v>10</v>
      </c>
      <c r="J40" s="162">
        <v>26</v>
      </c>
      <c r="K40" s="162">
        <v>24</v>
      </c>
      <c r="L40" s="162">
        <v>21</v>
      </c>
      <c r="M40" s="162">
        <v>18</v>
      </c>
      <c r="N40" s="162">
        <v>22</v>
      </c>
      <c r="O40" s="162">
        <v>10</v>
      </c>
      <c r="P40" s="162">
        <v>10</v>
      </c>
      <c r="Q40" s="162">
        <v>27</v>
      </c>
      <c r="R40" s="162">
        <v>26</v>
      </c>
      <c r="S40" s="162">
        <v>22</v>
      </c>
      <c r="T40" s="162">
        <v>23</v>
      </c>
      <c r="U40" s="162">
        <v>15</v>
      </c>
      <c r="V40" s="162">
        <v>12</v>
      </c>
      <c r="W40" s="162">
        <v>9</v>
      </c>
      <c r="X40" s="162">
        <v>25</v>
      </c>
      <c r="Y40" s="162">
        <v>18</v>
      </c>
      <c r="Z40" s="162">
        <v>21</v>
      </c>
      <c r="AA40" s="162">
        <v>16</v>
      </c>
      <c r="AB40" s="162">
        <v>22</v>
      </c>
      <c r="AC40" s="162">
        <v>8</v>
      </c>
      <c r="AD40" s="162">
        <v>9</v>
      </c>
      <c r="AE40" s="162">
        <v>16</v>
      </c>
      <c r="AF40" s="161">
        <v>14</v>
      </c>
      <c r="AG40" s="64">
        <f t="shared" si="2"/>
        <v>566</v>
      </c>
    </row>
    <row r="41" spans="1:33" ht="18.75" x14ac:dyDescent="0.25">
      <c r="A41" s="301" t="s">
        <v>132</v>
      </c>
      <c r="B41" s="249">
        <v>6</v>
      </c>
      <c r="C41" s="162">
        <v>25</v>
      </c>
      <c r="D41" s="162">
        <v>14</v>
      </c>
      <c r="E41" s="162">
        <v>9</v>
      </c>
      <c r="F41" s="162">
        <v>10</v>
      </c>
      <c r="G41" s="162">
        <v>11</v>
      </c>
      <c r="H41" s="162">
        <v>9</v>
      </c>
      <c r="I41" s="162">
        <v>7</v>
      </c>
      <c r="J41" s="162">
        <v>22</v>
      </c>
      <c r="K41" s="162">
        <v>18</v>
      </c>
      <c r="L41" s="162">
        <v>15</v>
      </c>
      <c r="M41" s="162">
        <v>17</v>
      </c>
      <c r="N41" s="162">
        <v>17</v>
      </c>
      <c r="O41" s="162">
        <v>9</v>
      </c>
      <c r="P41" s="162">
        <v>5</v>
      </c>
      <c r="Q41" s="162">
        <v>17</v>
      </c>
      <c r="R41" s="162">
        <v>18</v>
      </c>
      <c r="S41" s="162">
        <v>14</v>
      </c>
      <c r="T41" s="162">
        <v>16</v>
      </c>
      <c r="U41" s="162">
        <v>16</v>
      </c>
      <c r="V41" s="162">
        <v>2</v>
      </c>
      <c r="W41" s="162">
        <v>8</v>
      </c>
      <c r="X41" s="162">
        <v>24</v>
      </c>
      <c r="Y41" s="162">
        <v>16</v>
      </c>
      <c r="Z41" s="162">
        <v>25</v>
      </c>
      <c r="AA41" s="162">
        <v>19</v>
      </c>
      <c r="AB41" s="162">
        <v>8</v>
      </c>
      <c r="AC41" s="162">
        <v>14</v>
      </c>
      <c r="AD41" s="162">
        <v>10</v>
      </c>
      <c r="AE41" s="162">
        <v>24</v>
      </c>
      <c r="AF41" s="161">
        <v>21</v>
      </c>
      <c r="AG41" s="64">
        <f t="shared" si="2"/>
        <v>446</v>
      </c>
    </row>
    <row r="42" spans="1:33" ht="18.75" x14ac:dyDescent="0.25">
      <c r="A42" s="301" t="s">
        <v>131</v>
      </c>
      <c r="B42" s="249">
        <v>12</v>
      </c>
      <c r="C42" s="162">
        <v>14</v>
      </c>
      <c r="D42" s="162">
        <v>15</v>
      </c>
      <c r="E42" s="162">
        <v>12</v>
      </c>
      <c r="F42" s="162">
        <v>8</v>
      </c>
      <c r="G42" s="162">
        <v>7</v>
      </c>
      <c r="H42" s="162">
        <v>5</v>
      </c>
      <c r="I42" s="162">
        <v>6</v>
      </c>
      <c r="J42" s="162">
        <v>11</v>
      </c>
      <c r="K42" s="162">
        <v>10</v>
      </c>
      <c r="L42" s="162">
        <v>13</v>
      </c>
      <c r="M42" s="162">
        <v>10</v>
      </c>
      <c r="N42" s="162">
        <v>12</v>
      </c>
      <c r="O42" s="162">
        <v>8</v>
      </c>
      <c r="P42" s="162">
        <v>12</v>
      </c>
      <c r="Q42" s="162">
        <v>10</v>
      </c>
      <c r="R42" s="162">
        <v>13</v>
      </c>
      <c r="S42" s="162">
        <v>14</v>
      </c>
      <c r="T42" s="162">
        <v>9</v>
      </c>
      <c r="U42" s="162">
        <v>11</v>
      </c>
      <c r="V42" s="162">
        <v>5</v>
      </c>
      <c r="W42" s="162">
        <v>9</v>
      </c>
      <c r="X42" s="162">
        <v>16</v>
      </c>
      <c r="Y42" s="162">
        <v>13</v>
      </c>
      <c r="Z42" s="162">
        <v>8</v>
      </c>
      <c r="AA42" s="162">
        <v>9</v>
      </c>
      <c r="AB42" s="162">
        <v>4</v>
      </c>
      <c r="AC42" s="162">
        <v>4</v>
      </c>
      <c r="AD42" s="162">
        <v>8</v>
      </c>
      <c r="AE42" s="162">
        <v>20</v>
      </c>
      <c r="AF42" s="161">
        <v>16</v>
      </c>
      <c r="AG42" s="64">
        <f t="shared" si="2"/>
        <v>324</v>
      </c>
    </row>
    <row r="43" spans="1:33" ht="18.75" x14ac:dyDescent="0.25">
      <c r="A43" s="301" t="s">
        <v>130</v>
      </c>
      <c r="B43" s="249">
        <v>6</v>
      </c>
      <c r="C43" s="162">
        <v>12</v>
      </c>
      <c r="D43" s="162">
        <v>12</v>
      </c>
      <c r="E43" s="162">
        <v>12</v>
      </c>
      <c r="F43" s="162">
        <v>5</v>
      </c>
      <c r="G43" s="162">
        <v>7</v>
      </c>
      <c r="H43" s="162">
        <v>8</v>
      </c>
      <c r="I43" s="162">
        <v>6</v>
      </c>
      <c r="J43" s="162">
        <v>15</v>
      </c>
      <c r="K43" s="162">
        <v>13</v>
      </c>
      <c r="L43" s="162">
        <v>15</v>
      </c>
      <c r="M43" s="162">
        <v>11</v>
      </c>
      <c r="N43" s="162">
        <v>6</v>
      </c>
      <c r="O43" s="162">
        <v>7</v>
      </c>
      <c r="P43" s="162">
        <v>5</v>
      </c>
      <c r="Q43" s="162">
        <v>16</v>
      </c>
      <c r="R43" s="162">
        <v>11</v>
      </c>
      <c r="S43" s="162">
        <v>6</v>
      </c>
      <c r="T43" s="162">
        <v>6</v>
      </c>
      <c r="U43" s="162">
        <v>9</v>
      </c>
      <c r="V43" s="162">
        <v>3</v>
      </c>
      <c r="W43" s="162">
        <v>5</v>
      </c>
      <c r="X43" s="162">
        <v>13</v>
      </c>
      <c r="Y43" s="162">
        <v>11</v>
      </c>
      <c r="Z43" s="162">
        <v>11</v>
      </c>
      <c r="AA43" s="162">
        <v>14</v>
      </c>
      <c r="AB43" s="162">
        <v>5</v>
      </c>
      <c r="AC43" s="162">
        <v>5</v>
      </c>
      <c r="AD43" s="162">
        <v>7</v>
      </c>
      <c r="AE43" s="162">
        <v>18</v>
      </c>
      <c r="AF43" s="161">
        <v>24</v>
      </c>
      <c r="AG43" s="64">
        <f t="shared" si="2"/>
        <v>304</v>
      </c>
    </row>
    <row r="44" spans="1:33" ht="18.75" x14ac:dyDescent="0.25">
      <c r="A44" s="301" t="s">
        <v>129</v>
      </c>
      <c r="B44" s="249">
        <v>8</v>
      </c>
      <c r="C44" s="162">
        <v>5</v>
      </c>
      <c r="D44" s="162">
        <v>8</v>
      </c>
      <c r="E44" s="162">
        <v>10</v>
      </c>
      <c r="F44" s="162">
        <v>4</v>
      </c>
      <c r="G44" s="162">
        <v>4</v>
      </c>
      <c r="H44" s="162">
        <v>2</v>
      </c>
      <c r="I44" s="162">
        <v>6</v>
      </c>
      <c r="J44" s="162">
        <v>10</v>
      </c>
      <c r="K44" s="162">
        <v>3</v>
      </c>
      <c r="L44" s="162">
        <v>4</v>
      </c>
      <c r="M44" s="162">
        <v>5</v>
      </c>
      <c r="N44" s="162">
        <v>3</v>
      </c>
      <c r="O44" s="162">
        <v>2</v>
      </c>
      <c r="P44" s="162">
        <v>4</v>
      </c>
      <c r="Q44" s="162">
        <v>3</v>
      </c>
      <c r="R44" s="162">
        <v>2</v>
      </c>
      <c r="S44" s="162">
        <v>4</v>
      </c>
      <c r="T44" s="162">
        <v>5</v>
      </c>
      <c r="U44" s="162">
        <v>3</v>
      </c>
      <c r="V44" s="162">
        <v>3</v>
      </c>
      <c r="W44" s="162">
        <v>4</v>
      </c>
      <c r="X44" s="162">
        <v>3</v>
      </c>
      <c r="Y44" s="162">
        <v>3</v>
      </c>
      <c r="Z44" s="162">
        <v>7</v>
      </c>
      <c r="AA44" s="162">
        <v>7</v>
      </c>
      <c r="AB44" s="162">
        <v>4</v>
      </c>
      <c r="AC44" s="162">
        <v>7</v>
      </c>
      <c r="AD44" s="162">
        <v>5</v>
      </c>
      <c r="AE44" s="162">
        <v>11</v>
      </c>
      <c r="AF44" s="161">
        <v>8</v>
      </c>
      <c r="AG44" s="64">
        <f t="shared" si="2"/>
        <v>157</v>
      </c>
    </row>
    <row r="45" spans="1:33" ht="18.75" x14ac:dyDescent="0.25">
      <c r="A45" s="301" t="s">
        <v>128</v>
      </c>
      <c r="B45" s="249">
        <v>3</v>
      </c>
      <c r="C45" s="162">
        <v>3</v>
      </c>
      <c r="D45" s="162">
        <v>2</v>
      </c>
      <c r="E45" s="162">
        <v>3</v>
      </c>
      <c r="F45" s="162">
        <v>6</v>
      </c>
      <c r="G45" s="162">
        <v>2</v>
      </c>
      <c r="H45" s="162">
        <v>4</v>
      </c>
      <c r="I45" s="162">
        <v>2</v>
      </c>
      <c r="J45" s="162">
        <v>4</v>
      </c>
      <c r="K45" s="162">
        <v>2</v>
      </c>
      <c r="L45" s="162">
        <v>1</v>
      </c>
      <c r="M45" s="162">
        <v>4</v>
      </c>
      <c r="N45" s="162">
        <v>5</v>
      </c>
      <c r="O45" s="162">
        <v>2</v>
      </c>
      <c r="P45" s="162">
        <v>2</v>
      </c>
      <c r="Q45" s="162">
        <v>3</v>
      </c>
      <c r="R45" s="162">
        <v>2</v>
      </c>
      <c r="S45" s="162">
        <v>3</v>
      </c>
      <c r="T45" s="162">
        <v>4</v>
      </c>
      <c r="U45" s="162">
        <v>2</v>
      </c>
      <c r="V45" s="162">
        <v>4</v>
      </c>
      <c r="W45" s="162">
        <v>2</v>
      </c>
      <c r="X45" s="162">
        <v>3</v>
      </c>
      <c r="Y45" s="162">
        <v>3</v>
      </c>
      <c r="Z45" s="162">
        <v>7</v>
      </c>
      <c r="AA45" s="162">
        <v>2</v>
      </c>
      <c r="AB45" s="162">
        <v>2</v>
      </c>
      <c r="AC45" s="162">
        <v>3</v>
      </c>
      <c r="AD45" s="162"/>
      <c r="AE45" s="162">
        <v>6</v>
      </c>
      <c r="AF45" s="161">
        <v>6</v>
      </c>
      <c r="AG45" s="64">
        <f t="shared" si="2"/>
        <v>97</v>
      </c>
    </row>
    <row r="46" spans="1:33" ht="18.75" x14ac:dyDescent="0.25">
      <c r="A46" s="301" t="s">
        <v>127</v>
      </c>
      <c r="B46" s="249">
        <v>2</v>
      </c>
      <c r="C46" s="162">
        <v>2</v>
      </c>
      <c r="D46" s="162">
        <v>1</v>
      </c>
      <c r="E46" s="162"/>
      <c r="F46" s="162">
        <v>1</v>
      </c>
      <c r="G46" s="162">
        <v>4</v>
      </c>
      <c r="H46" s="162"/>
      <c r="I46" s="162">
        <v>3</v>
      </c>
      <c r="J46" s="162">
        <v>3</v>
      </c>
      <c r="K46" s="162"/>
      <c r="L46" s="162">
        <v>7</v>
      </c>
      <c r="M46" s="162">
        <v>5</v>
      </c>
      <c r="N46" s="162">
        <v>2</v>
      </c>
      <c r="O46" s="162">
        <v>3</v>
      </c>
      <c r="P46" s="162">
        <v>5</v>
      </c>
      <c r="Q46" s="162">
        <v>2</v>
      </c>
      <c r="R46" s="162">
        <v>2</v>
      </c>
      <c r="S46" s="162">
        <v>3</v>
      </c>
      <c r="T46" s="162">
        <v>4</v>
      </c>
      <c r="U46" s="162">
        <v>6</v>
      </c>
      <c r="V46" s="162">
        <v>1</v>
      </c>
      <c r="W46" s="162">
        <v>3</v>
      </c>
      <c r="X46" s="162">
        <v>2</v>
      </c>
      <c r="Y46" s="162"/>
      <c r="Z46" s="162">
        <v>4</v>
      </c>
      <c r="AA46" s="162">
        <v>3</v>
      </c>
      <c r="AB46" s="162">
        <v>5</v>
      </c>
      <c r="AC46" s="162">
        <v>3</v>
      </c>
      <c r="AD46" s="162">
        <v>1</v>
      </c>
      <c r="AE46" s="162">
        <v>1</v>
      </c>
      <c r="AF46" s="161">
        <v>1</v>
      </c>
      <c r="AG46" s="64">
        <f t="shared" si="2"/>
        <v>79</v>
      </c>
    </row>
    <row r="47" spans="1:33" ht="18.75" x14ac:dyDescent="0.25">
      <c r="A47" s="301" t="s">
        <v>126</v>
      </c>
      <c r="B47" s="249">
        <v>1</v>
      </c>
      <c r="C47" s="162">
        <v>1</v>
      </c>
      <c r="D47" s="162">
        <v>1</v>
      </c>
      <c r="E47" s="162">
        <v>2</v>
      </c>
      <c r="F47" s="162">
        <v>4</v>
      </c>
      <c r="G47" s="162">
        <v>3</v>
      </c>
      <c r="H47" s="162"/>
      <c r="I47" s="162"/>
      <c r="J47" s="162">
        <v>3</v>
      </c>
      <c r="K47" s="162">
        <v>4</v>
      </c>
      <c r="L47" s="162"/>
      <c r="M47" s="162"/>
      <c r="N47" s="162">
        <v>1</v>
      </c>
      <c r="O47" s="162">
        <v>1</v>
      </c>
      <c r="P47" s="162"/>
      <c r="Q47" s="162"/>
      <c r="R47" s="162">
        <v>2</v>
      </c>
      <c r="S47" s="162">
        <v>1</v>
      </c>
      <c r="T47" s="162">
        <v>1</v>
      </c>
      <c r="U47" s="162"/>
      <c r="V47" s="162">
        <v>1</v>
      </c>
      <c r="W47" s="162">
        <v>1</v>
      </c>
      <c r="X47" s="162"/>
      <c r="Y47" s="162">
        <v>2</v>
      </c>
      <c r="Z47" s="162"/>
      <c r="AA47" s="162">
        <v>1</v>
      </c>
      <c r="AB47" s="162">
        <v>1</v>
      </c>
      <c r="AC47" s="162">
        <v>4</v>
      </c>
      <c r="AD47" s="162"/>
      <c r="AE47" s="162">
        <v>2</v>
      </c>
      <c r="AF47" s="161"/>
      <c r="AG47" s="64">
        <f t="shared" si="2"/>
        <v>37</v>
      </c>
    </row>
    <row r="48" spans="1:33" ht="18.75" x14ac:dyDescent="0.25">
      <c r="A48" s="301" t="s">
        <v>125</v>
      </c>
      <c r="B48" s="249"/>
      <c r="C48" s="162">
        <v>1</v>
      </c>
      <c r="D48" s="162">
        <v>1</v>
      </c>
      <c r="E48" s="162"/>
      <c r="F48" s="162"/>
      <c r="G48" s="162">
        <v>1</v>
      </c>
      <c r="H48" s="162">
        <v>2</v>
      </c>
      <c r="I48" s="162"/>
      <c r="J48" s="162"/>
      <c r="K48" s="162"/>
      <c r="L48" s="162">
        <v>2</v>
      </c>
      <c r="M48" s="162"/>
      <c r="N48" s="162"/>
      <c r="O48" s="162">
        <v>1</v>
      </c>
      <c r="P48" s="162">
        <v>1</v>
      </c>
      <c r="Q48" s="162"/>
      <c r="R48" s="162">
        <v>1</v>
      </c>
      <c r="S48" s="162">
        <v>1</v>
      </c>
      <c r="T48" s="162">
        <v>1</v>
      </c>
      <c r="U48" s="162">
        <v>3</v>
      </c>
      <c r="V48" s="162">
        <v>2</v>
      </c>
      <c r="W48" s="162">
        <v>1</v>
      </c>
      <c r="X48" s="162">
        <v>1</v>
      </c>
      <c r="Y48" s="162"/>
      <c r="Z48" s="162">
        <v>1</v>
      </c>
      <c r="AA48" s="162">
        <v>1</v>
      </c>
      <c r="AB48" s="162">
        <v>2</v>
      </c>
      <c r="AC48" s="162">
        <v>1</v>
      </c>
      <c r="AD48" s="162">
        <v>1</v>
      </c>
      <c r="AE48" s="162"/>
      <c r="AF48" s="161">
        <v>2</v>
      </c>
      <c r="AG48" s="64">
        <f t="shared" si="2"/>
        <v>27</v>
      </c>
    </row>
    <row r="49" spans="1:33" ht="18.75" x14ac:dyDescent="0.25">
      <c r="A49" s="301" t="s">
        <v>124</v>
      </c>
      <c r="B49" s="249">
        <v>1</v>
      </c>
      <c r="C49" s="162">
        <v>1</v>
      </c>
      <c r="D49" s="162">
        <v>4</v>
      </c>
      <c r="E49" s="162"/>
      <c r="F49" s="162"/>
      <c r="G49" s="162"/>
      <c r="H49" s="162"/>
      <c r="I49" s="162">
        <v>1</v>
      </c>
      <c r="J49" s="162"/>
      <c r="K49" s="162">
        <v>2</v>
      </c>
      <c r="L49" s="162">
        <v>3</v>
      </c>
      <c r="M49" s="162">
        <v>2</v>
      </c>
      <c r="N49" s="162"/>
      <c r="O49" s="162"/>
      <c r="P49" s="162"/>
      <c r="Q49" s="162">
        <v>1</v>
      </c>
      <c r="R49" s="162">
        <v>3</v>
      </c>
      <c r="S49" s="162"/>
      <c r="T49" s="162"/>
      <c r="U49" s="162">
        <v>1</v>
      </c>
      <c r="V49" s="162">
        <v>1</v>
      </c>
      <c r="W49" s="162">
        <v>1</v>
      </c>
      <c r="X49" s="162"/>
      <c r="Y49" s="162"/>
      <c r="Z49" s="162"/>
      <c r="AA49" s="162">
        <v>1</v>
      </c>
      <c r="AB49" s="162">
        <v>1</v>
      </c>
      <c r="AC49" s="162">
        <v>1</v>
      </c>
      <c r="AD49" s="162">
        <v>2</v>
      </c>
      <c r="AE49" s="162"/>
      <c r="AF49" s="161">
        <v>2</v>
      </c>
      <c r="AG49" s="64">
        <f t="shared" si="2"/>
        <v>28</v>
      </c>
    </row>
    <row r="50" spans="1:33" ht="18.75" x14ac:dyDescent="0.25">
      <c r="A50" s="301" t="s">
        <v>123</v>
      </c>
      <c r="B50" s="249">
        <v>2</v>
      </c>
      <c r="C50" s="162"/>
      <c r="D50" s="162">
        <v>2</v>
      </c>
      <c r="E50" s="162"/>
      <c r="F50" s="162">
        <v>1</v>
      </c>
      <c r="G50" s="162">
        <v>1</v>
      </c>
      <c r="H50" s="162"/>
      <c r="I50" s="162"/>
      <c r="J50" s="162"/>
      <c r="K50" s="162"/>
      <c r="L50" s="162">
        <v>1</v>
      </c>
      <c r="M50" s="162"/>
      <c r="N50" s="162"/>
      <c r="O50" s="162">
        <v>1</v>
      </c>
      <c r="P50" s="162"/>
      <c r="Q50" s="162"/>
      <c r="R50" s="162"/>
      <c r="S50" s="162">
        <v>1</v>
      </c>
      <c r="T50" s="162"/>
      <c r="U50" s="162">
        <v>3</v>
      </c>
      <c r="V50" s="162">
        <v>3</v>
      </c>
      <c r="W50" s="162">
        <v>2</v>
      </c>
      <c r="X50" s="162">
        <v>1</v>
      </c>
      <c r="Y50" s="162">
        <v>1</v>
      </c>
      <c r="Z50" s="162"/>
      <c r="AA50" s="162"/>
      <c r="AB50" s="162">
        <v>3</v>
      </c>
      <c r="AC50" s="162"/>
      <c r="AD50" s="162">
        <v>1</v>
      </c>
      <c r="AE50" s="162"/>
      <c r="AF50" s="161"/>
      <c r="AG50" s="64">
        <f t="shared" si="2"/>
        <v>23</v>
      </c>
    </row>
    <row r="51" spans="1:33" ht="18.75" x14ac:dyDescent="0.25">
      <c r="A51" s="301" t="s">
        <v>122</v>
      </c>
      <c r="B51" s="249">
        <v>2</v>
      </c>
      <c r="C51" s="162"/>
      <c r="D51" s="162"/>
      <c r="E51" s="162">
        <v>3</v>
      </c>
      <c r="F51" s="162">
        <v>1</v>
      </c>
      <c r="G51" s="162">
        <v>1</v>
      </c>
      <c r="H51" s="162"/>
      <c r="I51" s="162"/>
      <c r="J51" s="162"/>
      <c r="K51" s="162"/>
      <c r="L51" s="162">
        <v>1</v>
      </c>
      <c r="M51" s="162">
        <v>2</v>
      </c>
      <c r="N51" s="162"/>
      <c r="O51" s="162"/>
      <c r="P51" s="162">
        <v>2</v>
      </c>
      <c r="Q51" s="162">
        <v>1</v>
      </c>
      <c r="R51" s="162"/>
      <c r="S51" s="162">
        <v>1</v>
      </c>
      <c r="T51" s="162"/>
      <c r="U51" s="162"/>
      <c r="V51" s="162"/>
      <c r="W51" s="162"/>
      <c r="X51" s="162">
        <v>1</v>
      </c>
      <c r="Y51" s="162">
        <v>1</v>
      </c>
      <c r="Z51" s="162">
        <v>1</v>
      </c>
      <c r="AA51" s="162"/>
      <c r="AB51" s="162">
        <v>1</v>
      </c>
      <c r="AC51" s="162">
        <v>1</v>
      </c>
      <c r="AD51" s="162">
        <v>2</v>
      </c>
      <c r="AE51" s="162"/>
      <c r="AF51" s="161"/>
      <c r="AG51" s="64">
        <f t="shared" si="2"/>
        <v>21</v>
      </c>
    </row>
    <row r="52" spans="1:33" ht="19.5" thickBot="1" x14ac:dyDescent="0.3">
      <c r="A52" s="304" t="s">
        <v>121</v>
      </c>
      <c r="B52" s="252">
        <v>1</v>
      </c>
      <c r="C52" s="181">
        <v>2</v>
      </c>
      <c r="D52" s="181">
        <v>2</v>
      </c>
      <c r="E52" s="181">
        <v>1</v>
      </c>
      <c r="F52" s="181"/>
      <c r="G52" s="181"/>
      <c r="H52" s="181">
        <v>1</v>
      </c>
      <c r="I52" s="181">
        <v>1</v>
      </c>
      <c r="J52" s="181"/>
      <c r="K52" s="181"/>
      <c r="L52" s="181"/>
      <c r="M52" s="181"/>
      <c r="N52" s="181">
        <v>2</v>
      </c>
      <c r="O52" s="181"/>
      <c r="P52" s="181"/>
      <c r="Q52" s="181">
        <v>1</v>
      </c>
      <c r="R52" s="181">
        <v>1</v>
      </c>
      <c r="S52" s="181"/>
      <c r="T52" s="181">
        <v>1</v>
      </c>
      <c r="U52" s="181">
        <v>1</v>
      </c>
      <c r="V52" s="181">
        <v>2</v>
      </c>
      <c r="W52" s="181"/>
      <c r="X52" s="181"/>
      <c r="Y52" s="181"/>
      <c r="Z52" s="181">
        <v>1</v>
      </c>
      <c r="AA52" s="181"/>
      <c r="AB52" s="181">
        <v>2</v>
      </c>
      <c r="AC52" s="181">
        <v>1</v>
      </c>
      <c r="AD52" s="181"/>
      <c r="AE52" s="181">
        <v>3</v>
      </c>
      <c r="AF52" s="180">
        <v>2</v>
      </c>
      <c r="AG52" s="160">
        <f t="shared" si="2"/>
        <v>25</v>
      </c>
    </row>
    <row r="53" spans="1:33" ht="19.5" thickBot="1" x14ac:dyDescent="0.3">
      <c r="A53" s="299" t="s">
        <v>145</v>
      </c>
      <c r="B53" s="247">
        <f t="shared" ref="B53:AF53" si="4">SUM(B54:B77)</f>
        <v>2</v>
      </c>
      <c r="C53" s="120">
        <f t="shared" si="4"/>
        <v>9</v>
      </c>
      <c r="D53" s="120">
        <f t="shared" si="4"/>
        <v>12</v>
      </c>
      <c r="E53" s="120">
        <f t="shared" si="4"/>
        <v>2</v>
      </c>
      <c r="F53" s="120">
        <f t="shared" si="4"/>
        <v>6</v>
      </c>
      <c r="G53" s="120">
        <f t="shared" si="4"/>
        <v>2</v>
      </c>
      <c r="H53" s="120">
        <f t="shared" si="4"/>
        <v>4</v>
      </c>
      <c r="I53" s="120">
        <f t="shared" si="4"/>
        <v>1</v>
      </c>
      <c r="J53" s="120">
        <f t="shared" si="4"/>
        <v>14</v>
      </c>
      <c r="K53" s="120">
        <f t="shared" si="4"/>
        <v>5</v>
      </c>
      <c r="L53" s="120">
        <f t="shared" si="4"/>
        <v>10</v>
      </c>
      <c r="M53" s="120">
        <f t="shared" si="4"/>
        <v>8</v>
      </c>
      <c r="N53" s="120">
        <f t="shared" si="4"/>
        <v>16</v>
      </c>
      <c r="O53" s="120">
        <f t="shared" si="4"/>
        <v>2</v>
      </c>
      <c r="P53" s="120">
        <f t="shared" si="4"/>
        <v>6</v>
      </c>
      <c r="Q53" s="120">
        <f t="shared" si="4"/>
        <v>8</v>
      </c>
      <c r="R53" s="120">
        <f t="shared" si="4"/>
        <v>11</v>
      </c>
      <c r="S53" s="120">
        <f t="shared" si="4"/>
        <v>4</v>
      </c>
      <c r="T53" s="120">
        <f t="shared" si="4"/>
        <v>8</v>
      </c>
      <c r="U53" s="120">
        <f t="shared" si="4"/>
        <v>3</v>
      </c>
      <c r="V53" s="120">
        <f t="shared" si="4"/>
        <v>2</v>
      </c>
      <c r="W53" s="120">
        <f t="shared" si="4"/>
        <v>4</v>
      </c>
      <c r="X53" s="120">
        <f t="shared" si="4"/>
        <v>16</v>
      </c>
      <c r="Y53" s="120">
        <f t="shared" si="4"/>
        <v>5</v>
      </c>
      <c r="Z53" s="120">
        <f t="shared" si="4"/>
        <v>11</v>
      </c>
      <c r="AA53" s="120">
        <f t="shared" si="4"/>
        <v>5</v>
      </c>
      <c r="AB53" s="120">
        <f t="shared" si="4"/>
        <v>2</v>
      </c>
      <c r="AC53" s="120">
        <f t="shared" si="4"/>
        <v>1</v>
      </c>
      <c r="AD53" s="120">
        <f t="shared" si="4"/>
        <v>4</v>
      </c>
      <c r="AE53" s="120">
        <f t="shared" si="4"/>
        <v>11</v>
      </c>
      <c r="AF53" s="120">
        <f t="shared" si="4"/>
        <v>9</v>
      </c>
      <c r="AG53" s="157">
        <f t="shared" si="2"/>
        <v>203</v>
      </c>
    </row>
    <row r="54" spans="1:33" ht="18.75" x14ac:dyDescent="0.25">
      <c r="A54" s="300" t="s">
        <v>144</v>
      </c>
      <c r="B54" s="248"/>
      <c r="C54" s="199"/>
      <c r="D54" s="162"/>
      <c r="E54" s="199"/>
      <c r="F54" s="199"/>
      <c r="G54" s="162"/>
      <c r="H54" s="199"/>
      <c r="I54" s="199"/>
      <c r="J54" s="199"/>
      <c r="K54" s="199"/>
      <c r="L54" s="199"/>
      <c r="M54" s="199"/>
      <c r="N54" s="199"/>
      <c r="O54" s="199"/>
      <c r="P54" s="199"/>
      <c r="Q54" s="199"/>
      <c r="R54" s="199"/>
      <c r="S54" s="199"/>
      <c r="T54" s="199"/>
      <c r="U54" s="199"/>
      <c r="V54" s="199"/>
      <c r="W54" s="199"/>
      <c r="X54" s="199"/>
      <c r="Y54" s="199"/>
      <c r="Z54" s="199"/>
      <c r="AA54" s="199"/>
      <c r="AB54" s="199"/>
      <c r="AC54" s="199"/>
      <c r="AD54" s="199"/>
      <c r="AE54" s="199"/>
      <c r="AF54" s="206"/>
      <c r="AG54" s="134">
        <f t="shared" si="2"/>
        <v>0</v>
      </c>
    </row>
    <row r="55" spans="1:33" ht="18.75" x14ac:dyDescent="0.25">
      <c r="A55" s="301" t="s">
        <v>143</v>
      </c>
      <c r="B55" s="249"/>
      <c r="C55" s="162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>
        <v>1</v>
      </c>
      <c r="O55" s="162"/>
      <c r="P55" s="162"/>
      <c r="Q55" s="162"/>
      <c r="R55" s="162"/>
      <c r="S55" s="162"/>
      <c r="T55" s="162"/>
      <c r="U55" s="162"/>
      <c r="V55" s="162"/>
      <c r="W55" s="162">
        <v>1</v>
      </c>
      <c r="X55" s="162"/>
      <c r="Y55" s="162"/>
      <c r="Z55" s="162"/>
      <c r="AA55" s="162"/>
      <c r="AB55" s="162"/>
      <c r="AC55" s="162"/>
      <c r="AD55" s="162"/>
      <c r="AE55" s="162"/>
      <c r="AF55" s="161"/>
      <c r="AG55" s="64">
        <f t="shared" si="2"/>
        <v>2</v>
      </c>
    </row>
    <row r="56" spans="1:33" ht="18.75" x14ac:dyDescent="0.25">
      <c r="A56" s="301" t="s">
        <v>142</v>
      </c>
      <c r="B56" s="249"/>
      <c r="C56" s="162"/>
      <c r="D56" s="162"/>
      <c r="E56" s="162"/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2"/>
      <c r="R56" s="162">
        <v>1</v>
      </c>
      <c r="S56" s="162"/>
      <c r="T56" s="162"/>
      <c r="U56" s="162">
        <v>1</v>
      </c>
      <c r="V56" s="162"/>
      <c r="W56" s="162"/>
      <c r="X56" s="162"/>
      <c r="Y56" s="162"/>
      <c r="Z56" s="162"/>
      <c r="AA56" s="162">
        <v>1</v>
      </c>
      <c r="AB56" s="162"/>
      <c r="AC56" s="162"/>
      <c r="AD56" s="162">
        <v>1</v>
      </c>
      <c r="AE56" s="162"/>
      <c r="AF56" s="161"/>
      <c r="AG56" s="64">
        <f t="shared" si="2"/>
        <v>4</v>
      </c>
    </row>
    <row r="57" spans="1:33" ht="18.75" x14ac:dyDescent="0.25">
      <c r="A57" s="301" t="s">
        <v>141</v>
      </c>
      <c r="B57" s="249">
        <v>1</v>
      </c>
      <c r="C57" s="162"/>
      <c r="D57" s="162"/>
      <c r="E57" s="162"/>
      <c r="F57" s="162"/>
      <c r="G57" s="162"/>
      <c r="H57" s="162"/>
      <c r="I57" s="162"/>
      <c r="J57" s="162"/>
      <c r="K57" s="162"/>
      <c r="L57" s="162"/>
      <c r="M57" s="162"/>
      <c r="N57" s="162">
        <v>1</v>
      </c>
      <c r="O57" s="162"/>
      <c r="P57" s="162"/>
      <c r="Q57" s="162"/>
      <c r="R57" s="162"/>
      <c r="S57" s="162"/>
      <c r="T57" s="162"/>
      <c r="U57" s="162"/>
      <c r="V57" s="162"/>
      <c r="W57" s="162">
        <v>1</v>
      </c>
      <c r="X57" s="162"/>
      <c r="Y57" s="162">
        <v>1</v>
      </c>
      <c r="Z57" s="162"/>
      <c r="AA57" s="162"/>
      <c r="AB57" s="162"/>
      <c r="AC57" s="162"/>
      <c r="AD57" s="162">
        <v>1</v>
      </c>
      <c r="AE57" s="162"/>
      <c r="AF57" s="161"/>
      <c r="AG57" s="64">
        <f t="shared" si="2"/>
        <v>5</v>
      </c>
    </row>
    <row r="58" spans="1:33" ht="18.75" x14ac:dyDescent="0.25">
      <c r="A58" s="301" t="s">
        <v>140</v>
      </c>
      <c r="B58" s="249"/>
      <c r="C58" s="162">
        <v>1</v>
      </c>
      <c r="D58" s="162"/>
      <c r="E58" s="162"/>
      <c r="F58" s="162"/>
      <c r="G58" s="162"/>
      <c r="H58" s="162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>
        <v>1</v>
      </c>
      <c r="W58" s="162"/>
      <c r="X58" s="162"/>
      <c r="Y58" s="162"/>
      <c r="Z58" s="162"/>
      <c r="AA58" s="162"/>
      <c r="AB58" s="162"/>
      <c r="AC58" s="162"/>
      <c r="AD58" s="162"/>
      <c r="AE58" s="162"/>
      <c r="AF58" s="161"/>
      <c r="AG58" s="64">
        <f t="shared" si="2"/>
        <v>2</v>
      </c>
    </row>
    <row r="59" spans="1:33" ht="18.75" x14ac:dyDescent="0.25">
      <c r="A59" s="301" t="s">
        <v>139</v>
      </c>
      <c r="B59" s="249"/>
      <c r="C59" s="162"/>
      <c r="D59" s="162"/>
      <c r="E59" s="162"/>
      <c r="F59" s="162"/>
      <c r="G59" s="162"/>
      <c r="H59" s="162"/>
      <c r="I59" s="162"/>
      <c r="J59" s="162"/>
      <c r="K59" s="162"/>
      <c r="L59" s="162">
        <v>1</v>
      </c>
      <c r="M59" s="162">
        <v>1</v>
      </c>
      <c r="N59" s="162">
        <v>1</v>
      </c>
      <c r="O59" s="162"/>
      <c r="P59" s="162">
        <v>1</v>
      </c>
      <c r="Q59" s="162"/>
      <c r="R59" s="162"/>
      <c r="S59" s="162">
        <v>1</v>
      </c>
      <c r="T59" s="162"/>
      <c r="U59" s="162"/>
      <c r="V59" s="162"/>
      <c r="W59" s="162">
        <v>1</v>
      </c>
      <c r="X59" s="162"/>
      <c r="Y59" s="162"/>
      <c r="Z59" s="162"/>
      <c r="AA59" s="162"/>
      <c r="AB59" s="162"/>
      <c r="AC59" s="162"/>
      <c r="AD59" s="162"/>
      <c r="AE59" s="162"/>
      <c r="AF59" s="161"/>
      <c r="AG59" s="64">
        <f t="shared" si="2"/>
        <v>6</v>
      </c>
    </row>
    <row r="60" spans="1:33" ht="18.75" x14ac:dyDescent="0.25">
      <c r="A60" s="301" t="s">
        <v>138</v>
      </c>
      <c r="B60" s="249"/>
      <c r="C60" s="162"/>
      <c r="D60" s="162"/>
      <c r="E60" s="162"/>
      <c r="F60" s="162"/>
      <c r="G60" s="162"/>
      <c r="H60" s="162">
        <v>2</v>
      </c>
      <c r="I60" s="162"/>
      <c r="J60" s="162"/>
      <c r="K60" s="162"/>
      <c r="L60" s="162"/>
      <c r="M60" s="162"/>
      <c r="N60" s="162"/>
      <c r="O60" s="162"/>
      <c r="P60" s="162"/>
      <c r="Q60" s="162"/>
      <c r="R60" s="162"/>
      <c r="S60" s="162"/>
      <c r="T60" s="162">
        <v>1</v>
      </c>
      <c r="U60" s="162"/>
      <c r="V60" s="162"/>
      <c r="W60" s="162"/>
      <c r="X60" s="162"/>
      <c r="Y60" s="162"/>
      <c r="Z60" s="162"/>
      <c r="AA60" s="162"/>
      <c r="AB60" s="162"/>
      <c r="AC60" s="162">
        <v>1</v>
      </c>
      <c r="AD60" s="162"/>
      <c r="AE60" s="162"/>
      <c r="AF60" s="161"/>
      <c r="AG60" s="64">
        <f t="shared" si="2"/>
        <v>4</v>
      </c>
    </row>
    <row r="61" spans="1:33" ht="18.75" x14ac:dyDescent="0.25">
      <c r="A61" s="301" t="s">
        <v>137</v>
      </c>
      <c r="B61" s="249"/>
      <c r="C61" s="162"/>
      <c r="D61" s="162"/>
      <c r="E61" s="162"/>
      <c r="F61" s="162"/>
      <c r="G61" s="162"/>
      <c r="H61" s="162"/>
      <c r="I61" s="162">
        <v>1</v>
      </c>
      <c r="J61" s="162">
        <v>1</v>
      </c>
      <c r="K61" s="162"/>
      <c r="L61" s="162">
        <v>2</v>
      </c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Y61" s="162"/>
      <c r="Z61" s="162"/>
      <c r="AA61" s="162"/>
      <c r="AB61" s="162"/>
      <c r="AC61" s="162"/>
      <c r="AD61" s="162"/>
      <c r="AE61" s="162">
        <v>1</v>
      </c>
      <c r="AF61" s="161"/>
      <c r="AG61" s="64">
        <f t="shared" si="2"/>
        <v>5</v>
      </c>
    </row>
    <row r="62" spans="1:33" ht="18.75" x14ac:dyDescent="0.25">
      <c r="A62" s="301" t="s">
        <v>136</v>
      </c>
      <c r="B62" s="249"/>
      <c r="C62" s="162"/>
      <c r="D62" s="162"/>
      <c r="E62" s="162"/>
      <c r="F62" s="162"/>
      <c r="G62" s="162"/>
      <c r="H62" s="162">
        <v>1</v>
      </c>
      <c r="I62" s="162"/>
      <c r="J62" s="162"/>
      <c r="K62" s="162"/>
      <c r="L62" s="162"/>
      <c r="M62" s="162">
        <v>1</v>
      </c>
      <c r="N62" s="162">
        <v>1</v>
      </c>
      <c r="O62" s="162"/>
      <c r="P62" s="162"/>
      <c r="Q62" s="162">
        <v>1</v>
      </c>
      <c r="R62" s="162"/>
      <c r="S62" s="162"/>
      <c r="T62" s="162">
        <v>1</v>
      </c>
      <c r="U62" s="162"/>
      <c r="V62" s="162"/>
      <c r="W62" s="162"/>
      <c r="X62" s="162">
        <v>1</v>
      </c>
      <c r="Y62" s="162"/>
      <c r="Z62" s="162"/>
      <c r="AA62" s="162"/>
      <c r="AB62" s="162"/>
      <c r="AC62" s="162"/>
      <c r="AD62" s="162"/>
      <c r="AE62" s="162"/>
      <c r="AF62" s="161"/>
      <c r="AG62" s="64">
        <f t="shared" si="2"/>
        <v>6</v>
      </c>
    </row>
    <row r="63" spans="1:33" ht="18.75" x14ac:dyDescent="0.25">
      <c r="A63" s="301" t="s">
        <v>135</v>
      </c>
      <c r="B63" s="249"/>
      <c r="C63" s="162"/>
      <c r="D63" s="162"/>
      <c r="E63" s="162"/>
      <c r="F63" s="162"/>
      <c r="G63" s="162"/>
      <c r="H63" s="162">
        <v>1</v>
      </c>
      <c r="I63" s="162"/>
      <c r="J63" s="162"/>
      <c r="K63" s="162"/>
      <c r="L63" s="162"/>
      <c r="M63" s="162"/>
      <c r="N63" s="162">
        <v>1</v>
      </c>
      <c r="O63" s="162"/>
      <c r="P63" s="162">
        <v>1</v>
      </c>
      <c r="Q63" s="162">
        <v>1</v>
      </c>
      <c r="R63" s="162">
        <v>1</v>
      </c>
      <c r="S63" s="162"/>
      <c r="T63" s="162">
        <v>1</v>
      </c>
      <c r="U63" s="162"/>
      <c r="V63" s="162"/>
      <c r="W63" s="162">
        <v>1</v>
      </c>
      <c r="X63" s="162">
        <v>2</v>
      </c>
      <c r="Y63" s="162">
        <v>1</v>
      </c>
      <c r="Z63" s="162"/>
      <c r="AA63" s="162"/>
      <c r="AB63" s="162"/>
      <c r="AC63" s="162"/>
      <c r="AD63" s="162">
        <v>1</v>
      </c>
      <c r="AE63" s="162"/>
      <c r="AF63" s="161"/>
      <c r="AG63" s="64">
        <f t="shared" si="2"/>
        <v>11</v>
      </c>
    </row>
    <row r="64" spans="1:33" ht="18.75" x14ac:dyDescent="0.25">
      <c r="A64" s="301" t="s">
        <v>134</v>
      </c>
      <c r="B64" s="249"/>
      <c r="C64" s="162"/>
      <c r="D64" s="162">
        <v>1</v>
      </c>
      <c r="E64" s="162"/>
      <c r="F64" s="162">
        <v>4</v>
      </c>
      <c r="G64" s="162">
        <v>2</v>
      </c>
      <c r="H64" s="162"/>
      <c r="I64" s="162"/>
      <c r="J64" s="162">
        <v>3</v>
      </c>
      <c r="K64" s="162">
        <v>3</v>
      </c>
      <c r="L64" s="162"/>
      <c r="M64" s="162"/>
      <c r="N64" s="162">
        <v>2</v>
      </c>
      <c r="O64" s="162"/>
      <c r="P64" s="162"/>
      <c r="Q64" s="162">
        <v>3</v>
      </c>
      <c r="R64" s="162">
        <v>1</v>
      </c>
      <c r="S64" s="162">
        <v>1</v>
      </c>
      <c r="T64" s="162">
        <v>1</v>
      </c>
      <c r="U64" s="162"/>
      <c r="V64" s="162">
        <v>1</v>
      </c>
      <c r="W64" s="162"/>
      <c r="X64" s="162">
        <v>4</v>
      </c>
      <c r="Y64" s="162">
        <v>1</v>
      </c>
      <c r="Z64" s="162">
        <v>1</v>
      </c>
      <c r="AA64" s="162"/>
      <c r="AB64" s="162">
        <v>2</v>
      </c>
      <c r="AC64" s="162"/>
      <c r="AD64" s="162"/>
      <c r="AE64" s="162">
        <v>2</v>
      </c>
      <c r="AF64" s="161">
        <v>1</v>
      </c>
      <c r="AG64" s="64">
        <f t="shared" si="2"/>
        <v>33</v>
      </c>
    </row>
    <row r="65" spans="1:33" ht="18.75" x14ac:dyDescent="0.25">
      <c r="A65" s="301" t="s">
        <v>133</v>
      </c>
      <c r="B65" s="249"/>
      <c r="C65" s="162">
        <v>5</v>
      </c>
      <c r="D65" s="162">
        <v>1</v>
      </c>
      <c r="E65" s="162">
        <v>1</v>
      </c>
      <c r="F65" s="162"/>
      <c r="G65" s="162"/>
      <c r="H65" s="162"/>
      <c r="I65" s="162"/>
      <c r="J65" s="162">
        <v>3</v>
      </c>
      <c r="K65" s="162">
        <v>2</v>
      </c>
      <c r="L65" s="162">
        <v>4</v>
      </c>
      <c r="M65" s="162">
        <v>1</v>
      </c>
      <c r="N65" s="162">
        <v>3</v>
      </c>
      <c r="O65" s="162"/>
      <c r="P65" s="162"/>
      <c r="Q65" s="162">
        <v>1</v>
      </c>
      <c r="R65" s="162">
        <v>2</v>
      </c>
      <c r="S65" s="162">
        <v>1</v>
      </c>
      <c r="T65" s="162">
        <v>2</v>
      </c>
      <c r="U65" s="162">
        <v>2</v>
      </c>
      <c r="V65" s="162"/>
      <c r="W65" s="162"/>
      <c r="X65" s="162">
        <v>4</v>
      </c>
      <c r="Y65" s="162">
        <v>2</v>
      </c>
      <c r="Z65" s="162"/>
      <c r="AA65" s="162">
        <v>1</v>
      </c>
      <c r="AB65" s="162"/>
      <c r="AC65" s="162"/>
      <c r="AD65" s="162"/>
      <c r="AE65" s="162">
        <v>1</v>
      </c>
      <c r="AF65" s="161"/>
      <c r="AG65" s="64">
        <f t="shared" si="2"/>
        <v>36</v>
      </c>
    </row>
    <row r="66" spans="1:33" ht="18.75" x14ac:dyDescent="0.25">
      <c r="A66" s="301" t="s">
        <v>132</v>
      </c>
      <c r="B66" s="249"/>
      <c r="C66" s="162">
        <v>2</v>
      </c>
      <c r="D66" s="162">
        <v>8</v>
      </c>
      <c r="E66" s="162">
        <v>1</v>
      </c>
      <c r="F66" s="162"/>
      <c r="G66" s="162"/>
      <c r="H66" s="162"/>
      <c r="I66" s="162"/>
      <c r="J66" s="162">
        <v>4</v>
      </c>
      <c r="K66" s="162"/>
      <c r="L66" s="162"/>
      <c r="M66" s="162">
        <v>4</v>
      </c>
      <c r="N66" s="162">
        <v>2</v>
      </c>
      <c r="O66" s="162"/>
      <c r="P66" s="162">
        <v>1</v>
      </c>
      <c r="Q66" s="162"/>
      <c r="R66" s="162">
        <v>2</v>
      </c>
      <c r="S66" s="162">
        <v>1</v>
      </c>
      <c r="T66" s="162">
        <v>1</v>
      </c>
      <c r="U66" s="162"/>
      <c r="V66" s="162"/>
      <c r="W66" s="162"/>
      <c r="X66" s="162">
        <v>3</v>
      </c>
      <c r="Y66" s="162"/>
      <c r="Z66" s="162">
        <v>3</v>
      </c>
      <c r="AA66" s="162">
        <v>2</v>
      </c>
      <c r="AB66" s="162"/>
      <c r="AC66" s="162"/>
      <c r="AD66" s="162"/>
      <c r="AE66" s="162">
        <v>5</v>
      </c>
      <c r="AF66" s="161">
        <v>7</v>
      </c>
      <c r="AG66" s="64">
        <f t="shared" si="2"/>
        <v>46</v>
      </c>
    </row>
    <row r="67" spans="1:33" ht="18.75" x14ac:dyDescent="0.25">
      <c r="A67" s="301" t="s">
        <v>131</v>
      </c>
      <c r="B67" s="249"/>
      <c r="C67" s="162">
        <v>1</v>
      </c>
      <c r="D67" s="162">
        <v>2</v>
      </c>
      <c r="E67" s="162"/>
      <c r="F67" s="162"/>
      <c r="G67" s="162"/>
      <c r="H67" s="162"/>
      <c r="I67" s="162"/>
      <c r="J67" s="162"/>
      <c r="K67" s="162"/>
      <c r="L67" s="162">
        <v>2</v>
      </c>
      <c r="M67" s="162"/>
      <c r="N67" s="162">
        <v>1</v>
      </c>
      <c r="O67" s="162">
        <v>1</v>
      </c>
      <c r="P67" s="162"/>
      <c r="Q67" s="162"/>
      <c r="R67" s="162">
        <v>2</v>
      </c>
      <c r="S67" s="162"/>
      <c r="T67" s="162"/>
      <c r="U67" s="162"/>
      <c r="V67" s="162"/>
      <c r="W67" s="162"/>
      <c r="X67" s="162">
        <v>1</v>
      </c>
      <c r="Y67" s="162"/>
      <c r="Z67" s="162">
        <v>5</v>
      </c>
      <c r="AA67" s="162">
        <v>1</v>
      </c>
      <c r="AB67" s="162"/>
      <c r="AC67" s="162"/>
      <c r="AD67" s="162"/>
      <c r="AE67" s="162">
        <v>1</v>
      </c>
      <c r="AF67" s="161">
        <v>1</v>
      </c>
      <c r="AG67" s="64">
        <f t="shared" ref="AG67:AG98" si="5">SUM(B67:AF67)</f>
        <v>18</v>
      </c>
    </row>
    <row r="68" spans="1:33" ht="18.75" x14ac:dyDescent="0.25">
      <c r="A68" s="301" t="s">
        <v>130</v>
      </c>
      <c r="B68" s="249">
        <v>1</v>
      </c>
      <c r="C68" s="162"/>
      <c r="D68" s="162"/>
      <c r="E68" s="162"/>
      <c r="F68" s="162">
        <v>2</v>
      </c>
      <c r="G68" s="162"/>
      <c r="H68" s="162"/>
      <c r="I68" s="162"/>
      <c r="J68" s="162"/>
      <c r="K68" s="162"/>
      <c r="L68" s="162"/>
      <c r="M68" s="162">
        <v>1</v>
      </c>
      <c r="N68" s="162">
        <v>1</v>
      </c>
      <c r="O68" s="162"/>
      <c r="P68" s="162">
        <v>1</v>
      </c>
      <c r="Q68" s="162">
        <v>2</v>
      </c>
      <c r="R68" s="162"/>
      <c r="S68" s="162"/>
      <c r="T68" s="162"/>
      <c r="U68" s="162"/>
      <c r="V68" s="162"/>
      <c r="W68" s="162"/>
      <c r="X68" s="162">
        <v>1</v>
      </c>
      <c r="Y68" s="162"/>
      <c r="Z68" s="162">
        <v>2</v>
      </c>
      <c r="AA68" s="162"/>
      <c r="AB68" s="162"/>
      <c r="AC68" s="162"/>
      <c r="AD68" s="162"/>
      <c r="AE68" s="162">
        <v>1</v>
      </c>
      <c r="AF68" s="161"/>
      <c r="AG68" s="64">
        <f t="shared" si="5"/>
        <v>12</v>
      </c>
    </row>
    <row r="69" spans="1:33" ht="18.75" x14ac:dyDescent="0.25">
      <c r="A69" s="301" t="s">
        <v>129</v>
      </c>
      <c r="B69" s="249"/>
      <c r="C69" s="162"/>
      <c r="D69" s="162"/>
      <c r="E69" s="162"/>
      <c r="F69" s="162"/>
      <c r="G69" s="162"/>
      <c r="H69" s="162"/>
      <c r="I69" s="162"/>
      <c r="J69" s="162">
        <v>1</v>
      </c>
      <c r="K69" s="162"/>
      <c r="L69" s="162">
        <v>1</v>
      </c>
      <c r="M69" s="162"/>
      <c r="N69" s="162"/>
      <c r="O69" s="162">
        <v>1</v>
      </c>
      <c r="P69" s="162"/>
      <c r="Q69" s="162"/>
      <c r="R69" s="162"/>
      <c r="S69" s="162"/>
      <c r="T69" s="162">
        <v>1</v>
      </c>
      <c r="U69" s="162"/>
      <c r="V69" s="162"/>
      <c r="W69" s="162"/>
      <c r="X69" s="162"/>
      <c r="Y69" s="162"/>
      <c r="Z69" s="162"/>
      <c r="AA69" s="162"/>
      <c r="AB69" s="162"/>
      <c r="AC69" s="162"/>
      <c r="AD69" s="162">
        <v>1</v>
      </c>
      <c r="AE69" s="162"/>
      <c r="AF69" s="161"/>
      <c r="AG69" s="64">
        <f t="shared" si="5"/>
        <v>5</v>
      </c>
    </row>
    <row r="70" spans="1:33" ht="18.75" x14ac:dyDescent="0.25">
      <c r="A70" s="301" t="s">
        <v>128</v>
      </c>
      <c r="B70" s="248"/>
      <c r="C70" s="199"/>
      <c r="D70" s="162"/>
      <c r="E70" s="199"/>
      <c r="F70" s="199"/>
      <c r="G70" s="162"/>
      <c r="H70" s="199"/>
      <c r="I70" s="162"/>
      <c r="J70" s="199"/>
      <c r="K70" s="199"/>
      <c r="L70" s="199"/>
      <c r="M70" s="199"/>
      <c r="N70" s="199"/>
      <c r="O70" s="199"/>
      <c r="P70" s="199"/>
      <c r="Q70" s="199"/>
      <c r="R70" s="199">
        <v>1</v>
      </c>
      <c r="S70" s="199"/>
      <c r="T70" s="199"/>
      <c r="U70" s="199"/>
      <c r="V70" s="199"/>
      <c r="W70" s="199"/>
      <c r="X70" s="199"/>
      <c r="Y70" s="199"/>
      <c r="Z70" s="199"/>
      <c r="AA70" s="199"/>
      <c r="AB70" s="199"/>
      <c r="AC70" s="199"/>
      <c r="AD70" s="199"/>
      <c r="AE70" s="199"/>
      <c r="AF70" s="206"/>
      <c r="AG70" s="64">
        <f t="shared" si="5"/>
        <v>1</v>
      </c>
    </row>
    <row r="71" spans="1:33" ht="18.75" x14ac:dyDescent="0.25">
      <c r="A71" s="301" t="s">
        <v>127</v>
      </c>
      <c r="B71" s="248"/>
      <c r="C71" s="199"/>
      <c r="D71" s="162"/>
      <c r="E71" s="199"/>
      <c r="F71" s="199"/>
      <c r="G71" s="162"/>
      <c r="H71" s="199"/>
      <c r="I71" s="162"/>
      <c r="J71" s="199">
        <v>2</v>
      </c>
      <c r="K71" s="199"/>
      <c r="L71" s="199"/>
      <c r="M71" s="199"/>
      <c r="N71" s="199">
        <v>1</v>
      </c>
      <c r="O71" s="199"/>
      <c r="P71" s="199">
        <v>2</v>
      </c>
      <c r="Q71" s="199"/>
      <c r="R71" s="199"/>
      <c r="S71" s="199"/>
      <c r="T71" s="199"/>
      <c r="U71" s="199"/>
      <c r="V71" s="199"/>
      <c r="W71" s="199"/>
      <c r="X71" s="199"/>
      <c r="Y71" s="199"/>
      <c r="Z71" s="199"/>
      <c r="AA71" s="199"/>
      <c r="AB71" s="199"/>
      <c r="AC71" s="199"/>
      <c r="AD71" s="199"/>
      <c r="AE71" s="199"/>
      <c r="AF71" s="206"/>
      <c r="AG71" s="64">
        <f t="shared" si="5"/>
        <v>5</v>
      </c>
    </row>
    <row r="72" spans="1:33" ht="18.75" x14ac:dyDescent="0.25">
      <c r="A72" s="301" t="s">
        <v>126</v>
      </c>
      <c r="B72" s="248"/>
      <c r="C72" s="199"/>
      <c r="D72" s="162"/>
      <c r="E72" s="199"/>
      <c r="F72" s="199"/>
      <c r="G72" s="162"/>
      <c r="H72" s="199"/>
      <c r="I72" s="162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199"/>
      <c r="X72" s="199"/>
      <c r="Y72" s="199"/>
      <c r="Z72" s="199"/>
      <c r="AA72" s="199"/>
      <c r="AB72" s="199"/>
      <c r="AC72" s="199"/>
      <c r="AD72" s="199"/>
      <c r="AE72" s="199"/>
      <c r="AF72" s="206"/>
      <c r="AG72" s="64">
        <f t="shared" si="5"/>
        <v>0</v>
      </c>
    </row>
    <row r="73" spans="1:33" ht="18.75" x14ac:dyDescent="0.25">
      <c r="A73" s="301" t="s">
        <v>125</v>
      </c>
      <c r="B73" s="248"/>
      <c r="C73" s="199"/>
      <c r="D73" s="162"/>
      <c r="E73" s="199"/>
      <c r="F73" s="199"/>
      <c r="G73" s="162"/>
      <c r="H73" s="199"/>
      <c r="I73" s="162"/>
      <c r="J73" s="199"/>
      <c r="K73" s="199"/>
      <c r="L73" s="199"/>
      <c r="M73" s="199"/>
      <c r="N73" s="199"/>
      <c r="O73" s="199"/>
      <c r="P73" s="199"/>
      <c r="Q73" s="199"/>
      <c r="R73" s="199">
        <v>1</v>
      </c>
      <c r="S73" s="199"/>
      <c r="T73" s="199"/>
      <c r="U73" s="199"/>
      <c r="V73" s="199"/>
      <c r="W73" s="199"/>
      <c r="X73" s="199"/>
      <c r="Y73" s="199"/>
      <c r="Z73" s="199"/>
      <c r="AA73" s="199"/>
      <c r="AB73" s="199"/>
      <c r="AC73" s="199"/>
      <c r="AD73" s="199"/>
      <c r="AE73" s="199"/>
      <c r="AF73" s="206"/>
      <c r="AG73" s="64">
        <f t="shared" si="5"/>
        <v>1</v>
      </c>
    </row>
    <row r="74" spans="1:33" ht="18.75" x14ac:dyDescent="0.25">
      <c r="A74" s="301" t="s">
        <v>124</v>
      </c>
      <c r="B74" s="248"/>
      <c r="C74" s="199"/>
      <c r="D74" s="162"/>
      <c r="E74" s="199"/>
      <c r="F74" s="199"/>
      <c r="G74" s="162"/>
      <c r="H74" s="199"/>
      <c r="I74" s="162"/>
      <c r="J74" s="199"/>
      <c r="K74" s="199"/>
      <c r="L74" s="199"/>
      <c r="M74" s="199"/>
      <c r="N74" s="199"/>
      <c r="O74" s="199"/>
      <c r="P74" s="199"/>
      <c r="Q74" s="199"/>
      <c r="R74" s="199"/>
      <c r="S74" s="199"/>
      <c r="T74" s="199"/>
      <c r="U74" s="199"/>
      <c r="V74" s="199"/>
      <c r="W74" s="199"/>
      <c r="X74" s="199"/>
      <c r="Y74" s="199"/>
      <c r="Z74" s="199"/>
      <c r="AA74" s="199"/>
      <c r="AB74" s="199"/>
      <c r="AC74" s="199"/>
      <c r="AD74" s="199"/>
      <c r="AE74" s="199"/>
      <c r="AF74" s="206"/>
      <c r="AG74" s="64">
        <f t="shared" si="5"/>
        <v>0</v>
      </c>
    </row>
    <row r="75" spans="1:33" ht="18.75" x14ac:dyDescent="0.25">
      <c r="A75" s="301" t="s">
        <v>123</v>
      </c>
      <c r="B75" s="248"/>
      <c r="C75" s="199"/>
      <c r="D75" s="162"/>
      <c r="E75" s="199"/>
      <c r="F75" s="199"/>
      <c r="G75" s="162"/>
      <c r="H75" s="199"/>
      <c r="I75" s="162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9"/>
      <c r="Y75" s="199"/>
      <c r="Z75" s="199"/>
      <c r="AA75" s="199"/>
      <c r="AB75" s="199"/>
      <c r="AC75" s="199"/>
      <c r="AD75" s="199"/>
      <c r="AE75" s="199"/>
      <c r="AF75" s="206"/>
      <c r="AG75" s="64">
        <f t="shared" si="5"/>
        <v>0</v>
      </c>
    </row>
    <row r="76" spans="1:33" ht="18.75" x14ac:dyDescent="0.25">
      <c r="A76" s="301" t="s">
        <v>122</v>
      </c>
      <c r="B76" s="248"/>
      <c r="C76" s="199"/>
      <c r="D76" s="162"/>
      <c r="E76" s="199"/>
      <c r="F76" s="199"/>
      <c r="G76" s="162"/>
      <c r="H76" s="199"/>
      <c r="I76" s="162"/>
      <c r="J76" s="199"/>
      <c r="K76" s="199"/>
      <c r="L76" s="199"/>
      <c r="M76" s="199"/>
      <c r="N76" s="199">
        <v>1</v>
      </c>
      <c r="O76" s="199"/>
      <c r="P76" s="199"/>
      <c r="Q76" s="199"/>
      <c r="R76" s="199"/>
      <c r="S76" s="199"/>
      <c r="T76" s="199"/>
      <c r="U76" s="199"/>
      <c r="V76" s="199"/>
      <c r="W76" s="199"/>
      <c r="X76" s="199"/>
      <c r="Y76" s="199"/>
      <c r="Z76" s="199"/>
      <c r="AA76" s="199"/>
      <c r="AB76" s="199"/>
      <c r="AC76" s="199"/>
      <c r="AD76" s="199"/>
      <c r="AE76" s="199"/>
      <c r="AF76" s="206"/>
      <c r="AG76" s="64">
        <f t="shared" si="5"/>
        <v>1</v>
      </c>
    </row>
    <row r="77" spans="1:33" ht="19.5" thickBot="1" x14ac:dyDescent="0.3">
      <c r="A77" s="305" t="s">
        <v>121</v>
      </c>
      <c r="B77" s="253"/>
      <c r="C77" s="184"/>
      <c r="D77" s="181"/>
      <c r="E77" s="184"/>
      <c r="F77" s="184"/>
      <c r="G77" s="181"/>
      <c r="H77" s="184"/>
      <c r="I77" s="181"/>
      <c r="J77" s="184"/>
      <c r="K77" s="184"/>
      <c r="L77" s="184"/>
      <c r="M77" s="184"/>
      <c r="N77" s="184"/>
      <c r="O77" s="184"/>
      <c r="P77" s="184"/>
      <c r="Q77" s="184"/>
      <c r="R77" s="184"/>
      <c r="S77" s="184"/>
      <c r="T77" s="184"/>
      <c r="U77" s="184"/>
      <c r="V77" s="184"/>
      <c r="W77" s="184"/>
      <c r="X77" s="184"/>
      <c r="Y77" s="184"/>
      <c r="Z77" s="184"/>
      <c r="AA77" s="184"/>
      <c r="AB77" s="184"/>
      <c r="AC77" s="184"/>
      <c r="AD77" s="184"/>
      <c r="AE77" s="184"/>
      <c r="AF77" s="183"/>
      <c r="AG77" s="160">
        <f t="shared" si="5"/>
        <v>0</v>
      </c>
    </row>
    <row r="78" spans="1:33" ht="19.5" hidden="1" customHeight="1" thickBot="1" x14ac:dyDescent="0.3">
      <c r="A78" s="306" t="s">
        <v>120</v>
      </c>
      <c r="B78" s="254">
        <f t="shared" ref="B78:AF78" si="6">SUM(B79:B80)</f>
        <v>177</v>
      </c>
      <c r="C78" s="204">
        <f t="shared" si="6"/>
        <v>165</v>
      </c>
      <c r="D78" s="204">
        <f t="shared" si="6"/>
        <v>173</v>
      </c>
      <c r="E78" s="201">
        <f t="shared" si="6"/>
        <v>131</v>
      </c>
      <c r="F78" s="201">
        <f t="shared" si="6"/>
        <v>123</v>
      </c>
      <c r="G78" s="201">
        <f t="shared" si="6"/>
        <v>125</v>
      </c>
      <c r="H78" s="201">
        <f t="shared" si="6"/>
        <v>142</v>
      </c>
      <c r="I78" s="201">
        <f t="shared" si="6"/>
        <v>121</v>
      </c>
      <c r="J78" s="201">
        <f t="shared" si="6"/>
        <v>192</v>
      </c>
      <c r="K78" s="201">
        <f t="shared" si="6"/>
        <v>146</v>
      </c>
      <c r="L78" s="201">
        <f t="shared" si="6"/>
        <v>153</v>
      </c>
      <c r="M78" s="201">
        <f t="shared" si="6"/>
        <v>143</v>
      </c>
      <c r="N78" s="201">
        <f t="shared" si="6"/>
        <v>140</v>
      </c>
      <c r="O78" s="201">
        <f t="shared" si="6"/>
        <v>142</v>
      </c>
      <c r="P78" s="201">
        <f t="shared" si="6"/>
        <v>150</v>
      </c>
      <c r="Q78" s="201">
        <f t="shared" si="6"/>
        <v>153</v>
      </c>
      <c r="R78" s="201">
        <f t="shared" si="6"/>
        <v>141</v>
      </c>
      <c r="S78" s="201">
        <f t="shared" si="6"/>
        <v>147</v>
      </c>
      <c r="T78" s="201">
        <f t="shared" si="6"/>
        <v>128</v>
      </c>
      <c r="U78" s="201">
        <f t="shared" si="6"/>
        <v>162</v>
      </c>
      <c r="V78" s="201">
        <f t="shared" si="6"/>
        <v>134</v>
      </c>
      <c r="W78" s="201">
        <f t="shared" si="6"/>
        <v>145</v>
      </c>
      <c r="X78" s="201">
        <f t="shared" si="6"/>
        <v>172</v>
      </c>
      <c r="Y78" s="201">
        <f t="shared" si="6"/>
        <v>123</v>
      </c>
      <c r="Z78" s="201">
        <f t="shared" si="6"/>
        <v>145</v>
      </c>
      <c r="AA78" s="201">
        <f t="shared" si="6"/>
        <v>125</v>
      </c>
      <c r="AB78" s="201">
        <f t="shared" si="6"/>
        <v>117</v>
      </c>
      <c r="AC78" s="201">
        <f t="shared" si="6"/>
        <v>151</v>
      </c>
      <c r="AD78" s="201">
        <f t="shared" si="6"/>
        <v>133</v>
      </c>
      <c r="AE78" s="201">
        <f t="shared" si="6"/>
        <v>180</v>
      </c>
      <c r="AF78" s="203">
        <f t="shared" si="6"/>
        <v>160</v>
      </c>
      <c r="AG78" s="157">
        <f t="shared" si="5"/>
        <v>4539</v>
      </c>
    </row>
    <row r="79" spans="1:33" ht="19.5" hidden="1" customHeight="1" thickBot="1" x14ac:dyDescent="0.3">
      <c r="A79" s="307" t="s">
        <v>118</v>
      </c>
      <c r="B79" s="248">
        <f t="shared" ref="B79:AF79" si="7">SUM(B4:B27)-B80</f>
        <v>177</v>
      </c>
      <c r="C79" s="199">
        <f t="shared" si="7"/>
        <v>165</v>
      </c>
      <c r="D79" s="199">
        <f t="shared" si="7"/>
        <v>173</v>
      </c>
      <c r="E79" s="199">
        <f t="shared" si="7"/>
        <v>131</v>
      </c>
      <c r="F79" s="199">
        <f t="shared" si="7"/>
        <v>89</v>
      </c>
      <c r="G79" s="199">
        <f t="shared" si="7"/>
        <v>96</v>
      </c>
      <c r="H79" s="199">
        <f t="shared" si="7"/>
        <v>61</v>
      </c>
      <c r="I79" s="199">
        <f t="shared" si="7"/>
        <v>121</v>
      </c>
      <c r="J79" s="199">
        <f t="shared" si="7"/>
        <v>192</v>
      </c>
      <c r="K79" s="199">
        <f t="shared" si="7"/>
        <v>146</v>
      </c>
      <c r="L79" s="199">
        <f t="shared" si="7"/>
        <v>153</v>
      </c>
      <c r="M79" s="199">
        <f t="shared" si="7"/>
        <v>106</v>
      </c>
      <c r="N79" s="199">
        <f t="shared" si="7"/>
        <v>106</v>
      </c>
      <c r="O79" s="199">
        <f t="shared" si="7"/>
        <v>57</v>
      </c>
      <c r="P79" s="199">
        <f t="shared" si="7"/>
        <v>150</v>
      </c>
      <c r="Q79" s="199">
        <f t="shared" si="7"/>
        <v>153</v>
      </c>
      <c r="R79" s="199">
        <f t="shared" si="7"/>
        <v>107</v>
      </c>
      <c r="S79" s="199">
        <f t="shared" si="7"/>
        <v>106</v>
      </c>
      <c r="T79" s="199">
        <f t="shared" si="7"/>
        <v>109</v>
      </c>
      <c r="U79" s="199">
        <f t="shared" si="7"/>
        <v>90</v>
      </c>
      <c r="V79" s="199">
        <f t="shared" si="7"/>
        <v>58</v>
      </c>
      <c r="W79" s="199">
        <f t="shared" si="7"/>
        <v>145</v>
      </c>
      <c r="X79" s="199">
        <f t="shared" si="7"/>
        <v>172</v>
      </c>
      <c r="Y79" s="199">
        <f t="shared" si="7"/>
        <v>92</v>
      </c>
      <c r="Z79" s="199">
        <f t="shared" si="7"/>
        <v>145</v>
      </c>
      <c r="AA79" s="199">
        <f t="shared" si="7"/>
        <v>108</v>
      </c>
      <c r="AB79" s="199">
        <f t="shared" si="7"/>
        <v>91</v>
      </c>
      <c r="AC79" s="199">
        <f t="shared" si="7"/>
        <v>63</v>
      </c>
      <c r="AD79" s="199">
        <f t="shared" si="7"/>
        <v>133</v>
      </c>
      <c r="AE79" s="199">
        <f t="shared" si="7"/>
        <v>180</v>
      </c>
      <c r="AF79" s="199">
        <f t="shared" si="7"/>
        <v>126</v>
      </c>
      <c r="AG79" s="134">
        <f t="shared" si="5"/>
        <v>3801</v>
      </c>
    </row>
    <row r="80" spans="1:33" ht="19.5" hidden="1" customHeight="1" thickBot="1" x14ac:dyDescent="0.3">
      <c r="A80" s="308" t="s">
        <v>119</v>
      </c>
      <c r="B80" s="255"/>
      <c r="C80" s="169"/>
      <c r="D80" s="181">
        <v>0</v>
      </c>
      <c r="E80" s="181">
        <v>0</v>
      </c>
      <c r="F80" s="181">
        <f>SUM(F4:F12)</f>
        <v>34</v>
      </c>
      <c r="G80" s="181">
        <f>SUM(G4:G12)</f>
        <v>29</v>
      </c>
      <c r="H80" s="181">
        <f>SUM(H4:H12)</f>
        <v>81</v>
      </c>
      <c r="I80" s="169"/>
      <c r="J80" s="169"/>
      <c r="K80" s="181">
        <v>0</v>
      </c>
      <c r="L80" s="181">
        <v>0</v>
      </c>
      <c r="M80" s="181">
        <f>SUM(M4:M12)</f>
        <v>37</v>
      </c>
      <c r="N80" s="181">
        <f>SUM(N4:N12)</f>
        <v>34</v>
      </c>
      <c r="O80" s="181">
        <f>SUM(O4:O12)</f>
        <v>85</v>
      </c>
      <c r="P80" s="169"/>
      <c r="Q80" s="169"/>
      <c r="R80" s="181">
        <f>SUM(R4:R12)</f>
        <v>34</v>
      </c>
      <c r="S80" s="181">
        <f>SUM(S4:S12)</f>
        <v>41</v>
      </c>
      <c r="T80" s="181">
        <f>SUM(T4:T12)</f>
        <v>19</v>
      </c>
      <c r="U80" s="181">
        <f>SUM(U4:U12)</f>
        <v>72</v>
      </c>
      <c r="V80" s="181">
        <f>SUM(V4:V12)</f>
        <v>76</v>
      </c>
      <c r="W80" s="169"/>
      <c r="X80" s="169"/>
      <c r="Y80" s="181">
        <f>SUM(Y4:Y12)</f>
        <v>31</v>
      </c>
      <c r="Z80" s="169"/>
      <c r="AA80" s="181">
        <f>SUM(AA4:AA12)</f>
        <v>17</v>
      </c>
      <c r="AB80" s="181">
        <f>SUM(AB4:AB12)</f>
        <v>26</v>
      </c>
      <c r="AC80" s="181">
        <f>SUM(AC4:AC12)</f>
        <v>88</v>
      </c>
      <c r="AD80" s="169"/>
      <c r="AE80" s="169"/>
      <c r="AF80" s="181">
        <f>SUM(AF4:AF12)</f>
        <v>34</v>
      </c>
      <c r="AG80" s="160">
        <f t="shared" si="5"/>
        <v>738</v>
      </c>
    </row>
    <row r="81" spans="1:35" ht="19.5" thickBot="1" x14ac:dyDescent="0.3">
      <c r="A81" s="306" t="s">
        <v>84</v>
      </c>
      <c r="B81" s="256">
        <f t="shared" ref="B81:AF81" si="8">SUM(B82:B83)</f>
        <v>2</v>
      </c>
      <c r="C81" s="201">
        <f t="shared" si="8"/>
        <v>9</v>
      </c>
      <c r="D81" s="201">
        <f t="shared" si="8"/>
        <v>12</v>
      </c>
      <c r="E81" s="201">
        <f t="shared" si="8"/>
        <v>2</v>
      </c>
      <c r="F81" s="201">
        <f t="shared" si="8"/>
        <v>6</v>
      </c>
      <c r="G81" s="201">
        <f t="shared" si="8"/>
        <v>2</v>
      </c>
      <c r="H81" s="201">
        <f t="shared" si="8"/>
        <v>4</v>
      </c>
      <c r="I81" s="201">
        <f t="shared" si="8"/>
        <v>1</v>
      </c>
      <c r="J81" s="201">
        <f t="shared" si="8"/>
        <v>14</v>
      </c>
      <c r="K81" s="201">
        <f t="shared" si="8"/>
        <v>5</v>
      </c>
      <c r="L81" s="201">
        <f t="shared" si="8"/>
        <v>10</v>
      </c>
      <c r="M81" s="201">
        <f t="shared" si="8"/>
        <v>8</v>
      </c>
      <c r="N81" s="201">
        <f t="shared" si="8"/>
        <v>16</v>
      </c>
      <c r="O81" s="201">
        <f t="shared" si="8"/>
        <v>2</v>
      </c>
      <c r="P81" s="201">
        <f t="shared" si="8"/>
        <v>6</v>
      </c>
      <c r="Q81" s="201">
        <f t="shared" si="8"/>
        <v>8</v>
      </c>
      <c r="R81" s="201">
        <f t="shared" si="8"/>
        <v>11</v>
      </c>
      <c r="S81" s="201">
        <f t="shared" si="8"/>
        <v>4</v>
      </c>
      <c r="T81" s="201">
        <f t="shared" si="8"/>
        <v>8</v>
      </c>
      <c r="U81" s="201">
        <f t="shared" si="8"/>
        <v>3</v>
      </c>
      <c r="V81" s="201">
        <f t="shared" si="8"/>
        <v>2</v>
      </c>
      <c r="W81" s="201">
        <f t="shared" si="8"/>
        <v>4</v>
      </c>
      <c r="X81" s="201">
        <f t="shared" si="8"/>
        <v>16</v>
      </c>
      <c r="Y81" s="201">
        <f t="shared" si="8"/>
        <v>5</v>
      </c>
      <c r="Z81" s="201">
        <f t="shared" si="8"/>
        <v>11</v>
      </c>
      <c r="AA81" s="201">
        <f t="shared" si="8"/>
        <v>5</v>
      </c>
      <c r="AB81" s="201">
        <f t="shared" si="8"/>
        <v>2</v>
      </c>
      <c r="AC81" s="201">
        <f t="shared" si="8"/>
        <v>1</v>
      </c>
      <c r="AD81" s="201">
        <f t="shared" si="8"/>
        <v>4</v>
      </c>
      <c r="AE81" s="201">
        <f t="shared" si="8"/>
        <v>11</v>
      </c>
      <c r="AF81" s="201">
        <f t="shared" si="8"/>
        <v>9</v>
      </c>
      <c r="AG81" s="157">
        <f t="shared" si="5"/>
        <v>203</v>
      </c>
      <c r="AH81" s="53" t="str">
        <f>IF(AG81&lt;&gt;AG53,"*","")</f>
        <v/>
      </c>
    </row>
    <row r="82" spans="1:35" ht="18.75" x14ac:dyDescent="0.25">
      <c r="A82" s="307" t="s">
        <v>119</v>
      </c>
      <c r="B82" s="355"/>
      <c r="C82" s="199">
        <f t="shared" ref="C82:AF82" si="9">SUM(C54:C62)</f>
        <v>1</v>
      </c>
      <c r="D82" s="199">
        <f t="shared" si="9"/>
        <v>0</v>
      </c>
      <c r="E82" s="199">
        <f t="shared" si="9"/>
        <v>0</v>
      </c>
      <c r="F82" s="199">
        <f t="shared" si="9"/>
        <v>0</v>
      </c>
      <c r="G82" s="199">
        <f t="shared" si="9"/>
        <v>0</v>
      </c>
      <c r="H82" s="355"/>
      <c r="I82" s="355"/>
      <c r="J82" s="199">
        <f t="shared" si="9"/>
        <v>1</v>
      </c>
      <c r="K82" s="199">
        <f t="shared" si="9"/>
        <v>0</v>
      </c>
      <c r="L82" s="199">
        <f t="shared" si="9"/>
        <v>3</v>
      </c>
      <c r="M82" s="199">
        <f t="shared" si="9"/>
        <v>2</v>
      </c>
      <c r="N82" s="199">
        <f t="shared" si="9"/>
        <v>4</v>
      </c>
      <c r="O82" s="355"/>
      <c r="P82" s="355"/>
      <c r="Q82" s="199">
        <f t="shared" si="9"/>
        <v>1</v>
      </c>
      <c r="R82" s="199">
        <f t="shared" si="9"/>
        <v>1</v>
      </c>
      <c r="S82" s="199">
        <f t="shared" si="9"/>
        <v>1</v>
      </c>
      <c r="T82" s="199">
        <f t="shared" si="9"/>
        <v>2</v>
      </c>
      <c r="U82" s="355"/>
      <c r="V82" s="355"/>
      <c r="W82" s="355"/>
      <c r="X82" s="199">
        <f t="shared" si="9"/>
        <v>1</v>
      </c>
      <c r="Y82" s="199">
        <f t="shared" si="9"/>
        <v>1</v>
      </c>
      <c r="Z82" s="199">
        <f t="shared" si="9"/>
        <v>0</v>
      </c>
      <c r="AA82" s="199">
        <f t="shared" si="9"/>
        <v>1</v>
      </c>
      <c r="AB82" s="199">
        <f t="shared" si="9"/>
        <v>0</v>
      </c>
      <c r="AC82" s="355"/>
      <c r="AD82" s="355"/>
      <c r="AE82" s="199">
        <f t="shared" si="9"/>
        <v>1</v>
      </c>
      <c r="AF82" s="199">
        <f t="shared" si="9"/>
        <v>0</v>
      </c>
      <c r="AG82" s="134">
        <f t="shared" si="5"/>
        <v>20</v>
      </c>
    </row>
    <row r="83" spans="1:35" ht="19.5" thickBot="1" x14ac:dyDescent="0.3">
      <c r="A83" s="308" t="s">
        <v>118</v>
      </c>
      <c r="B83" s="252">
        <f t="shared" ref="B83:AF83" si="10">SUM(B54:B77)-B82</f>
        <v>2</v>
      </c>
      <c r="C83" s="181">
        <f t="shared" si="10"/>
        <v>8</v>
      </c>
      <c r="D83" s="181">
        <f t="shared" si="10"/>
        <v>12</v>
      </c>
      <c r="E83" s="181">
        <f t="shared" si="10"/>
        <v>2</v>
      </c>
      <c r="F83" s="181">
        <f t="shared" si="10"/>
        <v>6</v>
      </c>
      <c r="G83" s="181">
        <f t="shared" si="10"/>
        <v>2</v>
      </c>
      <c r="H83" s="181">
        <f t="shared" si="10"/>
        <v>4</v>
      </c>
      <c r="I83" s="181">
        <f t="shared" si="10"/>
        <v>1</v>
      </c>
      <c r="J83" s="181">
        <f t="shared" si="10"/>
        <v>13</v>
      </c>
      <c r="K83" s="181">
        <f t="shared" si="10"/>
        <v>5</v>
      </c>
      <c r="L83" s="181">
        <f t="shared" si="10"/>
        <v>7</v>
      </c>
      <c r="M83" s="181">
        <f t="shared" si="10"/>
        <v>6</v>
      </c>
      <c r="N83" s="181">
        <f t="shared" si="10"/>
        <v>12</v>
      </c>
      <c r="O83" s="181">
        <f t="shared" si="10"/>
        <v>2</v>
      </c>
      <c r="P83" s="181">
        <f t="shared" si="10"/>
        <v>6</v>
      </c>
      <c r="Q83" s="181">
        <f t="shared" si="10"/>
        <v>7</v>
      </c>
      <c r="R83" s="181">
        <f t="shared" si="10"/>
        <v>10</v>
      </c>
      <c r="S83" s="181">
        <f t="shared" si="10"/>
        <v>3</v>
      </c>
      <c r="T83" s="181">
        <f t="shared" si="10"/>
        <v>6</v>
      </c>
      <c r="U83" s="181">
        <f t="shared" si="10"/>
        <v>3</v>
      </c>
      <c r="V83" s="181">
        <f t="shared" si="10"/>
        <v>2</v>
      </c>
      <c r="W83" s="181">
        <f t="shared" si="10"/>
        <v>4</v>
      </c>
      <c r="X83" s="181">
        <f t="shared" si="10"/>
        <v>15</v>
      </c>
      <c r="Y83" s="181">
        <f t="shared" si="10"/>
        <v>4</v>
      </c>
      <c r="Z83" s="181">
        <f t="shared" si="10"/>
        <v>11</v>
      </c>
      <c r="AA83" s="181">
        <f t="shared" si="10"/>
        <v>4</v>
      </c>
      <c r="AB83" s="181">
        <f t="shared" si="10"/>
        <v>2</v>
      </c>
      <c r="AC83" s="181">
        <f t="shared" si="10"/>
        <v>1</v>
      </c>
      <c r="AD83" s="181">
        <f t="shared" si="10"/>
        <v>4</v>
      </c>
      <c r="AE83" s="181">
        <f t="shared" si="10"/>
        <v>10</v>
      </c>
      <c r="AF83" s="181">
        <f t="shared" si="10"/>
        <v>9</v>
      </c>
      <c r="AG83" s="64">
        <f t="shared" si="5"/>
        <v>183</v>
      </c>
    </row>
    <row r="84" spans="1:35" ht="19.5" thickBot="1" x14ac:dyDescent="0.3">
      <c r="A84" s="309" t="s">
        <v>117</v>
      </c>
      <c r="B84" s="257">
        <f t="shared" ref="B84:AF84" si="11">SUM(B85:B86)</f>
        <v>2</v>
      </c>
      <c r="C84" s="158">
        <f t="shared" si="11"/>
        <v>9</v>
      </c>
      <c r="D84" s="158">
        <f t="shared" si="11"/>
        <v>12</v>
      </c>
      <c r="E84" s="158">
        <f t="shared" si="11"/>
        <v>2</v>
      </c>
      <c r="F84" s="158">
        <f t="shared" si="11"/>
        <v>6</v>
      </c>
      <c r="G84" s="158">
        <f t="shared" si="11"/>
        <v>2</v>
      </c>
      <c r="H84" s="158">
        <f t="shared" si="11"/>
        <v>4</v>
      </c>
      <c r="I84" s="158">
        <f t="shared" si="11"/>
        <v>1</v>
      </c>
      <c r="J84" s="158">
        <f t="shared" si="11"/>
        <v>14</v>
      </c>
      <c r="K84" s="158">
        <f t="shared" si="11"/>
        <v>5</v>
      </c>
      <c r="L84" s="158">
        <f t="shared" si="11"/>
        <v>10</v>
      </c>
      <c r="M84" s="158">
        <f t="shared" si="11"/>
        <v>8</v>
      </c>
      <c r="N84" s="158">
        <f t="shared" si="11"/>
        <v>16</v>
      </c>
      <c r="O84" s="158">
        <f t="shared" si="11"/>
        <v>2</v>
      </c>
      <c r="P84" s="158">
        <f t="shared" si="11"/>
        <v>6</v>
      </c>
      <c r="Q84" s="158">
        <f t="shared" si="11"/>
        <v>8</v>
      </c>
      <c r="R84" s="158">
        <f t="shared" si="11"/>
        <v>11</v>
      </c>
      <c r="S84" s="158">
        <f t="shared" si="11"/>
        <v>4</v>
      </c>
      <c r="T84" s="158">
        <f t="shared" si="11"/>
        <v>8</v>
      </c>
      <c r="U84" s="158">
        <f t="shared" si="11"/>
        <v>3</v>
      </c>
      <c r="V84" s="158">
        <f t="shared" si="11"/>
        <v>2</v>
      </c>
      <c r="W84" s="158">
        <f t="shared" si="11"/>
        <v>4</v>
      </c>
      <c r="X84" s="158">
        <f t="shared" si="11"/>
        <v>16</v>
      </c>
      <c r="Y84" s="158">
        <f t="shared" si="11"/>
        <v>5</v>
      </c>
      <c r="Z84" s="158">
        <f t="shared" si="11"/>
        <v>11</v>
      </c>
      <c r="AA84" s="158">
        <f t="shared" si="11"/>
        <v>5</v>
      </c>
      <c r="AB84" s="158">
        <f t="shared" si="11"/>
        <v>2</v>
      </c>
      <c r="AC84" s="158">
        <f t="shared" si="11"/>
        <v>1</v>
      </c>
      <c r="AD84" s="158">
        <f t="shared" si="11"/>
        <v>4</v>
      </c>
      <c r="AE84" s="158">
        <f t="shared" si="11"/>
        <v>11</v>
      </c>
      <c r="AF84" s="158">
        <f t="shared" si="11"/>
        <v>9</v>
      </c>
      <c r="AG84" s="197">
        <f t="shared" si="5"/>
        <v>203</v>
      </c>
      <c r="AH84" s="53" t="str">
        <f>IF(AG84&lt;&gt;AG82+AG83,"*","")</f>
        <v/>
      </c>
      <c r="AI84" s="403" t="s">
        <v>71</v>
      </c>
    </row>
    <row r="85" spans="1:35" ht="18.75" x14ac:dyDescent="0.25">
      <c r="A85" s="310" t="s">
        <v>116</v>
      </c>
      <c r="B85" s="258">
        <v>0</v>
      </c>
      <c r="C85" s="195">
        <v>0</v>
      </c>
      <c r="D85" s="195">
        <v>0</v>
      </c>
      <c r="E85" s="195">
        <v>0</v>
      </c>
      <c r="F85" s="195">
        <v>0</v>
      </c>
      <c r="G85" s="195">
        <v>0</v>
      </c>
      <c r="H85" s="195">
        <v>0</v>
      </c>
      <c r="I85" s="195">
        <v>0</v>
      </c>
      <c r="J85" s="195">
        <v>2</v>
      </c>
      <c r="K85" s="195">
        <v>0</v>
      </c>
      <c r="L85" s="195">
        <v>0</v>
      </c>
      <c r="M85" s="195">
        <v>1</v>
      </c>
      <c r="N85" s="195">
        <v>2</v>
      </c>
      <c r="O85" s="195">
        <v>1</v>
      </c>
      <c r="P85" s="195">
        <v>2</v>
      </c>
      <c r="Q85" s="195">
        <v>1</v>
      </c>
      <c r="R85" s="195">
        <v>2</v>
      </c>
      <c r="S85" s="195">
        <v>2</v>
      </c>
      <c r="T85" s="195">
        <v>3</v>
      </c>
      <c r="U85" s="195">
        <v>0</v>
      </c>
      <c r="V85" s="195">
        <v>1</v>
      </c>
      <c r="W85" s="195">
        <v>1</v>
      </c>
      <c r="X85" s="195">
        <v>1</v>
      </c>
      <c r="Y85" s="195">
        <v>0</v>
      </c>
      <c r="Z85" s="195">
        <v>3</v>
      </c>
      <c r="AA85" s="195">
        <v>1</v>
      </c>
      <c r="AB85" s="195">
        <v>0</v>
      </c>
      <c r="AC85" s="195">
        <v>0</v>
      </c>
      <c r="AD85" s="195">
        <v>3</v>
      </c>
      <c r="AE85" s="195">
        <v>0</v>
      </c>
      <c r="AF85" s="194">
        <v>0</v>
      </c>
      <c r="AG85" s="193">
        <f t="shared" si="5"/>
        <v>26</v>
      </c>
      <c r="AI85" s="404"/>
    </row>
    <row r="86" spans="1:35" ht="19.5" thickBot="1" x14ac:dyDescent="0.3">
      <c r="A86" s="311" t="s">
        <v>115</v>
      </c>
      <c r="B86" s="259">
        <v>2</v>
      </c>
      <c r="C86" s="191">
        <v>9</v>
      </c>
      <c r="D86" s="191">
        <v>12</v>
      </c>
      <c r="E86" s="191">
        <v>2</v>
      </c>
      <c r="F86" s="191">
        <v>6</v>
      </c>
      <c r="G86" s="191">
        <v>2</v>
      </c>
      <c r="H86" s="191">
        <v>4</v>
      </c>
      <c r="I86" s="191">
        <v>1</v>
      </c>
      <c r="J86" s="191">
        <v>12</v>
      </c>
      <c r="K86" s="191">
        <v>5</v>
      </c>
      <c r="L86" s="191">
        <v>10</v>
      </c>
      <c r="M86" s="191">
        <v>7</v>
      </c>
      <c r="N86" s="191">
        <v>14</v>
      </c>
      <c r="O86" s="191">
        <v>1</v>
      </c>
      <c r="P86" s="191">
        <v>4</v>
      </c>
      <c r="Q86" s="191">
        <v>7</v>
      </c>
      <c r="R86" s="191">
        <v>9</v>
      </c>
      <c r="S86" s="191">
        <v>2</v>
      </c>
      <c r="T86" s="191">
        <v>5</v>
      </c>
      <c r="U86" s="191">
        <v>3</v>
      </c>
      <c r="V86" s="191">
        <v>1</v>
      </c>
      <c r="W86" s="191">
        <v>3</v>
      </c>
      <c r="X86" s="191">
        <v>15</v>
      </c>
      <c r="Y86" s="191">
        <v>5</v>
      </c>
      <c r="Z86" s="191">
        <v>8</v>
      </c>
      <c r="AA86" s="191">
        <v>4</v>
      </c>
      <c r="AB86" s="191">
        <v>2</v>
      </c>
      <c r="AC86" s="191">
        <v>1</v>
      </c>
      <c r="AD86" s="191">
        <v>1</v>
      </c>
      <c r="AE86" s="191">
        <v>11</v>
      </c>
      <c r="AF86" s="190">
        <v>9</v>
      </c>
      <c r="AG86" s="189">
        <f t="shared" si="5"/>
        <v>177</v>
      </c>
      <c r="AI86" s="405"/>
    </row>
    <row r="87" spans="1:35" ht="19.5" thickBot="1" x14ac:dyDescent="0.3">
      <c r="A87" s="312" t="s">
        <v>114</v>
      </c>
      <c r="B87" s="260">
        <f t="shared" ref="B87:AF87" si="12">SUM(B88:B92)</f>
        <v>2</v>
      </c>
      <c r="C87" s="187">
        <f t="shared" si="12"/>
        <v>9</v>
      </c>
      <c r="D87" s="187">
        <f t="shared" si="12"/>
        <v>12</v>
      </c>
      <c r="E87" s="187">
        <f t="shared" si="12"/>
        <v>2</v>
      </c>
      <c r="F87" s="187">
        <f t="shared" si="12"/>
        <v>6</v>
      </c>
      <c r="G87" s="187">
        <f t="shared" si="12"/>
        <v>2</v>
      </c>
      <c r="H87" s="187">
        <f t="shared" si="12"/>
        <v>4</v>
      </c>
      <c r="I87" s="187">
        <f t="shared" si="12"/>
        <v>1</v>
      </c>
      <c r="J87" s="187">
        <f t="shared" si="12"/>
        <v>14</v>
      </c>
      <c r="K87" s="187">
        <f t="shared" si="12"/>
        <v>5</v>
      </c>
      <c r="L87" s="187">
        <f t="shared" si="12"/>
        <v>10</v>
      </c>
      <c r="M87" s="187">
        <f t="shared" si="12"/>
        <v>8</v>
      </c>
      <c r="N87" s="187">
        <f t="shared" si="12"/>
        <v>16</v>
      </c>
      <c r="O87" s="187">
        <f t="shared" si="12"/>
        <v>2</v>
      </c>
      <c r="P87" s="187">
        <f t="shared" si="12"/>
        <v>6</v>
      </c>
      <c r="Q87" s="187">
        <f t="shared" si="12"/>
        <v>8</v>
      </c>
      <c r="R87" s="187">
        <f t="shared" si="12"/>
        <v>11</v>
      </c>
      <c r="S87" s="187">
        <f t="shared" si="12"/>
        <v>4</v>
      </c>
      <c r="T87" s="187">
        <f t="shared" si="12"/>
        <v>8</v>
      </c>
      <c r="U87" s="187">
        <f t="shared" si="12"/>
        <v>3</v>
      </c>
      <c r="V87" s="187">
        <f t="shared" si="12"/>
        <v>2</v>
      </c>
      <c r="W87" s="187">
        <f t="shared" si="12"/>
        <v>4</v>
      </c>
      <c r="X87" s="187">
        <f t="shared" si="12"/>
        <v>16</v>
      </c>
      <c r="Y87" s="187">
        <f t="shared" si="12"/>
        <v>5</v>
      </c>
      <c r="Z87" s="187">
        <f t="shared" si="12"/>
        <v>11</v>
      </c>
      <c r="AA87" s="187">
        <f t="shared" si="12"/>
        <v>5</v>
      </c>
      <c r="AB87" s="187">
        <f t="shared" si="12"/>
        <v>2</v>
      </c>
      <c r="AC87" s="187">
        <f t="shared" si="12"/>
        <v>1</v>
      </c>
      <c r="AD87" s="187">
        <f t="shared" si="12"/>
        <v>4</v>
      </c>
      <c r="AE87" s="187">
        <f t="shared" si="12"/>
        <v>11</v>
      </c>
      <c r="AF87" s="187">
        <f t="shared" si="12"/>
        <v>9</v>
      </c>
      <c r="AG87" s="186">
        <f t="shared" si="5"/>
        <v>203</v>
      </c>
      <c r="AH87" s="185" t="str">
        <f>IF(AG87&lt;&gt;AG84,"*","")</f>
        <v/>
      </c>
    </row>
    <row r="88" spans="1:35" ht="18.75" x14ac:dyDescent="0.25">
      <c r="A88" s="313" t="s">
        <v>113</v>
      </c>
      <c r="B88" s="253">
        <v>1</v>
      </c>
      <c r="C88" s="184">
        <v>3</v>
      </c>
      <c r="D88" s="184">
        <v>2</v>
      </c>
      <c r="E88" s="184"/>
      <c r="F88" s="184">
        <v>2</v>
      </c>
      <c r="G88" s="184">
        <v>1</v>
      </c>
      <c r="H88" s="184">
        <v>1</v>
      </c>
      <c r="I88" s="184"/>
      <c r="J88" s="184">
        <v>8</v>
      </c>
      <c r="K88" s="184">
        <v>1</v>
      </c>
      <c r="L88" s="184">
        <v>1</v>
      </c>
      <c r="M88" s="184">
        <v>2</v>
      </c>
      <c r="N88" s="184">
        <v>10</v>
      </c>
      <c r="O88" s="184">
        <v>1</v>
      </c>
      <c r="P88" s="184">
        <v>2</v>
      </c>
      <c r="Q88" s="184">
        <v>3</v>
      </c>
      <c r="R88" s="184">
        <v>4</v>
      </c>
      <c r="S88" s="184">
        <v>3</v>
      </c>
      <c r="T88" s="184">
        <v>6</v>
      </c>
      <c r="U88" s="184">
        <v>2</v>
      </c>
      <c r="V88" s="184"/>
      <c r="W88" s="184">
        <v>2</v>
      </c>
      <c r="X88" s="184">
        <v>7</v>
      </c>
      <c r="Y88" s="184">
        <v>3</v>
      </c>
      <c r="Z88" s="184">
        <v>9</v>
      </c>
      <c r="AA88" s="184">
        <v>2</v>
      </c>
      <c r="AB88" s="184">
        <v>1</v>
      </c>
      <c r="AC88" s="184"/>
      <c r="AD88" s="184">
        <v>2</v>
      </c>
      <c r="AE88" s="184">
        <v>4</v>
      </c>
      <c r="AF88" s="183"/>
      <c r="AG88" s="134">
        <f t="shared" si="5"/>
        <v>83</v>
      </c>
    </row>
    <row r="89" spans="1:35" ht="18.75" x14ac:dyDescent="0.25">
      <c r="A89" s="314" t="s">
        <v>16</v>
      </c>
      <c r="B89" s="252"/>
      <c r="C89" s="181"/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  <c r="AA89" s="181"/>
      <c r="AB89" s="181"/>
      <c r="AC89" s="181"/>
      <c r="AD89" s="181"/>
      <c r="AE89" s="181"/>
      <c r="AF89" s="180"/>
      <c r="AG89" s="64">
        <f t="shared" si="5"/>
        <v>0</v>
      </c>
    </row>
    <row r="90" spans="1:35" ht="18.75" x14ac:dyDescent="0.25">
      <c r="A90" s="314" t="s">
        <v>15</v>
      </c>
      <c r="B90" s="252"/>
      <c r="C90" s="181"/>
      <c r="D90" s="181"/>
      <c r="E90" s="181"/>
      <c r="F90" s="181"/>
      <c r="G90" s="181"/>
      <c r="H90" s="181"/>
      <c r="I90" s="181"/>
      <c r="J90" s="181"/>
      <c r="K90" s="181"/>
      <c r="L90" s="181"/>
      <c r="M90" s="181"/>
      <c r="N90" s="181">
        <v>1</v>
      </c>
      <c r="O90" s="181"/>
      <c r="P90" s="181"/>
      <c r="Q90" s="181"/>
      <c r="R90" s="181"/>
      <c r="S90" s="181"/>
      <c r="T90" s="181"/>
      <c r="U90" s="181"/>
      <c r="V90" s="181"/>
      <c r="W90" s="181"/>
      <c r="X90" s="181"/>
      <c r="Y90" s="181"/>
      <c r="Z90" s="181">
        <v>1</v>
      </c>
      <c r="AA90" s="181"/>
      <c r="AB90" s="181"/>
      <c r="AC90" s="181"/>
      <c r="AD90" s="181"/>
      <c r="AE90" s="181"/>
      <c r="AF90" s="180"/>
      <c r="AG90" s="64">
        <f t="shared" si="5"/>
        <v>2</v>
      </c>
    </row>
    <row r="91" spans="1:35" ht="18.75" x14ac:dyDescent="0.25">
      <c r="A91" s="314" t="s">
        <v>14</v>
      </c>
      <c r="B91" s="252">
        <v>1</v>
      </c>
      <c r="C91" s="181">
        <v>1</v>
      </c>
      <c r="D91" s="181">
        <v>4</v>
      </c>
      <c r="E91" s="181">
        <v>2</v>
      </c>
      <c r="F91" s="181">
        <v>4</v>
      </c>
      <c r="G91" s="181">
        <v>1</v>
      </c>
      <c r="H91" s="181"/>
      <c r="I91" s="181">
        <v>1</v>
      </c>
      <c r="J91" s="181">
        <v>2</v>
      </c>
      <c r="K91" s="181">
        <v>1</v>
      </c>
      <c r="L91" s="181">
        <v>6</v>
      </c>
      <c r="M91" s="181">
        <v>2</v>
      </c>
      <c r="N91" s="181">
        <v>4</v>
      </c>
      <c r="O91" s="181">
        <v>1</v>
      </c>
      <c r="P91" s="181">
        <v>3</v>
      </c>
      <c r="Q91" s="181">
        <v>3</v>
      </c>
      <c r="R91" s="181">
        <v>5</v>
      </c>
      <c r="S91" s="181">
        <v>1</v>
      </c>
      <c r="T91" s="181"/>
      <c r="U91" s="181">
        <v>1</v>
      </c>
      <c r="V91" s="181">
        <v>2</v>
      </c>
      <c r="W91" s="181">
        <v>1</v>
      </c>
      <c r="X91" s="181">
        <v>6</v>
      </c>
      <c r="Y91" s="181">
        <v>1</v>
      </c>
      <c r="Z91" s="181"/>
      <c r="AA91" s="181"/>
      <c r="AB91" s="181"/>
      <c r="AC91" s="181">
        <v>1</v>
      </c>
      <c r="AD91" s="181">
        <v>1</v>
      </c>
      <c r="AE91" s="181">
        <v>2</v>
      </c>
      <c r="AF91" s="180">
        <v>3</v>
      </c>
      <c r="AG91" s="64">
        <f t="shared" si="5"/>
        <v>60</v>
      </c>
    </row>
    <row r="92" spans="1:35" ht="19.5" thickBot="1" x14ac:dyDescent="0.3">
      <c r="A92" s="314" t="s">
        <v>13</v>
      </c>
      <c r="B92" s="252"/>
      <c r="C92" s="181">
        <v>5</v>
      </c>
      <c r="D92" s="181">
        <v>6</v>
      </c>
      <c r="E92" s="181"/>
      <c r="F92" s="181"/>
      <c r="G92" s="181"/>
      <c r="H92" s="181">
        <v>3</v>
      </c>
      <c r="I92" s="181"/>
      <c r="J92" s="181">
        <v>4</v>
      </c>
      <c r="K92" s="181">
        <v>3</v>
      </c>
      <c r="L92" s="181">
        <v>3</v>
      </c>
      <c r="M92" s="181">
        <v>4</v>
      </c>
      <c r="N92" s="181">
        <v>1</v>
      </c>
      <c r="O92" s="181"/>
      <c r="P92" s="181">
        <v>1</v>
      </c>
      <c r="Q92" s="181">
        <v>2</v>
      </c>
      <c r="R92" s="181">
        <v>2</v>
      </c>
      <c r="S92" s="181"/>
      <c r="T92" s="181">
        <v>2</v>
      </c>
      <c r="U92" s="181"/>
      <c r="V92" s="181"/>
      <c r="W92" s="181">
        <v>1</v>
      </c>
      <c r="X92" s="181">
        <v>3</v>
      </c>
      <c r="Y92" s="181">
        <v>1</v>
      </c>
      <c r="Z92" s="181">
        <v>1</v>
      </c>
      <c r="AA92" s="181">
        <v>3</v>
      </c>
      <c r="AB92" s="181">
        <v>1</v>
      </c>
      <c r="AC92" s="181"/>
      <c r="AD92" s="181">
        <v>1</v>
      </c>
      <c r="AE92" s="181">
        <v>5</v>
      </c>
      <c r="AF92" s="180">
        <v>6</v>
      </c>
      <c r="AG92" s="64">
        <f t="shared" si="5"/>
        <v>58</v>
      </c>
    </row>
    <row r="93" spans="1:35" ht="18.75" x14ac:dyDescent="0.25">
      <c r="A93" s="315" t="s">
        <v>112</v>
      </c>
      <c r="B93" s="261">
        <f t="shared" ref="B93:AF93" si="13">+B94+B100</f>
        <v>175</v>
      </c>
      <c r="C93" s="166">
        <f t="shared" si="13"/>
        <v>156</v>
      </c>
      <c r="D93" s="166">
        <f t="shared" si="13"/>
        <v>161</v>
      </c>
      <c r="E93" s="166">
        <f t="shared" si="13"/>
        <v>129</v>
      </c>
      <c r="F93" s="166">
        <f t="shared" si="13"/>
        <v>117</v>
      </c>
      <c r="G93" s="166">
        <f t="shared" si="13"/>
        <v>123</v>
      </c>
      <c r="H93" s="166">
        <f t="shared" si="13"/>
        <v>138</v>
      </c>
      <c r="I93" s="166">
        <f t="shared" si="13"/>
        <v>120</v>
      </c>
      <c r="J93" s="166">
        <f t="shared" si="13"/>
        <v>178</v>
      </c>
      <c r="K93" s="166">
        <f t="shared" si="13"/>
        <v>141</v>
      </c>
      <c r="L93" s="166">
        <f t="shared" si="13"/>
        <v>143</v>
      </c>
      <c r="M93" s="166">
        <f t="shared" si="13"/>
        <v>135</v>
      </c>
      <c r="N93" s="166">
        <f t="shared" si="13"/>
        <v>124</v>
      </c>
      <c r="O93" s="166">
        <f t="shared" si="13"/>
        <v>140</v>
      </c>
      <c r="P93" s="166">
        <f t="shared" si="13"/>
        <v>144</v>
      </c>
      <c r="Q93" s="166">
        <f t="shared" si="13"/>
        <v>145</v>
      </c>
      <c r="R93" s="166">
        <f t="shared" si="13"/>
        <v>130</v>
      </c>
      <c r="S93" s="166">
        <f t="shared" si="13"/>
        <v>143</v>
      </c>
      <c r="T93" s="166">
        <f t="shared" si="13"/>
        <v>120</v>
      </c>
      <c r="U93" s="166">
        <f t="shared" si="13"/>
        <v>159</v>
      </c>
      <c r="V93" s="166">
        <f t="shared" si="13"/>
        <v>132</v>
      </c>
      <c r="W93" s="166">
        <f t="shared" si="13"/>
        <v>141</v>
      </c>
      <c r="X93" s="166">
        <f t="shared" si="13"/>
        <v>156</v>
      </c>
      <c r="Y93" s="166">
        <f t="shared" si="13"/>
        <v>118</v>
      </c>
      <c r="Z93" s="166">
        <f t="shared" si="13"/>
        <v>134</v>
      </c>
      <c r="AA93" s="166">
        <f t="shared" si="13"/>
        <v>120</v>
      </c>
      <c r="AB93" s="166">
        <f t="shared" si="13"/>
        <v>115</v>
      </c>
      <c r="AC93" s="166">
        <f t="shared" si="13"/>
        <v>150</v>
      </c>
      <c r="AD93" s="166">
        <f t="shared" si="13"/>
        <v>129</v>
      </c>
      <c r="AE93" s="166">
        <f t="shared" si="13"/>
        <v>169</v>
      </c>
      <c r="AF93" s="165">
        <f t="shared" si="13"/>
        <v>151</v>
      </c>
      <c r="AG93" s="164">
        <f t="shared" si="5"/>
        <v>4336</v>
      </c>
      <c r="AH93" s="179" t="str">
        <f>IF(AG93&lt;&gt;AG28,"*","")</f>
        <v/>
      </c>
    </row>
    <row r="94" spans="1:35" ht="18.75" x14ac:dyDescent="0.25">
      <c r="A94" s="66" t="s">
        <v>111</v>
      </c>
      <c r="B94" s="262">
        <f t="shared" ref="B94:AF94" si="14">SUM(B95:B99)</f>
        <v>14</v>
      </c>
      <c r="C94" s="68">
        <f t="shared" si="14"/>
        <v>10</v>
      </c>
      <c r="D94" s="68">
        <f t="shared" si="14"/>
        <v>18</v>
      </c>
      <c r="E94" s="68">
        <f t="shared" si="14"/>
        <v>17</v>
      </c>
      <c r="F94" s="68">
        <f t="shared" si="14"/>
        <v>11</v>
      </c>
      <c r="G94" s="68">
        <f t="shared" si="14"/>
        <v>19</v>
      </c>
      <c r="H94" s="68">
        <f t="shared" si="14"/>
        <v>17</v>
      </c>
      <c r="I94" s="68">
        <f t="shared" si="14"/>
        <v>8</v>
      </c>
      <c r="J94" s="68">
        <f t="shared" si="14"/>
        <v>19</v>
      </c>
      <c r="K94" s="68">
        <f t="shared" si="14"/>
        <v>7</v>
      </c>
      <c r="L94" s="68">
        <f t="shared" si="14"/>
        <v>13</v>
      </c>
      <c r="M94" s="68">
        <f t="shared" si="14"/>
        <v>20</v>
      </c>
      <c r="N94" s="68">
        <f t="shared" si="14"/>
        <v>15</v>
      </c>
      <c r="O94" s="68">
        <f t="shared" si="14"/>
        <v>19</v>
      </c>
      <c r="P94" s="68">
        <f t="shared" si="14"/>
        <v>14</v>
      </c>
      <c r="Q94" s="68">
        <f t="shared" si="14"/>
        <v>16</v>
      </c>
      <c r="R94" s="68">
        <f t="shared" si="14"/>
        <v>13</v>
      </c>
      <c r="S94" s="68">
        <f t="shared" si="14"/>
        <v>12</v>
      </c>
      <c r="T94" s="68">
        <f t="shared" si="14"/>
        <v>7</v>
      </c>
      <c r="U94" s="68">
        <f t="shared" si="14"/>
        <v>8</v>
      </c>
      <c r="V94" s="68">
        <f t="shared" si="14"/>
        <v>16</v>
      </c>
      <c r="W94" s="68">
        <f t="shared" si="14"/>
        <v>14</v>
      </c>
      <c r="X94" s="68">
        <f t="shared" si="14"/>
        <v>13</v>
      </c>
      <c r="Y94" s="68">
        <f t="shared" si="14"/>
        <v>6</v>
      </c>
      <c r="Z94" s="68">
        <f t="shared" si="14"/>
        <v>13</v>
      </c>
      <c r="AA94" s="68">
        <f t="shared" si="14"/>
        <v>4</v>
      </c>
      <c r="AB94" s="68">
        <f t="shared" si="14"/>
        <v>6</v>
      </c>
      <c r="AC94" s="68">
        <f t="shared" si="14"/>
        <v>9</v>
      </c>
      <c r="AD94" s="68">
        <f t="shared" si="14"/>
        <v>10</v>
      </c>
      <c r="AE94" s="68">
        <f t="shared" si="14"/>
        <v>17</v>
      </c>
      <c r="AF94" s="67">
        <f t="shared" si="14"/>
        <v>10</v>
      </c>
      <c r="AG94" s="64">
        <f t="shared" si="5"/>
        <v>395</v>
      </c>
    </row>
    <row r="95" spans="1:35" ht="18.75" x14ac:dyDescent="0.25">
      <c r="A95" s="316" t="s">
        <v>110</v>
      </c>
      <c r="B95" s="249">
        <v>1</v>
      </c>
      <c r="C95" s="162"/>
      <c r="D95" s="162">
        <v>1</v>
      </c>
      <c r="E95" s="162"/>
      <c r="F95" s="162">
        <v>1</v>
      </c>
      <c r="G95" s="162">
        <v>2</v>
      </c>
      <c r="H95" s="162">
        <v>1</v>
      </c>
      <c r="I95" s="162"/>
      <c r="J95" s="162"/>
      <c r="K95" s="162">
        <v>3</v>
      </c>
      <c r="L95" s="162"/>
      <c r="M95" s="162">
        <v>1</v>
      </c>
      <c r="N95" s="162">
        <v>1</v>
      </c>
      <c r="O95" s="162"/>
      <c r="P95" s="162"/>
      <c r="Q95" s="162"/>
      <c r="R95" s="162"/>
      <c r="S95" s="162"/>
      <c r="T95" s="162">
        <v>1</v>
      </c>
      <c r="U95" s="162"/>
      <c r="V95" s="162"/>
      <c r="W95" s="162">
        <v>1</v>
      </c>
      <c r="X95" s="162"/>
      <c r="Y95" s="162"/>
      <c r="Z95" s="162">
        <v>2</v>
      </c>
      <c r="AA95" s="162"/>
      <c r="AB95" s="162">
        <v>1</v>
      </c>
      <c r="AC95" s="162"/>
      <c r="AD95" s="162"/>
      <c r="AE95" s="162"/>
      <c r="AF95" s="161"/>
      <c r="AG95" s="64">
        <f t="shared" si="5"/>
        <v>16</v>
      </c>
    </row>
    <row r="96" spans="1:35" ht="18.75" x14ac:dyDescent="0.25">
      <c r="A96" s="317" t="s">
        <v>109</v>
      </c>
      <c r="B96" s="249"/>
      <c r="C96" s="162">
        <v>2</v>
      </c>
      <c r="D96" s="162">
        <v>1</v>
      </c>
      <c r="E96" s="162">
        <v>1</v>
      </c>
      <c r="F96" s="162">
        <v>2</v>
      </c>
      <c r="G96" s="162">
        <v>1</v>
      </c>
      <c r="H96" s="162">
        <v>2</v>
      </c>
      <c r="I96" s="162"/>
      <c r="J96" s="162"/>
      <c r="K96" s="162">
        <v>1</v>
      </c>
      <c r="L96" s="162">
        <v>1</v>
      </c>
      <c r="M96" s="162">
        <v>1</v>
      </c>
      <c r="N96" s="162">
        <v>1</v>
      </c>
      <c r="O96" s="162">
        <v>1</v>
      </c>
      <c r="P96" s="162"/>
      <c r="Q96" s="162">
        <v>1</v>
      </c>
      <c r="R96" s="162">
        <v>1</v>
      </c>
      <c r="S96" s="176"/>
      <c r="T96" s="162"/>
      <c r="U96" s="162">
        <v>1</v>
      </c>
      <c r="V96" s="162"/>
      <c r="W96" s="162">
        <v>1</v>
      </c>
      <c r="X96" s="162"/>
      <c r="Y96" s="162"/>
      <c r="Z96" s="162">
        <v>1</v>
      </c>
      <c r="AA96" s="162"/>
      <c r="AB96" s="162"/>
      <c r="AC96" s="162">
        <v>1</v>
      </c>
      <c r="AD96" s="162">
        <v>1</v>
      </c>
      <c r="AE96" s="162">
        <v>1</v>
      </c>
      <c r="AF96" s="161"/>
      <c r="AG96" s="64">
        <f t="shared" si="5"/>
        <v>22</v>
      </c>
    </row>
    <row r="97" spans="1:33" ht="18.75" x14ac:dyDescent="0.25">
      <c r="A97" s="318" t="s">
        <v>108</v>
      </c>
      <c r="B97" s="249"/>
      <c r="C97" s="162">
        <v>1</v>
      </c>
      <c r="D97" s="162">
        <v>1</v>
      </c>
      <c r="E97" s="162">
        <v>1</v>
      </c>
      <c r="F97" s="162">
        <v>1</v>
      </c>
      <c r="G97" s="162">
        <v>5</v>
      </c>
      <c r="H97" s="162">
        <v>4</v>
      </c>
      <c r="I97" s="162">
        <v>3</v>
      </c>
      <c r="J97" s="162">
        <v>4</v>
      </c>
      <c r="K97" s="162">
        <v>1</v>
      </c>
      <c r="L97" s="162">
        <v>3</v>
      </c>
      <c r="M97" s="162">
        <v>5</v>
      </c>
      <c r="N97" s="162">
        <v>3</v>
      </c>
      <c r="O97" s="162">
        <v>3</v>
      </c>
      <c r="P97" s="162">
        <v>3</v>
      </c>
      <c r="Q97" s="162">
        <v>1</v>
      </c>
      <c r="R97" s="162"/>
      <c r="S97" s="162">
        <v>2</v>
      </c>
      <c r="T97" s="162">
        <v>1</v>
      </c>
      <c r="U97" s="162">
        <v>3</v>
      </c>
      <c r="V97" s="162">
        <v>2</v>
      </c>
      <c r="W97" s="162">
        <v>5</v>
      </c>
      <c r="X97" s="162">
        <v>4</v>
      </c>
      <c r="Y97" s="162"/>
      <c r="Z97" s="162">
        <v>1</v>
      </c>
      <c r="AA97" s="162">
        <v>1</v>
      </c>
      <c r="AB97" s="162">
        <v>1</v>
      </c>
      <c r="AC97" s="162">
        <v>1</v>
      </c>
      <c r="AD97" s="162">
        <v>1</v>
      </c>
      <c r="AE97" s="162">
        <v>2</v>
      </c>
      <c r="AF97" s="161">
        <v>1</v>
      </c>
      <c r="AG97" s="64">
        <f t="shared" si="5"/>
        <v>64</v>
      </c>
    </row>
    <row r="98" spans="1:33" ht="18.75" x14ac:dyDescent="0.25">
      <c r="A98" s="319" t="s">
        <v>107</v>
      </c>
      <c r="B98" s="249">
        <v>7</v>
      </c>
      <c r="C98" s="162">
        <v>2</v>
      </c>
      <c r="D98" s="162">
        <v>10</v>
      </c>
      <c r="E98" s="162">
        <v>7</v>
      </c>
      <c r="F98" s="162">
        <v>4</v>
      </c>
      <c r="G98" s="162">
        <v>6</v>
      </c>
      <c r="H98" s="162">
        <v>6</v>
      </c>
      <c r="I98" s="162">
        <v>2</v>
      </c>
      <c r="J98" s="162">
        <v>6</v>
      </c>
      <c r="K98" s="162"/>
      <c r="L98" s="162">
        <v>5</v>
      </c>
      <c r="M98" s="162">
        <v>7</v>
      </c>
      <c r="N98" s="162">
        <v>4</v>
      </c>
      <c r="O98" s="162">
        <v>4</v>
      </c>
      <c r="P98" s="162">
        <v>6</v>
      </c>
      <c r="Q98" s="162">
        <v>5</v>
      </c>
      <c r="R98" s="162">
        <v>4</v>
      </c>
      <c r="S98" s="162">
        <v>5</v>
      </c>
      <c r="T98" s="162">
        <v>3</v>
      </c>
      <c r="U98" s="162">
        <v>3</v>
      </c>
      <c r="V98" s="162">
        <v>5</v>
      </c>
      <c r="W98" s="162">
        <v>3</v>
      </c>
      <c r="X98" s="162">
        <v>5</v>
      </c>
      <c r="Y98" s="162">
        <v>1</v>
      </c>
      <c r="Z98" s="162">
        <v>3</v>
      </c>
      <c r="AA98" s="162"/>
      <c r="AB98" s="162">
        <v>2</v>
      </c>
      <c r="AC98" s="162">
        <v>3</v>
      </c>
      <c r="AD98" s="162">
        <v>3</v>
      </c>
      <c r="AE98" s="162">
        <v>6</v>
      </c>
      <c r="AF98" s="161">
        <v>4</v>
      </c>
      <c r="AG98" s="64">
        <f t="shared" si="5"/>
        <v>131</v>
      </c>
    </row>
    <row r="99" spans="1:33" ht="18.75" x14ac:dyDescent="0.25">
      <c r="A99" s="320" t="s">
        <v>106</v>
      </c>
      <c r="B99" s="249">
        <v>6</v>
      </c>
      <c r="C99" s="162">
        <v>5</v>
      </c>
      <c r="D99" s="162">
        <v>5</v>
      </c>
      <c r="E99" s="162">
        <v>8</v>
      </c>
      <c r="F99" s="162">
        <v>3</v>
      </c>
      <c r="G99" s="162">
        <v>5</v>
      </c>
      <c r="H99" s="162">
        <v>4</v>
      </c>
      <c r="I99" s="162">
        <v>3</v>
      </c>
      <c r="J99" s="162">
        <v>9</v>
      </c>
      <c r="K99" s="162">
        <v>2</v>
      </c>
      <c r="L99" s="162">
        <v>4</v>
      </c>
      <c r="M99" s="162">
        <v>6</v>
      </c>
      <c r="N99" s="162">
        <v>6</v>
      </c>
      <c r="O99" s="162">
        <v>11</v>
      </c>
      <c r="P99" s="162">
        <v>5</v>
      </c>
      <c r="Q99" s="162">
        <v>9</v>
      </c>
      <c r="R99" s="162">
        <v>8</v>
      </c>
      <c r="S99" s="162">
        <v>5</v>
      </c>
      <c r="T99" s="162">
        <v>2</v>
      </c>
      <c r="U99" s="162">
        <v>1</v>
      </c>
      <c r="V99" s="162">
        <v>9</v>
      </c>
      <c r="W99" s="162">
        <v>4</v>
      </c>
      <c r="X99" s="162">
        <v>4</v>
      </c>
      <c r="Y99" s="162">
        <v>5</v>
      </c>
      <c r="Z99" s="162">
        <v>6</v>
      </c>
      <c r="AA99" s="162">
        <v>3</v>
      </c>
      <c r="AB99" s="162">
        <v>2</v>
      </c>
      <c r="AC99" s="162">
        <v>4</v>
      </c>
      <c r="AD99" s="162">
        <v>5</v>
      </c>
      <c r="AE99" s="162">
        <v>8</v>
      </c>
      <c r="AF99" s="161">
        <v>5</v>
      </c>
      <c r="AG99" s="64">
        <f t="shared" ref="AG99:AG130" si="15">SUM(B99:AF99)</f>
        <v>162</v>
      </c>
    </row>
    <row r="100" spans="1:33" ht="18.75" x14ac:dyDescent="0.25">
      <c r="A100" s="66" t="s">
        <v>105</v>
      </c>
      <c r="B100" s="262">
        <f t="shared" ref="B100:AF100" si="16">SUM(B101:B115)</f>
        <v>161</v>
      </c>
      <c r="C100" s="68">
        <f t="shared" si="16"/>
        <v>146</v>
      </c>
      <c r="D100" s="68">
        <f t="shared" si="16"/>
        <v>143</v>
      </c>
      <c r="E100" s="68">
        <f t="shared" si="16"/>
        <v>112</v>
      </c>
      <c r="F100" s="68">
        <f t="shared" si="16"/>
        <v>106</v>
      </c>
      <c r="G100" s="68">
        <f t="shared" si="16"/>
        <v>104</v>
      </c>
      <c r="H100" s="68">
        <f t="shared" si="16"/>
        <v>121</v>
      </c>
      <c r="I100" s="68">
        <f t="shared" si="16"/>
        <v>112</v>
      </c>
      <c r="J100" s="68">
        <f t="shared" si="16"/>
        <v>159</v>
      </c>
      <c r="K100" s="68">
        <f t="shared" si="16"/>
        <v>134</v>
      </c>
      <c r="L100" s="68">
        <f t="shared" si="16"/>
        <v>130</v>
      </c>
      <c r="M100" s="68">
        <f t="shared" si="16"/>
        <v>115</v>
      </c>
      <c r="N100" s="68">
        <f t="shared" si="16"/>
        <v>109</v>
      </c>
      <c r="O100" s="68">
        <f t="shared" si="16"/>
        <v>121</v>
      </c>
      <c r="P100" s="68">
        <f t="shared" si="16"/>
        <v>130</v>
      </c>
      <c r="Q100" s="68">
        <f t="shared" si="16"/>
        <v>129</v>
      </c>
      <c r="R100" s="68">
        <f t="shared" si="16"/>
        <v>117</v>
      </c>
      <c r="S100" s="68">
        <f t="shared" si="16"/>
        <v>131</v>
      </c>
      <c r="T100" s="68">
        <f t="shared" si="16"/>
        <v>113</v>
      </c>
      <c r="U100" s="68">
        <f t="shared" si="16"/>
        <v>151</v>
      </c>
      <c r="V100" s="68">
        <f t="shared" si="16"/>
        <v>116</v>
      </c>
      <c r="W100" s="68">
        <f t="shared" si="16"/>
        <v>127</v>
      </c>
      <c r="X100" s="68">
        <f t="shared" si="16"/>
        <v>143</v>
      </c>
      <c r="Y100" s="68">
        <f t="shared" si="16"/>
        <v>112</v>
      </c>
      <c r="Z100" s="68">
        <f t="shared" si="16"/>
        <v>121</v>
      </c>
      <c r="AA100" s="68">
        <f t="shared" si="16"/>
        <v>116</v>
      </c>
      <c r="AB100" s="68">
        <f t="shared" si="16"/>
        <v>109</v>
      </c>
      <c r="AC100" s="68">
        <f t="shared" si="16"/>
        <v>141</v>
      </c>
      <c r="AD100" s="68">
        <f t="shared" si="16"/>
        <v>119</v>
      </c>
      <c r="AE100" s="68">
        <f t="shared" si="16"/>
        <v>152</v>
      </c>
      <c r="AF100" s="67">
        <f t="shared" si="16"/>
        <v>141</v>
      </c>
      <c r="AG100" s="64">
        <f t="shared" si="15"/>
        <v>3941</v>
      </c>
    </row>
    <row r="101" spans="1:33" ht="18.75" x14ac:dyDescent="0.25">
      <c r="A101" s="320" t="s">
        <v>104</v>
      </c>
      <c r="B101" s="249">
        <v>6</v>
      </c>
      <c r="C101" s="162">
        <v>5</v>
      </c>
      <c r="D101" s="162">
        <v>12</v>
      </c>
      <c r="E101" s="162">
        <v>12</v>
      </c>
      <c r="F101" s="162">
        <v>6</v>
      </c>
      <c r="G101" s="162">
        <v>7</v>
      </c>
      <c r="H101" s="162">
        <v>10</v>
      </c>
      <c r="I101" s="162">
        <v>10</v>
      </c>
      <c r="J101" s="162">
        <v>10</v>
      </c>
      <c r="K101" s="162">
        <v>9</v>
      </c>
      <c r="L101" s="162">
        <v>12</v>
      </c>
      <c r="M101" s="162">
        <v>6</v>
      </c>
      <c r="N101" s="162">
        <v>2</v>
      </c>
      <c r="O101" s="162">
        <v>8</v>
      </c>
      <c r="P101" s="162">
        <v>9</v>
      </c>
      <c r="Q101" s="162">
        <v>7</v>
      </c>
      <c r="R101" s="162">
        <v>8</v>
      </c>
      <c r="S101" s="162">
        <v>11</v>
      </c>
      <c r="T101" s="162">
        <v>12</v>
      </c>
      <c r="U101" s="162">
        <v>8</v>
      </c>
      <c r="V101" s="162">
        <v>10</v>
      </c>
      <c r="W101" s="162">
        <v>9</v>
      </c>
      <c r="X101" s="162">
        <v>4</v>
      </c>
      <c r="Y101" s="162">
        <v>8</v>
      </c>
      <c r="Z101" s="162">
        <v>10</v>
      </c>
      <c r="AA101" s="162">
        <v>14</v>
      </c>
      <c r="AB101" s="162">
        <v>4</v>
      </c>
      <c r="AC101" s="162">
        <v>8</v>
      </c>
      <c r="AD101" s="162">
        <v>11</v>
      </c>
      <c r="AE101" s="162">
        <v>15</v>
      </c>
      <c r="AF101" s="161">
        <v>9</v>
      </c>
      <c r="AG101" s="64">
        <f t="shared" si="15"/>
        <v>272</v>
      </c>
    </row>
    <row r="102" spans="1:33" ht="18.75" x14ac:dyDescent="0.25">
      <c r="A102" s="320" t="s">
        <v>103</v>
      </c>
      <c r="B102" s="249">
        <v>21</v>
      </c>
      <c r="C102" s="162">
        <v>16</v>
      </c>
      <c r="D102" s="162">
        <v>22</v>
      </c>
      <c r="E102" s="162">
        <v>13</v>
      </c>
      <c r="F102" s="162">
        <v>7</v>
      </c>
      <c r="G102" s="162">
        <v>15</v>
      </c>
      <c r="H102" s="162">
        <v>12</v>
      </c>
      <c r="I102" s="162">
        <v>13</v>
      </c>
      <c r="J102" s="162">
        <v>24</v>
      </c>
      <c r="K102" s="162">
        <v>19</v>
      </c>
      <c r="L102" s="162">
        <v>12</v>
      </c>
      <c r="M102" s="162">
        <v>13</v>
      </c>
      <c r="N102" s="162">
        <v>18</v>
      </c>
      <c r="O102" s="162">
        <v>13</v>
      </c>
      <c r="P102" s="162">
        <v>10</v>
      </c>
      <c r="Q102" s="162">
        <v>19</v>
      </c>
      <c r="R102" s="162">
        <v>19</v>
      </c>
      <c r="S102" s="162">
        <v>18</v>
      </c>
      <c r="T102" s="162">
        <v>11</v>
      </c>
      <c r="U102" s="162">
        <v>15</v>
      </c>
      <c r="V102" s="162">
        <v>7</v>
      </c>
      <c r="W102" s="162">
        <v>14</v>
      </c>
      <c r="X102" s="162">
        <v>16</v>
      </c>
      <c r="Y102" s="162">
        <v>13</v>
      </c>
      <c r="Z102" s="162">
        <v>13</v>
      </c>
      <c r="AA102" s="162">
        <v>10</v>
      </c>
      <c r="AB102" s="162">
        <v>12</v>
      </c>
      <c r="AC102" s="162">
        <v>21</v>
      </c>
      <c r="AD102" s="162">
        <v>7</v>
      </c>
      <c r="AE102" s="162">
        <v>12</v>
      </c>
      <c r="AF102" s="161">
        <v>12</v>
      </c>
      <c r="AG102" s="64">
        <f t="shared" si="15"/>
        <v>447</v>
      </c>
    </row>
    <row r="103" spans="1:33" ht="18.75" x14ac:dyDescent="0.25">
      <c r="A103" s="321" t="s">
        <v>102</v>
      </c>
      <c r="B103" s="249">
        <v>19</v>
      </c>
      <c r="C103" s="162">
        <v>9</v>
      </c>
      <c r="D103" s="162">
        <v>10</v>
      </c>
      <c r="E103" s="162">
        <v>7</v>
      </c>
      <c r="F103" s="162">
        <v>14</v>
      </c>
      <c r="G103" s="162">
        <v>7</v>
      </c>
      <c r="H103" s="162">
        <v>15</v>
      </c>
      <c r="I103" s="162">
        <v>11</v>
      </c>
      <c r="J103" s="162">
        <v>15</v>
      </c>
      <c r="K103" s="162">
        <v>20</v>
      </c>
      <c r="L103" s="162">
        <v>14</v>
      </c>
      <c r="M103" s="162">
        <v>12</v>
      </c>
      <c r="N103" s="162">
        <v>20</v>
      </c>
      <c r="O103" s="162">
        <v>13</v>
      </c>
      <c r="P103" s="162">
        <v>18</v>
      </c>
      <c r="Q103" s="162">
        <v>14</v>
      </c>
      <c r="R103" s="162">
        <v>11</v>
      </c>
      <c r="S103" s="162">
        <v>18</v>
      </c>
      <c r="T103" s="162">
        <v>10</v>
      </c>
      <c r="U103" s="162">
        <v>16</v>
      </c>
      <c r="V103" s="162">
        <v>13</v>
      </c>
      <c r="W103" s="162">
        <v>13</v>
      </c>
      <c r="X103" s="162">
        <v>15</v>
      </c>
      <c r="Y103" s="162">
        <v>11</v>
      </c>
      <c r="Z103" s="162">
        <v>12</v>
      </c>
      <c r="AA103" s="162">
        <v>13</v>
      </c>
      <c r="AB103" s="162">
        <v>7</v>
      </c>
      <c r="AC103" s="162">
        <v>15</v>
      </c>
      <c r="AD103" s="162">
        <v>10</v>
      </c>
      <c r="AE103" s="162">
        <v>17</v>
      </c>
      <c r="AF103" s="161">
        <v>16</v>
      </c>
      <c r="AG103" s="64">
        <f t="shared" si="15"/>
        <v>415</v>
      </c>
    </row>
    <row r="104" spans="1:33" ht="18.75" x14ac:dyDescent="0.25">
      <c r="A104" s="321" t="s">
        <v>101</v>
      </c>
      <c r="B104" s="249">
        <v>13</v>
      </c>
      <c r="C104" s="162">
        <v>10</v>
      </c>
      <c r="D104" s="162">
        <v>11</v>
      </c>
      <c r="E104" s="162">
        <v>7</v>
      </c>
      <c r="F104" s="162">
        <v>14</v>
      </c>
      <c r="G104" s="162">
        <v>10</v>
      </c>
      <c r="H104" s="162">
        <v>10</v>
      </c>
      <c r="I104" s="162">
        <v>8</v>
      </c>
      <c r="J104" s="162">
        <v>17</v>
      </c>
      <c r="K104" s="162">
        <v>14</v>
      </c>
      <c r="L104" s="162">
        <v>12</v>
      </c>
      <c r="M104" s="162">
        <v>12</v>
      </c>
      <c r="N104" s="162">
        <v>13</v>
      </c>
      <c r="O104" s="162">
        <v>12</v>
      </c>
      <c r="P104" s="162">
        <v>10</v>
      </c>
      <c r="Q104" s="162">
        <v>16</v>
      </c>
      <c r="R104" s="162">
        <v>6</v>
      </c>
      <c r="S104" s="162">
        <v>15</v>
      </c>
      <c r="T104" s="162">
        <v>6</v>
      </c>
      <c r="U104" s="162">
        <v>6</v>
      </c>
      <c r="V104" s="162">
        <v>12</v>
      </c>
      <c r="W104" s="162">
        <v>13</v>
      </c>
      <c r="X104" s="162">
        <v>20</v>
      </c>
      <c r="Y104" s="162">
        <v>12</v>
      </c>
      <c r="Z104" s="162">
        <v>8</v>
      </c>
      <c r="AA104" s="162">
        <v>9</v>
      </c>
      <c r="AB104" s="162">
        <v>8</v>
      </c>
      <c r="AC104" s="162">
        <v>11</v>
      </c>
      <c r="AD104" s="162">
        <v>13</v>
      </c>
      <c r="AE104" s="162">
        <v>14</v>
      </c>
      <c r="AF104" s="161">
        <v>9</v>
      </c>
      <c r="AG104" s="64">
        <f t="shared" si="15"/>
        <v>351</v>
      </c>
    </row>
    <row r="105" spans="1:33" ht="18.75" x14ac:dyDescent="0.25">
      <c r="A105" s="321" t="s">
        <v>100</v>
      </c>
      <c r="B105" s="249">
        <v>13</v>
      </c>
      <c r="C105" s="162">
        <v>17</v>
      </c>
      <c r="D105" s="162">
        <v>9</v>
      </c>
      <c r="E105" s="162">
        <v>16</v>
      </c>
      <c r="F105" s="162">
        <v>7</v>
      </c>
      <c r="G105" s="162">
        <v>9</v>
      </c>
      <c r="H105" s="162">
        <v>4</v>
      </c>
      <c r="I105" s="162">
        <v>7</v>
      </c>
      <c r="J105" s="162">
        <v>17</v>
      </c>
      <c r="K105" s="162">
        <v>17</v>
      </c>
      <c r="L105" s="162">
        <v>13</v>
      </c>
      <c r="M105" s="162">
        <v>12</v>
      </c>
      <c r="N105" s="162">
        <v>6</v>
      </c>
      <c r="O105" s="162">
        <v>12</v>
      </c>
      <c r="P105" s="162">
        <v>8</v>
      </c>
      <c r="Q105" s="162">
        <v>15</v>
      </c>
      <c r="R105" s="162">
        <v>10</v>
      </c>
      <c r="S105" s="162">
        <v>7</v>
      </c>
      <c r="T105" s="162">
        <v>8</v>
      </c>
      <c r="U105" s="162">
        <v>13</v>
      </c>
      <c r="V105" s="162">
        <v>9</v>
      </c>
      <c r="W105" s="162">
        <v>9</v>
      </c>
      <c r="X105" s="162">
        <v>17</v>
      </c>
      <c r="Y105" s="162">
        <v>8</v>
      </c>
      <c r="Z105" s="162">
        <v>8</v>
      </c>
      <c r="AA105" s="162">
        <v>6</v>
      </c>
      <c r="AB105" s="162">
        <v>9</v>
      </c>
      <c r="AC105" s="162">
        <v>7</v>
      </c>
      <c r="AD105" s="162">
        <v>13</v>
      </c>
      <c r="AE105" s="162">
        <v>18</v>
      </c>
      <c r="AF105" s="161">
        <v>13</v>
      </c>
      <c r="AG105" s="64">
        <f t="shared" si="15"/>
        <v>337</v>
      </c>
    </row>
    <row r="106" spans="1:33" ht="18.75" x14ac:dyDescent="0.25">
      <c r="A106" s="321" t="s">
        <v>99</v>
      </c>
      <c r="B106" s="249">
        <v>11</v>
      </c>
      <c r="C106" s="162">
        <v>10</v>
      </c>
      <c r="D106" s="162">
        <v>15</v>
      </c>
      <c r="E106" s="162">
        <v>8</v>
      </c>
      <c r="F106" s="162">
        <v>5</v>
      </c>
      <c r="G106" s="162">
        <v>3</v>
      </c>
      <c r="H106" s="162">
        <v>6</v>
      </c>
      <c r="I106" s="162">
        <v>9</v>
      </c>
      <c r="J106" s="162">
        <v>9</v>
      </c>
      <c r="K106" s="162">
        <v>6</v>
      </c>
      <c r="L106" s="162">
        <v>8</v>
      </c>
      <c r="M106" s="162">
        <v>12</v>
      </c>
      <c r="N106" s="162">
        <v>6</v>
      </c>
      <c r="O106" s="162">
        <v>5</v>
      </c>
      <c r="P106" s="162">
        <v>8</v>
      </c>
      <c r="Q106" s="162">
        <v>11</v>
      </c>
      <c r="R106" s="162">
        <v>10</v>
      </c>
      <c r="S106" s="162">
        <v>11</v>
      </c>
      <c r="T106" s="162">
        <v>9</v>
      </c>
      <c r="U106" s="162">
        <v>15</v>
      </c>
      <c r="V106" s="162">
        <v>10</v>
      </c>
      <c r="W106" s="162">
        <v>11</v>
      </c>
      <c r="X106" s="162">
        <v>12</v>
      </c>
      <c r="Y106" s="162">
        <v>7</v>
      </c>
      <c r="Z106" s="162">
        <v>10</v>
      </c>
      <c r="AA106" s="162">
        <v>14</v>
      </c>
      <c r="AB106" s="162">
        <v>5</v>
      </c>
      <c r="AC106" s="162">
        <v>12</v>
      </c>
      <c r="AD106" s="162">
        <v>8</v>
      </c>
      <c r="AE106" s="162">
        <v>13</v>
      </c>
      <c r="AF106" s="161">
        <v>11</v>
      </c>
      <c r="AG106" s="64">
        <f t="shared" si="15"/>
        <v>290</v>
      </c>
    </row>
    <row r="107" spans="1:33" ht="18.75" x14ac:dyDescent="0.25">
      <c r="A107" s="321" t="s">
        <v>98</v>
      </c>
      <c r="B107" s="249">
        <v>13</v>
      </c>
      <c r="C107" s="162">
        <v>11</v>
      </c>
      <c r="D107" s="162">
        <v>15</v>
      </c>
      <c r="E107" s="162">
        <v>11</v>
      </c>
      <c r="F107" s="162">
        <v>15</v>
      </c>
      <c r="G107" s="162">
        <v>9</v>
      </c>
      <c r="H107" s="162">
        <v>10</v>
      </c>
      <c r="I107" s="162">
        <v>9</v>
      </c>
      <c r="J107" s="162">
        <v>15</v>
      </c>
      <c r="K107" s="162">
        <v>8</v>
      </c>
      <c r="L107" s="162">
        <v>10</v>
      </c>
      <c r="M107" s="162">
        <v>9</v>
      </c>
      <c r="N107" s="162">
        <v>7</v>
      </c>
      <c r="O107" s="162">
        <v>11</v>
      </c>
      <c r="P107" s="162">
        <v>12</v>
      </c>
      <c r="Q107" s="162">
        <v>10</v>
      </c>
      <c r="R107" s="162">
        <v>9</v>
      </c>
      <c r="S107" s="162">
        <v>7</v>
      </c>
      <c r="T107" s="162">
        <v>6</v>
      </c>
      <c r="U107" s="162">
        <v>10</v>
      </c>
      <c r="V107" s="162">
        <v>16</v>
      </c>
      <c r="W107" s="162">
        <v>14</v>
      </c>
      <c r="X107" s="162">
        <v>7</v>
      </c>
      <c r="Y107" s="162">
        <v>7</v>
      </c>
      <c r="Z107" s="162">
        <v>12</v>
      </c>
      <c r="AA107" s="162">
        <v>8</v>
      </c>
      <c r="AB107" s="162">
        <v>6</v>
      </c>
      <c r="AC107" s="162">
        <v>10</v>
      </c>
      <c r="AD107" s="162">
        <v>6</v>
      </c>
      <c r="AE107" s="162">
        <v>11</v>
      </c>
      <c r="AF107" s="161">
        <v>15</v>
      </c>
      <c r="AG107" s="64">
        <f t="shared" si="15"/>
        <v>319</v>
      </c>
    </row>
    <row r="108" spans="1:33" ht="18.75" x14ac:dyDescent="0.25">
      <c r="A108" s="321" t="s">
        <v>97</v>
      </c>
      <c r="B108" s="249">
        <v>14</v>
      </c>
      <c r="C108" s="162">
        <v>14</v>
      </c>
      <c r="D108" s="162">
        <v>11</v>
      </c>
      <c r="E108" s="162">
        <v>12</v>
      </c>
      <c r="F108" s="162">
        <v>10</v>
      </c>
      <c r="G108" s="162">
        <v>5</v>
      </c>
      <c r="H108" s="162">
        <v>14</v>
      </c>
      <c r="I108" s="162">
        <v>6</v>
      </c>
      <c r="J108" s="162">
        <v>13</v>
      </c>
      <c r="K108" s="162">
        <v>8</v>
      </c>
      <c r="L108" s="162">
        <v>10</v>
      </c>
      <c r="M108" s="162">
        <v>7</v>
      </c>
      <c r="N108" s="162">
        <v>7</v>
      </c>
      <c r="O108" s="162">
        <v>14</v>
      </c>
      <c r="P108" s="162">
        <v>12</v>
      </c>
      <c r="Q108" s="162">
        <v>9</v>
      </c>
      <c r="R108" s="162">
        <v>7</v>
      </c>
      <c r="S108" s="162">
        <v>13</v>
      </c>
      <c r="T108" s="162">
        <v>10</v>
      </c>
      <c r="U108" s="162">
        <v>13</v>
      </c>
      <c r="V108" s="162">
        <v>12</v>
      </c>
      <c r="W108" s="162">
        <v>10</v>
      </c>
      <c r="X108" s="162">
        <v>6</v>
      </c>
      <c r="Y108" s="162">
        <v>9</v>
      </c>
      <c r="Z108" s="162">
        <v>14</v>
      </c>
      <c r="AA108" s="162">
        <v>16</v>
      </c>
      <c r="AB108" s="162">
        <v>14</v>
      </c>
      <c r="AC108" s="162">
        <v>12</v>
      </c>
      <c r="AD108" s="162">
        <v>7</v>
      </c>
      <c r="AE108" s="162">
        <v>4</v>
      </c>
      <c r="AF108" s="161">
        <v>13</v>
      </c>
      <c r="AG108" s="64">
        <f t="shared" si="15"/>
        <v>326</v>
      </c>
    </row>
    <row r="109" spans="1:33" ht="18.75" x14ac:dyDescent="0.25">
      <c r="A109" s="321" t="s">
        <v>96</v>
      </c>
      <c r="B109" s="249">
        <v>12</v>
      </c>
      <c r="C109" s="162">
        <v>13</v>
      </c>
      <c r="D109" s="162">
        <v>7</v>
      </c>
      <c r="E109" s="162">
        <v>11</v>
      </c>
      <c r="F109" s="162">
        <v>7</v>
      </c>
      <c r="G109" s="162">
        <v>13</v>
      </c>
      <c r="H109" s="162">
        <v>10</v>
      </c>
      <c r="I109" s="162">
        <v>12</v>
      </c>
      <c r="J109" s="162">
        <v>11</v>
      </c>
      <c r="K109" s="162">
        <v>10</v>
      </c>
      <c r="L109" s="162">
        <v>12</v>
      </c>
      <c r="M109" s="162">
        <v>10</v>
      </c>
      <c r="N109" s="162">
        <v>4</v>
      </c>
      <c r="O109" s="162">
        <v>10</v>
      </c>
      <c r="P109" s="162">
        <v>12</v>
      </c>
      <c r="Q109" s="162">
        <v>9</v>
      </c>
      <c r="R109" s="162">
        <v>11</v>
      </c>
      <c r="S109" s="162">
        <v>11</v>
      </c>
      <c r="T109" s="162">
        <v>12</v>
      </c>
      <c r="U109" s="162">
        <v>11</v>
      </c>
      <c r="V109" s="162">
        <v>4</v>
      </c>
      <c r="W109" s="162">
        <v>12</v>
      </c>
      <c r="X109" s="162">
        <v>13</v>
      </c>
      <c r="Y109" s="162">
        <v>13</v>
      </c>
      <c r="Z109" s="162">
        <v>9</v>
      </c>
      <c r="AA109" s="162">
        <v>3</v>
      </c>
      <c r="AB109" s="162">
        <v>10</v>
      </c>
      <c r="AC109" s="162">
        <v>12</v>
      </c>
      <c r="AD109" s="162">
        <v>6</v>
      </c>
      <c r="AE109" s="162">
        <v>6</v>
      </c>
      <c r="AF109" s="161">
        <v>6</v>
      </c>
      <c r="AG109" s="64">
        <f t="shared" si="15"/>
        <v>302</v>
      </c>
    </row>
    <row r="110" spans="1:33" ht="18.75" x14ac:dyDescent="0.25">
      <c r="A110" s="321" t="s">
        <v>95</v>
      </c>
      <c r="B110" s="249">
        <v>12</v>
      </c>
      <c r="C110" s="162">
        <v>12</v>
      </c>
      <c r="D110" s="162">
        <v>9</v>
      </c>
      <c r="E110" s="162">
        <v>5</v>
      </c>
      <c r="F110" s="162">
        <v>5</v>
      </c>
      <c r="G110" s="162">
        <v>6</v>
      </c>
      <c r="H110" s="162">
        <v>6</v>
      </c>
      <c r="I110" s="162">
        <v>5</v>
      </c>
      <c r="J110" s="162">
        <v>8</v>
      </c>
      <c r="K110" s="162">
        <v>12</v>
      </c>
      <c r="L110" s="162">
        <v>7</v>
      </c>
      <c r="M110" s="162">
        <v>8</v>
      </c>
      <c r="N110" s="162">
        <v>7</v>
      </c>
      <c r="O110" s="162">
        <v>5</v>
      </c>
      <c r="P110" s="162">
        <v>10</v>
      </c>
      <c r="Q110" s="162">
        <v>7</v>
      </c>
      <c r="R110" s="162">
        <v>9</v>
      </c>
      <c r="S110" s="162">
        <v>6</v>
      </c>
      <c r="T110" s="162">
        <v>7</v>
      </c>
      <c r="U110" s="162">
        <v>10</v>
      </c>
      <c r="V110" s="162">
        <v>8</v>
      </c>
      <c r="W110" s="162">
        <v>6</v>
      </c>
      <c r="X110" s="162">
        <v>7</v>
      </c>
      <c r="Y110" s="162">
        <v>7</v>
      </c>
      <c r="Z110" s="162">
        <v>9</v>
      </c>
      <c r="AA110" s="162">
        <v>9</v>
      </c>
      <c r="AB110" s="162">
        <v>12</v>
      </c>
      <c r="AC110" s="162">
        <v>6</v>
      </c>
      <c r="AD110" s="162">
        <v>8</v>
      </c>
      <c r="AE110" s="162">
        <v>9</v>
      </c>
      <c r="AF110" s="161">
        <v>9</v>
      </c>
      <c r="AG110" s="64">
        <f t="shared" si="15"/>
        <v>246</v>
      </c>
    </row>
    <row r="111" spans="1:33" ht="18.75" x14ac:dyDescent="0.25">
      <c r="A111" s="321" t="s">
        <v>94</v>
      </c>
      <c r="B111" s="249">
        <v>5</v>
      </c>
      <c r="C111" s="162">
        <v>4</v>
      </c>
      <c r="D111" s="162">
        <v>6</v>
      </c>
      <c r="E111" s="162">
        <v>2</v>
      </c>
      <c r="F111" s="162">
        <v>5</v>
      </c>
      <c r="G111" s="162">
        <v>5</v>
      </c>
      <c r="H111" s="162">
        <v>7</v>
      </c>
      <c r="I111" s="162">
        <v>3</v>
      </c>
      <c r="J111" s="162">
        <v>7</v>
      </c>
      <c r="K111" s="162">
        <v>5</v>
      </c>
      <c r="L111" s="162">
        <v>3</v>
      </c>
      <c r="M111" s="162">
        <v>5</v>
      </c>
      <c r="N111" s="162">
        <v>8</v>
      </c>
      <c r="O111" s="162">
        <v>6</v>
      </c>
      <c r="P111" s="162">
        <v>8</v>
      </c>
      <c r="Q111" s="162">
        <v>3</v>
      </c>
      <c r="R111" s="162">
        <v>3</v>
      </c>
      <c r="S111" s="162">
        <v>5</v>
      </c>
      <c r="T111" s="162">
        <v>6</v>
      </c>
      <c r="U111" s="162">
        <v>13</v>
      </c>
      <c r="V111" s="162">
        <v>6</v>
      </c>
      <c r="W111" s="162">
        <v>6</v>
      </c>
      <c r="X111" s="162">
        <v>9</v>
      </c>
      <c r="Y111" s="162">
        <v>7</v>
      </c>
      <c r="Z111" s="162">
        <v>5</v>
      </c>
      <c r="AA111" s="162">
        <v>6</v>
      </c>
      <c r="AB111" s="162">
        <v>9</v>
      </c>
      <c r="AC111" s="162">
        <v>12</v>
      </c>
      <c r="AD111" s="162">
        <v>11</v>
      </c>
      <c r="AE111" s="162">
        <v>11</v>
      </c>
      <c r="AF111" s="161">
        <v>8</v>
      </c>
      <c r="AG111" s="64">
        <f t="shared" si="15"/>
        <v>199</v>
      </c>
    </row>
    <row r="112" spans="1:33" ht="18.75" x14ac:dyDescent="0.25">
      <c r="A112" s="321" t="s">
        <v>93</v>
      </c>
      <c r="B112" s="249">
        <v>8</v>
      </c>
      <c r="C112" s="162">
        <v>11</v>
      </c>
      <c r="D112" s="162">
        <v>4</v>
      </c>
      <c r="E112" s="162">
        <v>6</v>
      </c>
      <c r="F112" s="162">
        <v>4</v>
      </c>
      <c r="G112" s="162">
        <v>1</v>
      </c>
      <c r="H112" s="162">
        <v>7</v>
      </c>
      <c r="I112" s="162">
        <v>6</v>
      </c>
      <c r="J112" s="162">
        <v>7</v>
      </c>
      <c r="K112" s="162">
        <v>3</v>
      </c>
      <c r="L112" s="162">
        <v>5</v>
      </c>
      <c r="M112" s="162">
        <v>6</v>
      </c>
      <c r="N112" s="162">
        <v>4</v>
      </c>
      <c r="O112" s="162">
        <v>6</v>
      </c>
      <c r="P112" s="162">
        <v>3</v>
      </c>
      <c r="Q112" s="162">
        <v>4</v>
      </c>
      <c r="R112" s="162">
        <v>3</v>
      </c>
      <c r="S112" s="162">
        <v>3</v>
      </c>
      <c r="T112" s="162">
        <v>4</v>
      </c>
      <c r="U112" s="162">
        <v>8</v>
      </c>
      <c r="V112" s="162">
        <v>4</v>
      </c>
      <c r="W112" s="162">
        <v>2</v>
      </c>
      <c r="X112" s="162">
        <v>10</v>
      </c>
      <c r="Y112" s="162"/>
      <c r="Z112" s="162">
        <v>4</v>
      </c>
      <c r="AA112" s="162">
        <v>4</v>
      </c>
      <c r="AB112" s="162">
        <v>7</v>
      </c>
      <c r="AC112" s="162">
        <v>5</v>
      </c>
      <c r="AD112" s="162">
        <v>9</v>
      </c>
      <c r="AE112" s="162">
        <v>9</v>
      </c>
      <c r="AF112" s="161">
        <v>8</v>
      </c>
      <c r="AG112" s="64">
        <f t="shared" si="15"/>
        <v>165</v>
      </c>
    </row>
    <row r="113" spans="1:33" ht="18.75" x14ac:dyDescent="0.25">
      <c r="A113" s="321" t="s">
        <v>92</v>
      </c>
      <c r="B113" s="249">
        <v>4</v>
      </c>
      <c r="C113" s="162">
        <v>7</v>
      </c>
      <c r="D113" s="162">
        <v>5</v>
      </c>
      <c r="E113" s="162"/>
      <c r="F113" s="162">
        <v>2</v>
      </c>
      <c r="G113" s="162">
        <v>4</v>
      </c>
      <c r="H113" s="162">
        <v>8</v>
      </c>
      <c r="I113" s="162">
        <v>7</v>
      </c>
      <c r="J113" s="162">
        <v>2</v>
      </c>
      <c r="K113" s="162">
        <v>1</v>
      </c>
      <c r="L113" s="162">
        <v>5</v>
      </c>
      <c r="M113" s="162">
        <v>2</v>
      </c>
      <c r="N113" s="162">
        <v>4</v>
      </c>
      <c r="O113" s="162">
        <v>4</v>
      </c>
      <c r="P113" s="162">
        <v>6</v>
      </c>
      <c r="Q113" s="162">
        <v>3</v>
      </c>
      <c r="R113" s="162">
        <v>7</v>
      </c>
      <c r="S113" s="162">
        <v>1</v>
      </c>
      <c r="T113" s="162">
        <v>3</v>
      </c>
      <c r="U113" s="162">
        <v>8</v>
      </c>
      <c r="V113" s="162">
        <v>1</v>
      </c>
      <c r="W113" s="162">
        <v>4</v>
      </c>
      <c r="X113" s="162">
        <v>4</v>
      </c>
      <c r="Y113" s="162">
        <v>3</v>
      </c>
      <c r="Z113" s="162">
        <v>4</v>
      </c>
      <c r="AA113" s="162">
        <v>2</v>
      </c>
      <c r="AB113" s="162">
        <v>2</v>
      </c>
      <c r="AC113" s="162">
        <v>5</v>
      </c>
      <c r="AD113" s="162">
        <v>7</v>
      </c>
      <c r="AE113" s="162">
        <v>6</v>
      </c>
      <c r="AF113" s="161">
        <v>7</v>
      </c>
      <c r="AG113" s="64">
        <f t="shared" si="15"/>
        <v>128</v>
      </c>
    </row>
    <row r="114" spans="1:33" ht="18.75" x14ac:dyDescent="0.25">
      <c r="A114" s="321" t="s">
        <v>91</v>
      </c>
      <c r="B114" s="249">
        <v>10</v>
      </c>
      <c r="C114" s="162">
        <v>7</v>
      </c>
      <c r="D114" s="162">
        <v>7</v>
      </c>
      <c r="E114" s="162">
        <v>2</v>
      </c>
      <c r="F114" s="162">
        <v>5</v>
      </c>
      <c r="G114" s="162">
        <v>10</v>
      </c>
      <c r="H114" s="162">
        <v>2</v>
      </c>
      <c r="I114" s="162">
        <v>5</v>
      </c>
      <c r="J114" s="162">
        <v>4</v>
      </c>
      <c r="K114" s="162">
        <v>2</v>
      </c>
      <c r="L114" s="162">
        <v>7</v>
      </c>
      <c r="M114" s="162">
        <v>1</v>
      </c>
      <c r="N114" s="162">
        <v>3</v>
      </c>
      <c r="O114" s="162">
        <v>2</v>
      </c>
      <c r="P114" s="162">
        <v>4</v>
      </c>
      <c r="Q114" s="162">
        <v>2</v>
      </c>
      <c r="R114" s="162">
        <v>4</v>
      </c>
      <c r="S114" s="162">
        <v>5</v>
      </c>
      <c r="T114" s="162">
        <v>9</v>
      </c>
      <c r="U114" s="162">
        <v>5</v>
      </c>
      <c r="V114" s="162">
        <v>4</v>
      </c>
      <c r="W114" s="162">
        <v>4</v>
      </c>
      <c r="X114" s="162">
        <v>3</v>
      </c>
      <c r="Y114" s="162">
        <v>7</v>
      </c>
      <c r="Z114" s="162">
        <v>3</v>
      </c>
      <c r="AA114" s="162">
        <v>2</v>
      </c>
      <c r="AB114" s="162">
        <v>4</v>
      </c>
      <c r="AC114" s="162">
        <v>5</v>
      </c>
      <c r="AD114" s="162">
        <v>3</v>
      </c>
      <c r="AE114" s="162">
        <v>7</v>
      </c>
      <c r="AF114" s="161">
        <v>5</v>
      </c>
      <c r="AG114" s="64">
        <f t="shared" si="15"/>
        <v>143</v>
      </c>
    </row>
    <row r="115" spans="1:33" ht="19.5" thickBot="1" x14ac:dyDescent="0.3">
      <c r="A115" s="322"/>
      <c r="B115" s="255"/>
      <c r="C115" s="169"/>
      <c r="D115" s="169"/>
      <c r="E115" s="169"/>
      <c r="F115" s="169"/>
      <c r="G115" s="169"/>
      <c r="H115" s="169"/>
      <c r="I115" s="169">
        <v>1</v>
      </c>
      <c r="J115" s="169"/>
      <c r="K115" s="169"/>
      <c r="L115" s="169"/>
      <c r="M115" s="169"/>
      <c r="N115" s="169"/>
      <c r="O115" s="169"/>
      <c r="P115" s="169"/>
      <c r="Q115" s="169"/>
      <c r="R115" s="169"/>
      <c r="S115" s="169"/>
      <c r="T115" s="169"/>
      <c r="U115" s="169"/>
      <c r="V115" s="169"/>
      <c r="W115" s="169"/>
      <c r="X115" s="169"/>
      <c r="Y115" s="169"/>
      <c r="Z115" s="169"/>
      <c r="AA115" s="169"/>
      <c r="AB115" s="169"/>
      <c r="AC115" s="169"/>
      <c r="AD115" s="169"/>
      <c r="AE115" s="169"/>
      <c r="AF115" s="168"/>
      <c r="AG115" s="64">
        <f t="shared" si="15"/>
        <v>1</v>
      </c>
    </row>
    <row r="116" spans="1:33" ht="18.75" x14ac:dyDescent="0.25">
      <c r="A116" s="315" t="s">
        <v>90</v>
      </c>
      <c r="B116" s="261">
        <f t="shared" ref="B116:AF116" si="17">SUM(B117:B129)</f>
        <v>48</v>
      </c>
      <c r="C116" s="166">
        <f t="shared" si="17"/>
        <v>30</v>
      </c>
      <c r="D116" s="166">
        <f t="shared" si="17"/>
        <v>41</v>
      </c>
      <c r="E116" s="166">
        <f t="shared" si="17"/>
        <v>26</v>
      </c>
      <c r="F116" s="166">
        <f t="shared" si="17"/>
        <v>20</v>
      </c>
      <c r="G116" s="166">
        <f t="shared" si="17"/>
        <v>27</v>
      </c>
      <c r="H116" s="166">
        <f t="shared" si="17"/>
        <v>50</v>
      </c>
      <c r="I116" s="166">
        <f t="shared" si="17"/>
        <v>29</v>
      </c>
      <c r="J116" s="166">
        <f t="shared" si="17"/>
        <v>28</v>
      </c>
      <c r="K116" s="166">
        <f t="shared" si="17"/>
        <v>31</v>
      </c>
      <c r="L116" s="166">
        <f t="shared" si="17"/>
        <v>41</v>
      </c>
      <c r="M116" s="166">
        <f t="shared" si="17"/>
        <v>34</v>
      </c>
      <c r="N116" s="166">
        <f t="shared" si="17"/>
        <v>31</v>
      </c>
      <c r="O116" s="166">
        <f t="shared" si="17"/>
        <v>35</v>
      </c>
      <c r="P116" s="166">
        <f t="shared" si="17"/>
        <v>35</v>
      </c>
      <c r="Q116" s="166">
        <f t="shared" si="17"/>
        <v>17</v>
      </c>
      <c r="R116" s="166">
        <f t="shared" si="17"/>
        <v>31</v>
      </c>
      <c r="S116" s="166">
        <f t="shared" si="17"/>
        <v>28</v>
      </c>
      <c r="T116" s="166">
        <f t="shared" si="17"/>
        <v>32</v>
      </c>
      <c r="U116" s="166">
        <f t="shared" si="17"/>
        <v>43</v>
      </c>
      <c r="V116" s="166">
        <f t="shared" si="17"/>
        <v>43</v>
      </c>
      <c r="W116" s="166">
        <f t="shared" si="17"/>
        <v>48</v>
      </c>
      <c r="X116" s="166">
        <f t="shared" si="17"/>
        <v>29</v>
      </c>
      <c r="Y116" s="166">
        <f t="shared" si="17"/>
        <v>31</v>
      </c>
      <c r="Z116" s="166">
        <f t="shared" si="17"/>
        <v>31</v>
      </c>
      <c r="AA116" s="166">
        <f t="shared" si="17"/>
        <v>21</v>
      </c>
      <c r="AB116" s="166">
        <f t="shared" si="17"/>
        <v>30</v>
      </c>
      <c r="AC116" s="166">
        <f t="shared" si="17"/>
        <v>42</v>
      </c>
      <c r="AD116" s="166">
        <f t="shared" si="17"/>
        <v>31</v>
      </c>
      <c r="AE116" s="166">
        <f t="shared" si="17"/>
        <v>26</v>
      </c>
      <c r="AF116" s="165">
        <f t="shared" si="17"/>
        <v>45</v>
      </c>
      <c r="AG116" s="64">
        <f t="shared" si="15"/>
        <v>1034</v>
      </c>
    </row>
    <row r="117" spans="1:33" ht="18.75" x14ac:dyDescent="0.25">
      <c r="A117" s="323" t="s">
        <v>67</v>
      </c>
      <c r="B117" s="249">
        <v>34</v>
      </c>
      <c r="C117" s="162">
        <v>15</v>
      </c>
      <c r="D117" s="162">
        <v>28</v>
      </c>
      <c r="E117" s="162">
        <v>16</v>
      </c>
      <c r="F117" s="162">
        <v>13</v>
      </c>
      <c r="G117" s="162">
        <v>19</v>
      </c>
      <c r="H117" s="162">
        <v>31</v>
      </c>
      <c r="I117" s="162">
        <v>20</v>
      </c>
      <c r="J117" s="162">
        <v>16</v>
      </c>
      <c r="K117" s="162">
        <v>16</v>
      </c>
      <c r="L117" s="162">
        <v>30</v>
      </c>
      <c r="M117" s="162">
        <v>20</v>
      </c>
      <c r="N117" s="162">
        <v>20</v>
      </c>
      <c r="O117" s="162">
        <v>25</v>
      </c>
      <c r="P117" s="162">
        <v>24</v>
      </c>
      <c r="Q117" s="162">
        <v>10</v>
      </c>
      <c r="R117" s="162">
        <v>16</v>
      </c>
      <c r="S117" s="162">
        <v>13</v>
      </c>
      <c r="T117" s="162">
        <v>25</v>
      </c>
      <c r="U117" s="162">
        <v>32</v>
      </c>
      <c r="V117" s="162">
        <v>27</v>
      </c>
      <c r="W117" s="162">
        <v>28</v>
      </c>
      <c r="X117" s="162">
        <v>16</v>
      </c>
      <c r="Y117" s="162">
        <v>20</v>
      </c>
      <c r="Z117" s="162">
        <v>22</v>
      </c>
      <c r="AA117" s="162">
        <v>17</v>
      </c>
      <c r="AB117" s="162">
        <v>23</v>
      </c>
      <c r="AC117" s="162">
        <v>29</v>
      </c>
      <c r="AD117" s="162">
        <v>25</v>
      </c>
      <c r="AE117" s="162">
        <v>14</v>
      </c>
      <c r="AF117" s="161">
        <v>29</v>
      </c>
      <c r="AG117" s="64">
        <f t="shared" si="15"/>
        <v>673</v>
      </c>
    </row>
    <row r="118" spans="1:33" ht="19.5" hidden="1" customHeight="1" thickBot="1" x14ac:dyDescent="0.3">
      <c r="A118" s="323" t="s">
        <v>69</v>
      </c>
      <c r="B118" s="249"/>
      <c r="C118" s="162"/>
      <c r="D118" s="162"/>
      <c r="E118" s="162"/>
      <c r="F118" s="162"/>
      <c r="G118" s="162"/>
      <c r="H118" s="162"/>
      <c r="I118" s="162"/>
      <c r="J118" s="162"/>
      <c r="K118" s="162"/>
      <c r="L118" s="162"/>
      <c r="M118" s="162"/>
      <c r="N118" s="162"/>
      <c r="O118" s="162"/>
      <c r="P118" s="162"/>
      <c r="Q118" s="162"/>
      <c r="R118" s="162"/>
      <c r="S118" s="162"/>
      <c r="T118" s="162"/>
      <c r="U118" s="162"/>
      <c r="V118" s="162"/>
      <c r="W118" s="162"/>
      <c r="X118" s="162"/>
      <c r="Y118" s="162"/>
      <c r="Z118" s="162"/>
      <c r="AA118" s="162"/>
      <c r="AB118" s="162"/>
      <c r="AC118" s="162"/>
      <c r="AD118" s="162"/>
      <c r="AE118" s="162"/>
      <c r="AF118" s="161"/>
      <c r="AG118" s="64">
        <f t="shared" si="15"/>
        <v>0</v>
      </c>
    </row>
    <row r="119" spans="1:33" ht="19.5" hidden="1" customHeight="1" thickBot="1" x14ac:dyDescent="0.3">
      <c r="A119" s="323" t="s">
        <v>68</v>
      </c>
      <c r="B119" s="249"/>
      <c r="C119" s="162"/>
      <c r="D119" s="162"/>
      <c r="E119" s="162"/>
      <c r="F119" s="162"/>
      <c r="G119" s="162"/>
      <c r="H119" s="162"/>
      <c r="I119" s="162"/>
      <c r="J119" s="162"/>
      <c r="K119" s="162"/>
      <c r="L119" s="162"/>
      <c r="M119" s="162"/>
      <c r="N119" s="162"/>
      <c r="O119" s="162"/>
      <c r="P119" s="162"/>
      <c r="Q119" s="162"/>
      <c r="R119" s="162"/>
      <c r="S119" s="162"/>
      <c r="T119" s="162"/>
      <c r="U119" s="162"/>
      <c r="V119" s="162"/>
      <c r="W119" s="162"/>
      <c r="X119" s="162"/>
      <c r="Y119" s="162"/>
      <c r="Z119" s="162"/>
      <c r="AA119" s="162"/>
      <c r="AB119" s="162"/>
      <c r="AC119" s="162"/>
      <c r="AD119" s="162"/>
      <c r="AE119" s="162"/>
      <c r="AF119" s="161"/>
      <c r="AG119" s="64">
        <f t="shared" si="15"/>
        <v>0</v>
      </c>
    </row>
    <row r="120" spans="1:33" ht="19.5" hidden="1" customHeight="1" thickBot="1" x14ac:dyDescent="0.3">
      <c r="A120" s="323" t="s">
        <v>66</v>
      </c>
      <c r="B120" s="249"/>
      <c r="C120" s="162"/>
      <c r="D120" s="162"/>
      <c r="E120" s="162"/>
      <c r="F120" s="162"/>
      <c r="G120" s="162"/>
      <c r="H120" s="162"/>
      <c r="I120" s="162"/>
      <c r="J120" s="162"/>
      <c r="K120" s="162"/>
      <c r="L120" s="162"/>
      <c r="M120" s="162"/>
      <c r="N120" s="162"/>
      <c r="O120" s="162"/>
      <c r="P120" s="162"/>
      <c r="Q120" s="162"/>
      <c r="R120" s="162"/>
      <c r="S120" s="162"/>
      <c r="T120" s="162"/>
      <c r="U120" s="162"/>
      <c r="V120" s="162"/>
      <c r="W120" s="162"/>
      <c r="X120" s="162"/>
      <c r="Y120" s="162"/>
      <c r="Z120" s="162"/>
      <c r="AA120" s="162"/>
      <c r="AB120" s="162"/>
      <c r="AC120" s="162"/>
      <c r="AD120" s="162"/>
      <c r="AE120" s="162"/>
      <c r="AF120" s="161"/>
      <c r="AG120" s="64">
        <f t="shared" si="15"/>
        <v>0</v>
      </c>
    </row>
    <row r="121" spans="1:33" ht="19.5" hidden="1" customHeight="1" thickBot="1" x14ac:dyDescent="0.3">
      <c r="A121" s="323" t="s">
        <v>65</v>
      </c>
      <c r="B121" s="249"/>
      <c r="C121" s="162"/>
      <c r="D121" s="162"/>
      <c r="E121" s="162"/>
      <c r="F121" s="162"/>
      <c r="G121" s="162"/>
      <c r="H121" s="162"/>
      <c r="I121" s="162"/>
      <c r="J121" s="162"/>
      <c r="K121" s="162"/>
      <c r="L121" s="162"/>
      <c r="M121" s="162"/>
      <c r="N121" s="162"/>
      <c r="O121" s="162"/>
      <c r="P121" s="162"/>
      <c r="Q121" s="162"/>
      <c r="R121" s="162"/>
      <c r="S121" s="162"/>
      <c r="T121" s="162"/>
      <c r="U121" s="162"/>
      <c r="V121" s="162"/>
      <c r="W121" s="162"/>
      <c r="X121" s="162"/>
      <c r="Y121" s="162"/>
      <c r="Z121" s="162"/>
      <c r="AA121" s="162"/>
      <c r="AB121" s="162"/>
      <c r="AC121" s="162"/>
      <c r="AD121" s="162"/>
      <c r="AE121" s="162"/>
      <c r="AF121" s="161"/>
      <c r="AG121" s="64">
        <f t="shared" si="15"/>
        <v>0</v>
      </c>
    </row>
    <row r="122" spans="1:33" ht="19.5" hidden="1" customHeight="1" thickBot="1" x14ac:dyDescent="0.3">
      <c r="A122" s="323" t="s">
        <v>64</v>
      </c>
      <c r="B122" s="249"/>
      <c r="C122" s="162"/>
      <c r="D122" s="162"/>
      <c r="E122" s="162"/>
      <c r="F122" s="162"/>
      <c r="G122" s="162"/>
      <c r="H122" s="162"/>
      <c r="I122" s="162"/>
      <c r="J122" s="162"/>
      <c r="K122" s="162"/>
      <c r="L122" s="162"/>
      <c r="M122" s="162"/>
      <c r="N122" s="162"/>
      <c r="O122" s="162"/>
      <c r="P122" s="162"/>
      <c r="Q122" s="162"/>
      <c r="R122" s="162"/>
      <c r="S122" s="162"/>
      <c r="T122" s="162"/>
      <c r="U122" s="162"/>
      <c r="V122" s="162"/>
      <c r="W122" s="162"/>
      <c r="X122" s="162"/>
      <c r="Y122" s="162"/>
      <c r="Z122" s="162"/>
      <c r="AA122" s="162"/>
      <c r="AB122" s="162"/>
      <c r="AC122" s="162"/>
      <c r="AD122" s="162"/>
      <c r="AE122" s="162"/>
      <c r="AF122" s="161"/>
      <c r="AG122" s="64">
        <f t="shared" si="15"/>
        <v>0</v>
      </c>
    </row>
    <row r="123" spans="1:33" ht="19.5" hidden="1" customHeight="1" thickBot="1" x14ac:dyDescent="0.3">
      <c r="A123" s="323" t="s">
        <v>63</v>
      </c>
      <c r="B123" s="249"/>
      <c r="C123" s="162"/>
      <c r="D123" s="162"/>
      <c r="E123" s="162"/>
      <c r="F123" s="162"/>
      <c r="G123" s="162"/>
      <c r="H123" s="162"/>
      <c r="I123" s="162"/>
      <c r="J123" s="162"/>
      <c r="K123" s="162"/>
      <c r="L123" s="162"/>
      <c r="M123" s="162"/>
      <c r="N123" s="162"/>
      <c r="O123" s="162"/>
      <c r="P123" s="162"/>
      <c r="Q123" s="162"/>
      <c r="R123" s="162"/>
      <c r="S123" s="162"/>
      <c r="T123" s="162"/>
      <c r="U123" s="162"/>
      <c r="V123" s="162"/>
      <c r="W123" s="162"/>
      <c r="X123" s="162"/>
      <c r="Y123" s="162"/>
      <c r="Z123" s="162"/>
      <c r="AA123" s="162"/>
      <c r="AB123" s="162"/>
      <c r="AC123" s="162"/>
      <c r="AD123" s="162"/>
      <c r="AE123" s="162"/>
      <c r="AF123" s="161"/>
      <c r="AG123" s="64">
        <f t="shared" si="15"/>
        <v>0</v>
      </c>
    </row>
    <row r="124" spans="1:33" ht="19.5" hidden="1" customHeight="1" thickBot="1" x14ac:dyDescent="0.3">
      <c r="A124" s="323" t="s">
        <v>62</v>
      </c>
      <c r="B124" s="249"/>
      <c r="C124" s="162"/>
      <c r="D124" s="162"/>
      <c r="E124" s="162"/>
      <c r="F124" s="162"/>
      <c r="G124" s="162"/>
      <c r="H124" s="162"/>
      <c r="I124" s="162"/>
      <c r="J124" s="162"/>
      <c r="K124" s="162"/>
      <c r="L124" s="162"/>
      <c r="M124" s="162"/>
      <c r="N124" s="162"/>
      <c r="O124" s="162"/>
      <c r="P124" s="162"/>
      <c r="Q124" s="162"/>
      <c r="R124" s="162"/>
      <c r="S124" s="162"/>
      <c r="T124" s="162"/>
      <c r="U124" s="162"/>
      <c r="V124" s="162"/>
      <c r="W124" s="162"/>
      <c r="X124" s="162"/>
      <c r="Y124" s="162"/>
      <c r="Z124" s="162"/>
      <c r="AA124" s="162"/>
      <c r="AB124" s="162"/>
      <c r="AC124" s="162"/>
      <c r="AD124" s="162"/>
      <c r="AE124" s="162"/>
      <c r="AF124" s="161"/>
      <c r="AG124" s="64">
        <f t="shared" si="15"/>
        <v>0</v>
      </c>
    </row>
    <row r="125" spans="1:33" ht="19.5" hidden="1" customHeight="1" thickBot="1" x14ac:dyDescent="0.3">
      <c r="A125" s="301" t="s">
        <v>60</v>
      </c>
      <c r="B125" s="249"/>
      <c r="C125" s="162"/>
      <c r="D125" s="162"/>
      <c r="E125" s="162"/>
      <c r="F125" s="162"/>
      <c r="G125" s="162"/>
      <c r="H125" s="162"/>
      <c r="I125" s="162"/>
      <c r="J125" s="162"/>
      <c r="K125" s="162"/>
      <c r="L125" s="162"/>
      <c r="M125" s="162"/>
      <c r="N125" s="162"/>
      <c r="O125" s="162"/>
      <c r="P125" s="162"/>
      <c r="Q125" s="162"/>
      <c r="R125" s="162"/>
      <c r="S125" s="162"/>
      <c r="T125" s="162"/>
      <c r="U125" s="162"/>
      <c r="V125" s="162"/>
      <c r="W125" s="162"/>
      <c r="X125" s="162"/>
      <c r="Y125" s="162"/>
      <c r="Z125" s="162"/>
      <c r="AA125" s="162"/>
      <c r="AB125" s="162"/>
      <c r="AC125" s="162"/>
      <c r="AD125" s="162"/>
      <c r="AE125" s="162"/>
      <c r="AF125" s="161"/>
      <c r="AG125" s="64">
        <f t="shared" si="15"/>
        <v>0</v>
      </c>
    </row>
    <row r="126" spans="1:33" ht="19.5" hidden="1" customHeight="1" thickBot="1" x14ac:dyDescent="0.3">
      <c r="A126" s="301" t="s">
        <v>59</v>
      </c>
      <c r="B126" s="249"/>
      <c r="C126" s="162"/>
      <c r="D126" s="162"/>
      <c r="E126" s="162"/>
      <c r="F126" s="162"/>
      <c r="G126" s="162"/>
      <c r="H126" s="162"/>
      <c r="I126" s="162"/>
      <c r="J126" s="162"/>
      <c r="K126" s="162"/>
      <c r="L126" s="162"/>
      <c r="M126" s="162"/>
      <c r="N126" s="162"/>
      <c r="O126" s="162"/>
      <c r="P126" s="162"/>
      <c r="Q126" s="162"/>
      <c r="R126" s="162"/>
      <c r="S126" s="162"/>
      <c r="T126" s="162"/>
      <c r="U126" s="162"/>
      <c r="V126" s="162"/>
      <c r="W126" s="162"/>
      <c r="X126" s="162"/>
      <c r="Y126" s="162"/>
      <c r="Z126" s="162"/>
      <c r="AA126" s="162"/>
      <c r="AB126" s="162"/>
      <c r="AC126" s="162"/>
      <c r="AD126" s="162"/>
      <c r="AE126" s="162"/>
      <c r="AF126" s="161"/>
      <c r="AG126" s="64">
        <f t="shared" si="15"/>
        <v>0</v>
      </c>
    </row>
    <row r="127" spans="1:33" ht="19.5" hidden="1" customHeight="1" thickBot="1" x14ac:dyDescent="0.3">
      <c r="A127" s="301" t="s">
        <v>58</v>
      </c>
      <c r="B127" s="249"/>
      <c r="C127" s="162"/>
      <c r="D127" s="162"/>
      <c r="E127" s="162"/>
      <c r="F127" s="162"/>
      <c r="G127" s="162"/>
      <c r="H127" s="162"/>
      <c r="I127" s="162"/>
      <c r="J127" s="162"/>
      <c r="K127" s="162"/>
      <c r="L127" s="162"/>
      <c r="M127" s="162"/>
      <c r="N127" s="162"/>
      <c r="O127" s="162"/>
      <c r="P127" s="162"/>
      <c r="Q127" s="162"/>
      <c r="R127" s="162"/>
      <c r="S127" s="162"/>
      <c r="T127" s="162"/>
      <c r="U127" s="162"/>
      <c r="V127" s="162"/>
      <c r="W127" s="162"/>
      <c r="X127" s="162"/>
      <c r="Y127" s="162"/>
      <c r="Z127" s="162"/>
      <c r="AA127" s="162"/>
      <c r="AB127" s="162"/>
      <c r="AC127" s="162"/>
      <c r="AD127" s="162"/>
      <c r="AE127" s="162"/>
      <c r="AF127" s="161"/>
      <c r="AG127" s="64">
        <f t="shared" si="15"/>
        <v>0</v>
      </c>
    </row>
    <row r="128" spans="1:33" ht="19.5" hidden="1" customHeight="1" thickBot="1" x14ac:dyDescent="0.3">
      <c r="A128" s="323" t="s">
        <v>88</v>
      </c>
      <c r="B128" s="249"/>
      <c r="C128" s="162"/>
      <c r="D128" s="162"/>
      <c r="E128" s="162"/>
      <c r="F128" s="162"/>
      <c r="G128" s="162"/>
      <c r="H128" s="162"/>
      <c r="I128" s="162"/>
      <c r="J128" s="162"/>
      <c r="K128" s="162"/>
      <c r="L128" s="162"/>
      <c r="M128" s="162"/>
      <c r="N128" s="162"/>
      <c r="O128" s="162"/>
      <c r="P128" s="162"/>
      <c r="Q128" s="162"/>
      <c r="R128" s="162"/>
      <c r="S128" s="162"/>
      <c r="T128" s="162"/>
      <c r="U128" s="162"/>
      <c r="V128" s="162"/>
      <c r="W128" s="162"/>
      <c r="X128" s="162"/>
      <c r="Y128" s="162"/>
      <c r="Z128" s="162"/>
      <c r="AA128" s="162"/>
      <c r="AB128" s="162"/>
      <c r="AC128" s="162"/>
      <c r="AD128" s="162"/>
      <c r="AE128" s="162"/>
      <c r="AF128" s="161"/>
      <c r="AG128" s="64">
        <f t="shared" si="15"/>
        <v>0</v>
      </c>
    </row>
    <row r="129" spans="1:35" ht="19.5" thickBot="1" x14ac:dyDescent="0.3">
      <c r="A129" s="324" t="s">
        <v>87</v>
      </c>
      <c r="B129" s="263">
        <f>11+3</f>
        <v>14</v>
      </c>
      <c r="C129" s="140">
        <f>10+5</f>
        <v>15</v>
      </c>
      <c r="D129" s="140">
        <f>11+2</f>
        <v>13</v>
      </c>
      <c r="E129" s="140">
        <f>6+4</f>
        <v>10</v>
      </c>
      <c r="F129" s="140">
        <f>5+2</f>
        <v>7</v>
      </c>
      <c r="G129" s="140">
        <f>5+3</f>
        <v>8</v>
      </c>
      <c r="H129" s="140">
        <f>14+5</f>
        <v>19</v>
      </c>
      <c r="I129" s="140">
        <f>7+2</f>
        <v>9</v>
      </c>
      <c r="J129" s="140">
        <f>8+1+3</f>
        <v>12</v>
      </c>
      <c r="K129" s="140">
        <f>11+4</f>
        <v>15</v>
      </c>
      <c r="L129" s="140">
        <f>7+4</f>
        <v>11</v>
      </c>
      <c r="M129" s="140">
        <f>12+2</f>
        <v>14</v>
      </c>
      <c r="N129" s="140">
        <f>4+7</f>
        <v>11</v>
      </c>
      <c r="O129" s="140">
        <f>3+1+6</f>
        <v>10</v>
      </c>
      <c r="P129" s="140">
        <f>9+2</f>
        <v>11</v>
      </c>
      <c r="Q129" s="140">
        <f>5+2</f>
        <v>7</v>
      </c>
      <c r="R129" s="140">
        <f>11+4</f>
        <v>15</v>
      </c>
      <c r="S129" s="140">
        <f>10+5</f>
        <v>15</v>
      </c>
      <c r="T129" s="140">
        <f>5+1+1</f>
        <v>7</v>
      </c>
      <c r="U129" s="140">
        <f>7+1+3</f>
        <v>11</v>
      </c>
      <c r="V129" s="140">
        <f>11+5</f>
        <v>16</v>
      </c>
      <c r="W129" s="140">
        <f>12+8</f>
        <v>20</v>
      </c>
      <c r="X129" s="140">
        <f>11+2</f>
        <v>13</v>
      </c>
      <c r="Y129" s="140">
        <f>9+2</f>
        <v>11</v>
      </c>
      <c r="Z129" s="140">
        <f>8+1</f>
        <v>9</v>
      </c>
      <c r="AA129" s="140">
        <v>4</v>
      </c>
      <c r="AB129" s="140">
        <f>6+1</f>
        <v>7</v>
      </c>
      <c r="AC129" s="140">
        <f>8+5</f>
        <v>13</v>
      </c>
      <c r="AD129" s="140">
        <v>6</v>
      </c>
      <c r="AE129" s="140">
        <f>9+1+2</f>
        <v>12</v>
      </c>
      <c r="AF129" s="139">
        <f>15+1</f>
        <v>16</v>
      </c>
      <c r="AG129" s="64">
        <f t="shared" si="15"/>
        <v>361</v>
      </c>
    </row>
    <row r="130" spans="1:35" ht="18.75" x14ac:dyDescent="0.25">
      <c r="A130" s="315" t="s">
        <v>89</v>
      </c>
      <c r="B130" s="261">
        <f t="shared" ref="B130:AF130" si="18">SUM(B131:B143)</f>
        <v>175</v>
      </c>
      <c r="C130" s="166">
        <f t="shared" si="18"/>
        <v>156</v>
      </c>
      <c r="D130" s="166">
        <f t="shared" si="18"/>
        <v>161</v>
      </c>
      <c r="E130" s="166">
        <f t="shared" si="18"/>
        <v>129</v>
      </c>
      <c r="F130" s="166">
        <f t="shared" si="18"/>
        <v>117</v>
      </c>
      <c r="G130" s="166">
        <f t="shared" si="18"/>
        <v>123</v>
      </c>
      <c r="H130" s="166">
        <f t="shared" si="18"/>
        <v>138</v>
      </c>
      <c r="I130" s="166">
        <f t="shared" si="18"/>
        <v>120</v>
      </c>
      <c r="J130" s="166">
        <f t="shared" si="18"/>
        <v>178</v>
      </c>
      <c r="K130" s="166">
        <f t="shared" si="18"/>
        <v>141</v>
      </c>
      <c r="L130" s="166">
        <f t="shared" si="18"/>
        <v>143</v>
      </c>
      <c r="M130" s="166">
        <f t="shared" si="18"/>
        <v>135</v>
      </c>
      <c r="N130" s="166">
        <f t="shared" si="18"/>
        <v>124</v>
      </c>
      <c r="O130" s="166">
        <f t="shared" si="18"/>
        <v>140</v>
      </c>
      <c r="P130" s="166">
        <f t="shared" si="18"/>
        <v>144</v>
      </c>
      <c r="Q130" s="166">
        <f t="shared" si="18"/>
        <v>145</v>
      </c>
      <c r="R130" s="166">
        <f t="shared" si="18"/>
        <v>130</v>
      </c>
      <c r="S130" s="166">
        <f t="shared" si="18"/>
        <v>143</v>
      </c>
      <c r="T130" s="166">
        <f t="shared" si="18"/>
        <v>120</v>
      </c>
      <c r="U130" s="166">
        <f t="shared" si="18"/>
        <v>159</v>
      </c>
      <c r="V130" s="166">
        <f t="shared" si="18"/>
        <v>132</v>
      </c>
      <c r="W130" s="166">
        <f t="shared" si="18"/>
        <v>141</v>
      </c>
      <c r="X130" s="166">
        <f t="shared" si="18"/>
        <v>156</v>
      </c>
      <c r="Y130" s="166">
        <f t="shared" si="18"/>
        <v>118</v>
      </c>
      <c r="Z130" s="166">
        <f t="shared" si="18"/>
        <v>134</v>
      </c>
      <c r="AA130" s="166">
        <f t="shared" si="18"/>
        <v>120</v>
      </c>
      <c r="AB130" s="166">
        <f t="shared" si="18"/>
        <v>115</v>
      </c>
      <c r="AC130" s="166">
        <f t="shared" si="18"/>
        <v>150</v>
      </c>
      <c r="AD130" s="166">
        <f t="shared" si="18"/>
        <v>129</v>
      </c>
      <c r="AE130" s="166">
        <f t="shared" si="18"/>
        <v>169</v>
      </c>
      <c r="AF130" s="165">
        <f t="shared" si="18"/>
        <v>151</v>
      </c>
      <c r="AG130" s="164">
        <f t="shared" si="15"/>
        <v>4336</v>
      </c>
      <c r="AH130" s="152" t="str">
        <f>IF(AG130&lt;&gt;AG93,"*","")</f>
        <v/>
      </c>
    </row>
    <row r="131" spans="1:35" ht="18.75" x14ac:dyDescent="0.25">
      <c r="A131" s="323" t="s">
        <v>67</v>
      </c>
      <c r="B131" s="249">
        <v>34</v>
      </c>
      <c r="C131" s="162">
        <v>14</v>
      </c>
      <c r="D131" s="162">
        <v>25</v>
      </c>
      <c r="E131" s="162">
        <v>16</v>
      </c>
      <c r="F131" s="162">
        <v>13</v>
      </c>
      <c r="G131" s="162">
        <v>19</v>
      </c>
      <c r="H131" s="162">
        <v>29</v>
      </c>
      <c r="I131" s="162">
        <v>20</v>
      </c>
      <c r="J131" s="162">
        <v>14</v>
      </c>
      <c r="K131" s="162">
        <v>15</v>
      </c>
      <c r="L131" s="162">
        <v>26</v>
      </c>
      <c r="M131" s="162">
        <v>18</v>
      </c>
      <c r="N131" s="162">
        <v>18</v>
      </c>
      <c r="O131" s="162">
        <v>25</v>
      </c>
      <c r="P131" s="162">
        <v>24</v>
      </c>
      <c r="Q131" s="162">
        <v>10</v>
      </c>
      <c r="R131" s="162">
        <v>14</v>
      </c>
      <c r="S131" s="162">
        <v>13</v>
      </c>
      <c r="T131" s="162">
        <v>22</v>
      </c>
      <c r="U131" s="162">
        <v>32</v>
      </c>
      <c r="V131" s="162">
        <v>27</v>
      </c>
      <c r="W131" s="162">
        <v>27</v>
      </c>
      <c r="X131" s="162">
        <v>15</v>
      </c>
      <c r="Y131" s="162">
        <v>19</v>
      </c>
      <c r="Z131" s="162">
        <v>21</v>
      </c>
      <c r="AA131" s="162">
        <v>14</v>
      </c>
      <c r="AB131" s="162">
        <v>23</v>
      </c>
      <c r="AC131" s="162">
        <v>29</v>
      </c>
      <c r="AD131" s="162">
        <v>24</v>
      </c>
      <c r="AE131" s="162">
        <v>14</v>
      </c>
      <c r="AF131" s="161">
        <v>25</v>
      </c>
      <c r="AG131" s="64">
        <f t="shared" ref="AG131:AG145" si="19">SUM(B131:AF131)</f>
        <v>639</v>
      </c>
    </row>
    <row r="132" spans="1:35" ht="18.75" x14ac:dyDescent="0.25">
      <c r="A132" s="323" t="s">
        <v>69</v>
      </c>
      <c r="B132" s="249">
        <v>10</v>
      </c>
      <c r="C132" s="162"/>
      <c r="D132" s="162"/>
      <c r="E132" s="162">
        <v>2</v>
      </c>
      <c r="F132" s="162">
        <v>5</v>
      </c>
      <c r="G132" s="162">
        <v>5</v>
      </c>
      <c r="H132" s="162">
        <v>5</v>
      </c>
      <c r="I132" s="162">
        <v>7</v>
      </c>
      <c r="J132" s="162">
        <v>2</v>
      </c>
      <c r="K132" s="162">
        <v>4</v>
      </c>
      <c r="L132" s="162">
        <v>2</v>
      </c>
      <c r="M132" s="162">
        <v>2</v>
      </c>
      <c r="N132" s="162">
        <v>4</v>
      </c>
      <c r="O132" s="162">
        <v>5</v>
      </c>
      <c r="P132" s="162">
        <v>8</v>
      </c>
      <c r="Q132" s="162">
        <v>2</v>
      </c>
      <c r="R132" s="162">
        <v>1</v>
      </c>
      <c r="S132" s="162">
        <v>4</v>
      </c>
      <c r="T132" s="162">
        <v>3</v>
      </c>
      <c r="U132" s="162">
        <v>11</v>
      </c>
      <c r="V132" s="162">
        <v>6</v>
      </c>
      <c r="W132" s="162">
        <v>3</v>
      </c>
      <c r="X132" s="162">
        <v>3</v>
      </c>
      <c r="Y132" s="162">
        <v>1</v>
      </c>
      <c r="Z132" s="162">
        <v>2</v>
      </c>
      <c r="AA132" s="162">
        <v>5</v>
      </c>
      <c r="AB132" s="162">
        <v>3</v>
      </c>
      <c r="AC132" s="162">
        <v>3</v>
      </c>
      <c r="AD132" s="162">
        <v>7</v>
      </c>
      <c r="AE132" s="162">
        <v>5</v>
      </c>
      <c r="AF132" s="161">
        <v>4</v>
      </c>
      <c r="AG132" s="64">
        <f t="shared" si="19"/>
        <v>124</v>
      </c>
    </row>
    <row r="133" spans="1:35" ht="18.75" x14ac:dyDescent="0.25">
      <c r="A133" s="323" t="s">
        <v>68</v>
      </c>
      <c r="B133" s="249">
        <v>9</v>
      </c>
      <c r="C133" s="162">
        <v>1</v>
      </c>
      <c r="D133" s="162">
        <v>6</v>
      </c>
      <c r="E133" s="162">
        <v>1</v>
      </c>
      <c r="F133" s="162">
        <v>4</v>
      </c>
      <c r="G133" s="162">
        <v>3</v>
      </c>
      <c r="H133" s="162">
        <v>4</v>
      </c>
      <c r="I133" s="162">
        <v>5</v>
      </c>
      <c r="J133" s="162">
        <v>3</v>
      </c>
      <c r="K133" s="162">
        <v>9</v>
      </c>
      <c r="L133" s="162">
        <v>6</v>
      </c>
      <c r="M133" s="162">
        <v>3</v>
      </c>
      <c r="N133" s="162">
        <v>5</v>
      </c>
      <c r="O133" s="162">
        <v>11</v>
      </c>
      <c r="P133" s="162">
        <v>9</v>
      </c>
      <c r="Q133" s="162"/>
      <c r="R133" s="162">
        <v>5</v>
      </c>
      <c r="S133" s="162">
        <v>3</v>
      </c>
      <c r="T133" s="162">
        <v>4</v>
      </c>
      <c r="U133" s="162">
        <v>6</v>
      </c>
      <c r="V133" s="162">
        <v>4</v>
      </c>
      <c r="W133" s="162">
        <v>9</v>
      </c>
      <c r="X133" s="162">
        <v>4</v>
      </c>
      <c r="Y133" s="162">
        <v>3</v>
      </c>
      <c r="Z133" s="162">
        <v>5</v>
      </c>
      <c r="AA133" s="162">
        <v>7</v>
      </c>
      <c r="AB133" s="162">
        <v>4</v>
      </c>
      <c r="AC133" s="162">
        <v>7</v>
      </c>
      <c r="AD133" s="162">
        <v>8</v>
      </c>
      <c r="AE133" s="162"/>
      <c r="AF133" s="161">
        <v>3</v>
      </c>
      <c r="AG133" s="64">
        <f t="shared" si="19"/>
        <v>151</v>
      </c>
    </row>
    <row r="134" spans="1:35" ht="18.75" x14ac:dyDescent="0.25">
      <c r="A134" s="323" t="s">
        <v>66</v>
      </c>
      <c r="B134" s="249">
        <f>9+2</f>
        <v>11</v>
      </c>
      <c r="C134" s="162">
        <f>2+1</f>
        <v>3</v>
      </c>
      <c r="D134" s="162">
        <f>5+4</f>
        <v>9</v>
      </c>
      <c r="E134" s="162">
        <f>3+1</f>
        <v>4</v>
      </c>
      <c r="F134" s="162">
        <f>3+4</f>
        <v>7</v>
      </c>
      <c r="G134" s="162">
        <f>5+3</f>
        <v>8</v>
      </c>
      <c r="H134" s="162">
        <f>7+2</f>
        <v>9</v>
      </c>
      <c r="I134" s="162">
        <f>3+1</f>
        <v>4</v>
      </c>
      <c r="J134" s="162">
        <f>5+1</f>
        <v>6</v>
      </c>
      <c r="K134" s="162">
        <f>1+2+2</f>
        <v>5</v>
      </c>
      <c r="L134" s="162">
        <f>2+1</f>
        <v>3</v>
      </c>
      <c r="M134" s="162">
        <f>7+3</f>
        <v>10</v>
      </c>
      <c r="N134" s="162">
        <f>2+2</f>
        <v>4</v>
      </c>
      <c r="O134" s="162">
        <f>7+2</f>
        <v>9</v>
      </c>
      <c r="P134" s="162">
        <f>5+3</f>
        <v>8</v>
      </c>
      <c r="Q134" s="162">
        <f>3+2</f>
        <v>5</v>
      </c>
      <c r="R134" s="162">
        <f>3+2</f>
        <v>5</v>
      </c>
      <c r="S134" s="162">
        <v>8</v>
      </c>
      <c r="T134" s="162">
        <f>4+2</f>
        <v>6</v>
      </c>
      <c r="U134" s="162">
        <f>2+3</f>
        <v>5</v>
      </c>
      <c r="V134" s="162">
        <f>5+2</f>
        <v>7</v>
      </c>
      <c r="W134" s="162">
        <v>6</v>
      </c>
      <c r="X134" s="162">
        <v>2</v>
      </c>
      <c r="Y134" s="162">
        <f>2+3</f>
        <v>5</v>
      </c>
      <c r="Z134" s="162">
        <f>5+2</f>
        <v>7</v>
      </c>
      <c r="AA134" s="162">
        <f>4+1</f>
        <v>5</v>
      </c>
      <c r="AB134" s="162">
        <v>4</v>
      </c>
      <c r="AC134" s="162">
        <f>1+6</f>
        <v>7</v>
      </c>
      <c r="AD134" s="162">
        <f>7+2</f>
        <v>9</v>
      </c>
      <c r="AE134" s="162">
        <f>4+4</f>
        <v>8</v>
      </c>
      <c r="AF134" s="161">
        <f>6+1</f>
        <v>7</v>
      </c>
      <c r="AG134" s="64">
        <f t="shared" si="19"/>
        <v>196</v>
      </c>
    </row>
    <row r="135" spans="1:35" ht="18.75" x14ac:dyDescent="0.25">
      <c r="A135" s="323" t="s">
        <v>65</v>
      </c>
      <c r="B135" s="249">
        <v>8</v>
      </c>
      <c r="C135" s="162">
        <v>1</v>
      </c>
      <c r="D135" s="162">
        <v>3</v>
      </c>
      <c r="E135" s="162">
        <v>5</v>
      </c>
      <c r="F135" s="162">
        <v>4</v>
      </c>
      <c r="G135" s="162">
        <v>4</v>
      </c>
      <c r="H135" s="162">
        <v>7</v>
      </c>
      <c r="I135" s="162">
        <v>7</v>
      </c>
      <c r="J135" s="162">
        <v>4</v>
      </c>
      <c r="K135" s="162">
        <v>2</v>
      </c>
      <c r="L135" s="162">
        <v>7</v>
      </c>
      <c r="M135" s="162">
        <v>5</v>
      </c>
      <c r="N135" s="162">
        <v>4</v>
      </c>
      <c r="O135" s="162">
        <v>9</v>
      </c>
      <c r="P135" s="162">
        <v>11</v>
      </c>
      <c r="Q135" s="162">
        <v>1</v>
      </c>
      <c r="R135" s="162">
        <v>4</v>
      </c>
      <c r="S135" s="162">
        <v>5</v>
      </c>
      <c r="T135" s="162">
        <v>4</v>
      </c>
      <c r="U135" s="162">
        <v>3</v>
      </c>
      <c r="V135" s="162">
        <v>8</v>
      </c>
      <c r="W135" s="162">
        <v>3</v>
      </c>
      <c r="X135" s="162"/>
      <c r="Y135" s="162">
        <v>6</v>
      </c>
      <c r="Z135" s="162">
        <v>6</v>
      </c>
      <c r="AA135" s="162">
        <v>1</v>
      </c>
      <c r="AB135" s="162">
        <v>7</v>
      </c>
      <c r="AC135" s="162">
        <v>9</v>
      </c>
      <c r="AD135" s="162">
        <v>3</v>
      </c>
      <c r="AE135" s="162"/>
      <c r="AF135" s="161">
        <v>5</v>
      </c>
      <c r="AG135" s="64">
        <f t="shared" si="19"/>
        <v>146</v>
      </c>
    </row>
    <row r="136" spans="1:35" ht="18.75" x14ac:dyDescent="0.25">
      <c r="A136" s="323" t="s">
        <v>64</v>
      </c>
      <c r="B136" s="249">
        <v>80</v>
      </c>
      <c r="C136" s="162">
        <v>108</v>
      </c>
      <c r="D136" s="162">
        <v>99</v>
      </c>
      <c r="E136" s="162">
        <v>78</v>
      </c>
      <c r="F136" s="162">
        <v>64</v>
      </c>
      <c r="G136" s="162">
        <v>70</v>
      </c>
      <c r="H136" s="162">
        <v>52</v>
      </c>
      <c r="I136" s="162">
        <v>48</v>
      </c>
      <c r="J136" s="162">
        <v>124</v>
      </c>
      <c r="K136" s="162">
        <v>80</v>
      </c>
      <c r="L136" s="162">
        <v>80</v>
      </c>
      <c r="M136" s="162">
        <v>66</v>
      </c>
      <c r="N136" s="162">
        <v>67</v>
      </c>
      <c r="O136" s="162">
        <v>56</v>
      </c>
      <c r="P136" s="162">
        <v>62</v>
      </c>
      <c r="Q136" s="162">
        <v>112</v>
      </c>
      <c r="R136" s="162">
        <v>78</v>
      </c>
      <c r="S136" s="162">
        <v>86</v>
      </c>
      <c r="T136" s="162">
        <v>69</v>
      </c>
      <c r="U136" s="162">
        <v>78</v>
      </c>
      <c r="V136" s="162">
        <v>52</v>
      </c>
      <c r="W136" s="162">
        <v>60</v>
      </c>
      <c r="X136" s="162">
        <v>110</v>
      </c>
      <c r="Y136" s="162">
        <v>69</v>
      </c>
      <c r="Z136" s="162">
        <v>71</v>
      </c>
      <c r="AA136" s="162">
        <v>78</v>
      </c>
      <c r="AB136" s="162">
        <v>56</v>
      </c>
      <c r="AC136" s="162">
        <v>75</v>
      </c>
      <c r="AD136" s="162">
        <v>64</v>
      </c>
      <c r="AE136" s="162">
        <v>122</v>
      </c>
      <c r="AF136" s="161">
        <v>82</v>
      </c>
      <c r="AG136" s="64">
        <f t="shared" si="19"/>
        <v>2396</v>
      </c>
    </row>
    <row r="137" spans="1:35" ht="18.75" x14ac:dyDescent="0.25">
      <c r="A137" s="323" t="s">
        <v>63</v>
      </c>
      <c r="B137" s="249">
        <v>2</v>
      </c>
      <c r="C137" s="162">
        <v>1</v>
      </c>
      <c r="D137" s="162">
        <f>1+1</f>
        <v>2</v>
      </c>
      <c r="E137" s="162">
        <v>2</v>
      </c>
      <c r="F137" s="162">
        <v>6</v>
      </c>
      <c r="G137" s="162"/>
      <c r="H137" s="162">
        <f>7+1</f>
        <v>8</v>
      </c>
      <c r="I137" s="162">
        <v>6</v>
      </c>
      <c r="J137" s="162">
        <v>1</v>
      </c>
      <c r="K137" s="162">
        <v>2</v>
      </c>
      <c r="L137" s="162"/>
      <c r="M137" s="162">
        <v>3</v>
      </c>
      <c r="N137" s="162">
        <v>4</v>
      </c>
      <c r="O137" s="162">
        <v>2</v>
      </c>
      <c r="P137" s="162"/>
      <c r="Q137" s="162">
        <v>1</v>
      </c>
      <c r="R137" s="162">
        <v>1</v>
      </c>
      <c r="S137" s="162">
        <v>2</v>
      </c>
      <c r="T137" s="162">
        <v>2</v>
      </c>
      <c r="U137" s="162">
        <v>4</v>
      </c>
      <c r="V137" s="162">
        <v>4</v>
      </c>
      <c r="W137" s="162"/>
      <c r="X137" s="162"/>
      <c r="Y137" s="162"/>
      <c r="Z137" s="162">
        <v>1</v>
      </c>
      <c r="AA137" s="162">
        <v>1</v>
      </c>
      <c r="AB137" s="162">
        <v>5</v>
      </c>
      <c r="AC137" s="162">
        <v>2</v>
      </c>
      <c r="AD137" s="162">
        <f>3+1</f>
        <v>4</v>
      </c>
      <c r="AE137" s="162"/>
      <c r="AF137" s="161">
        <v>1</v>
      </c>
      <c r="AG137" s="64">
        <f t="shared" si="19"/>
        <v>67</v>
      </c>
    </row>
    <row r="138" spans="1:35" ht="18.75" x14ac:dyDescent="0.25">
      <c r="A138" s="323" t="s">
        <v>62</v>
      </c>
      <c r="B138" s="249">
        <v>2</v>
      </c>
      <c r="C138" s="162">
        <v>1</v>
      </c>
      <c r="D138" s="162"/>
      <c r="E138" s="162">
        <v>3</v>
      </c>
      <c r="F138" s="162">
        <v>1</v>
      </c>
      <c r="G138" s="162">
        <v>2</v>
      </c>
      <c r="H138" s="162">
        <v>1</v>
      </c>
      <c r="I138" s="162">
        <v>1</v>
      </c>
      <c r="J138" s="162">
        <v>1</v>
      </c>
      <c r="K138" s="162">
        <v>2</v>
      </c>
      <c r="L138" s="162"/>
      <c r="M138" s="162">
        <v>1</v>
      </c>
      <c r="N138" s="162">
        <v>1</v>
      </c>
      <c r="O138" s="162"/>
      <c r="P138" s="162">
        <v>2</v>
      </c>
      <c r="Q138" s="162"/>
      <c r="R138" s="162"/>
      <c r="S138" s="162">
        <v>1</v>
      </c>
      <c r="T138" s="162"/>
      <c r="U138" s="162">
        <v>4</v>
      </c>
      <c r="V138" s="162">
        <v>2</v>
      </c>
      <c r="W138" s="162">
        <v>3</v>
      </c>
      <c r="X138" s="162"/>
      <c r="Y138" s="162"/>
      <c r="Z138" s="162">
        <v>2</v>
      </c>
      <c r="AA138" s="162"/>
      <c r="AB138" s="162"/>
      <c r="AC138" s="162">
        <v>2</v>
      </c>
      <c r="AD138" s="162">
        <v>1</v>
      </c>
      <c r="AE138" s="162">
        <v>2</v>
      </c>
      <c r="AF138" s="161"/>
      <c r="AG138" s="64">
        <f t="shared" si="19"/>
        <v>35</v>
      </c>
    </row>
    <row r="139" spans="1:35" ht="18.75" x14ac:dyDescent="0.25">
      <c r="A139" s="301" t="s">
        <v>60</v>
      </c>
      <c r="B139" s="249">
        <v>1</v>
      </c>
      <c r="C139" s="162">
        <v>4</v>
      </c>
      <c r="D139" s="162">
        <v>1</v>
      </c>
      <c r="E139" s="162">
        <v>2</v>
      </c>
      <c r="F139" s="162">
        <v>2</v>
      </c>
      <c r="G139" s="162">
        <v>3</v>
      </c>
      <c r="H139" s="162">
        <v>1</v>
      </c>
      <c r="I139" s="162">
        <f>2+2</f>
        <v>4</v>
      </c>
      <c r="J139" s="162">
        <v>1</v>
      </c>
      <c r="K139" s="162"/>
      <c r="L139" s="162"/>
      <c r="M139" s="162">
        <v>4</v>
      </c>
      <c r="N139" s="162"/>
      <c r="O139" s="162">
        <v>5</v>
      </c>
      <c r="P139" s="162">
        <v>4</v>
      </c>
      <c r="Q139" s="162">
        <v>2</v>
      </c>
      <c r="R139" s="162">
        <v>1</v>
      </c>
      <c r="S139" s="162">
        <v>3</v>
      </c>
      <c r="T139" s="162"/>
      <c r="U139" s="162"/>
      <c r="V139" s="162"/>
      <c r="W139" s="162">
        <v>2</v>
      </c>
      <c r="X139" s="162">
        <v>1</v>
      </c>
      <c r="Y139" s="162"/>
      <c r="Z139" s="162">
        <v>1</v>
      </c>
      <c r="AA139" s="162">
        <v>3</v>
      </c>
      <c r="AB139" s="162">
        <v>3</v>
      </c>
      <c r="AC139" s="162">
        <v>1</v>
      </c>
      <c r="AD139" s="162"/>
      <c r="AE139" s="162">
        <v>1</v>
      </c>
      <c r="AF139" s="161">
        <v>1</v>
      </c>
      <c r="AG139" s="64">
        <f t="shared" si="19"/>
        <v>51</v>
      </c>
    </row>
    <row r="140" spans="1:35" ht="18.75" x14ac:dyDescent="0.25">
      <c r="A140" s="301" t="s">
        <v>59</v>
      </c>
      <c r="B140" s="249"/>
      <c r="C140" s="162">
        <v>2</v>
      </c>
      <c r="D140" s="162"/>
      <c r="E140" s="162">
        <v>2</v>
      </c>
      <c r="F140" s="162">
        <v>2</v>
      </c>
      <c r="G140" s="162">
        <v>1</v>
      </c>
      <c r="H140" s="162"/>
      <c r="I140" s="162">
        <v>2</v>
      </c>
      <c r="J140" s="162">
        <v>1</v>
      </c>
      <c r="K140" s="162">
        <v>1</v>
      </c>
      <c r="L140" s="162">
        <v>2</v>
      </c>
      <c r="M140" s="162"/>
      <c r="N140" s="162">
        <v>2</v>
      </c>
      <c r="O140" s="162">
        <v>2</v>
      </c>
      <c r="P140" s="162">
        <v>1</v>
      </c>
      <c r="Q140" s="162"/>
      <c r="R140" s="162">
        <v>3</v>
      </c>
      <c r="S140" s="162"/>
      <c r="T140" s="162"/>
      <c r="U140" s="162">
        <v>2</v>
      </c>
      <c r="V140" s="162"/>
      <c r="W140" s="162">
        <v>2</v>
      </c>
      <c r="X140" s="162"/>
      <c r="Y140" s="162"/>
      <c r="Z140" s="162">
        <v>4</v>
      </c>
      <c r="AA140" s="162"/>
      <c r="AB140" s="162">
        <v>1</v>
      </c>
      <c r="AC140" s="162"/>
      <c r="AD140" s="162">
        <v>1</v>
      </c>
      <c r="AE140" s="162">
        <v>1</v>
      </c>
      <c r="AF140" s="161">
        <v>2</v>
      </c>
      <c r="AG140" s="64">
        <f t="shared" si="19"/>
        <v>34</v>
      </c>
    </row>
    <row r="141" spans="1:35" ht="18.75" x14ac:dyDescent="0.25">
      <c r="A141" s="301" t="s">
        <v>58</v>
      </c>
      <c r="B141" s="249"/>
      <c r="C141" s="162">
        <v>1</v>
      </c>
      <c r="D141" s="162">
        <v>1</v>
      </c>
      <c r="E141" s="162"/>
      <c r="F141" s="162"/>
      <c r="G141" s="162"/>
      <c r="H141" s="162">
        <v>1</v>
      </c>
      <c r="I141" s="162">
        <v>1</v>
      </c>
      <c r="J141" s="162">
        <v>1</v>
      </c>
      <c r="K141" s="162">
        <v>1</v>
      </c>
      <c r="L141" s="162"/>
      <c r="M141" s="162">
        <v>2</v>
      </c>
      <c r="N141" s="162"/>
      <c r="O141" s="162">
        <v>1</v>
      </c>
      <c r="P141" s="162">
        <v>1</v>
      </c>
      <c r="Q141" s="162"/>
      <c r="R141" s="162">
        <v>1</v>
      </c>
      <c r="S141" s="162"/>
      <c r="T141" s="162"/>
      <c r="U141" s="162">
        <v>1</v>
      </c>
      <c r="V141" s="162">
        <v>1</v>
      </c>
      <c r="W141" s="162"/>
      <c r="X141" s="162"/>
      <c r="Y141" s="162"/>
      <c r="Z141" s="162">
        <v>1</v>
      </c>
      <c r="AA141" s="162"/>
      <c r="AB141" s="162"/>
      <c r="AC141" s="162">
        <v>1</v>
      </c>
      <c r="AD141" s="162">
        <v>1</v>
      </c>
      <c r="AE141" s="162">
        <v>1</v>
      </c>
      <c r="AF141" s="161"/>
      <c r="AG141" s="64">
        <f t="shared" si="19"/>
        <v>17</v>
      </c>
    </row>
    <row r="142" spans="1:35" ht="18.75" x14ac:dyDescent="0.25">
      <c r="A142" s="323" t="s">
        <v>88</v>
      </c>
      <c r="B142" s="249">
        <f>1+1+1+1</f>
        <v>4</v>
      </c>
      <c r="C142" s="162">
        <f>1+1+1+1+1+1</f>
        <v>6</v>
      </c>
      <c r="D142" s="162">
        <f>1+2+1+1+1</f>
        <v>6</v>
      </c>
      <c r="E142" s="162">
        <f>2+1+1</f>
        <v>4</v>
      </c>
      <c r="F142" s="162">
        <f>1+1</f>
        <v>2</v>
      </c>
      <c r="G142" s="162"/>
      <c r="H142" s="162">
        <f>1+1</f>
        <v>2</v>
      </c>
      <c r="I142" s="162">
        <f>3+1+1+1</f>
        <v>6</v>
      </c>
      <c r="J142" s="162">
        <f>1+1+1+2+1+3</f>
        <v>9</v>
      </c>
      <c r="K142" s="162">
        <f>1+1+1+1+1+1</f>
        <v>6</v>
      </c>
      <c r="L142" s="162">
        <f>1+1+1+1+1+1</f>
        <v>6</v>
      </c>
      <c r="M142" s="162">
        <f>1+1+2+1+1+2</f>
        <v>8</v>
      </c>
      <c r="N142" s="162">
        <f>1+1+1+1+1</f>
        <v>5</v>
      </c>
      <c r="O142" s="162">
        <f>1+1+1+1+1</f>
        <v>5</v>
      </c>
      <c r="P142" s="162">
        <f>1+1+1+1+1+1</f>
        <v>6</v>
      </c>
      <c r="Q142" s="162">
        <f>1+2+2</f>
        <v>5</v>
      </c>
      <c r="R142" s="162">
        <f>1+1+1</f>
        <v>3</v>
      </c>
      <c r="S142" s="162">
        <f>1+1+1</f>
        <v>3</v>
      </c>
      <c r="T142" s="162">
        <f>1+1+1</f>
        <v>3</v>
      </c>
      <c r="U142" s="162">
        <f>1+1+1</f>
        <v>3</v>
      </c>
      <c r="V142" s="162">
        <f>2+1+1+1</f>
        <v>5</v>
      </c>
      <c r="W142" s="162">
        <f>2+1+1+1+1</f>
        <v>6</v>
      </c>
      <c r="X142" s="162">
        <f>1+1+1+1+1+2+1</f>
        <v>8</v>
      </c>
      <c r="Y142" s="162">
        <f>1+1+2</f>
        <v>4</v>
      </c>
      <c r="Z142" s="162">
        <f>1+2+1</f>
        <v>4</v>
      </c>
      <c r="AA142" s="162">
        <f>1+1</f>
        <v>2</v>
      </c>
      <c r="AB142" s="162">
        <f>1+1</f>
        <v>2</v>
      </c>
      <c r="AC142" s="162">
        <f>1+1</f>
        <v>2</v>
      </c>
      <c r="AD142" s="162">
        <f>1+1</f>
        <v>2</v>
      </c>
      <c r="AE142" s="162">
        <f>1+2</f>
        <v>3</v>
      </c>
      <c r="AF142" s="161">
        <f>1+1+1+1+1</f>
        <v>5</v>
      </c>
      <c r="AG142" s="64">
        <f t="shared" si="19"/>
        <v>135</v>
      </c>
    </row>
    <row r="143" spans="1:35" ht="19.5" thickBot="1" x14ac:dyDescent="0.3">
      <c r="A143" s="324" t="s">
        <v>87</v>
      </c>
      <c r="B143" s="263">
        <f>11+3</f>
        <v>14</v>
      </c>
      <c r="C143" s="140">
        <f>9+5</f>
        <v>14</v>
      </c>
      <c r="D143" s="140">
        <f>7+2</f>
        <v>9</v>
      </c>
      <c r="E143" s="140">
        <f>6+4</f>
        <v>10</v>
      </c>
      <c r="F143" s="140">
        <f>5+2</f>
        <v>7</v>
      </c>
      <c r="G143" s="140">
        <f>5+3</f>
        <v>8</v>
      </c>
      <c r="H143" s="140">
        <f>14+5</f>
        <v>19</v>
      </c>
      <c r="I143" s="140">
        <f>7+2</f>
        <v>9</v>
      </c>
      <c r="J143" s="140">
        <f>7+1+3</f>
        <v>11</v>
      </c>
      <c r="K143" s="140">
        <f>10+4</f>
        <v>14</v>
      </c>
      <c r="L143" s="140">
        <f>7+4</f>
        <v>11</v>
      </c>
      <c r="M143" s="140">
        <f>11+2</f>
        <v>13</v>
      </c>
      <c r="N143" s="140">
        <f>4+6</f>
        <v>10</v>
      </c>
      <c r="O143" s="140">
        <f>3+1+6</f>
        <v>10</v>
      </c>
      <c r="P143" s="140">
        <f>6+2</f>
        <v>8</v>
      </c>
      <c r="Q143" s="140">
        <f>5+2</f>
        <v>7</v>
      </c>
      <c r="R143" s="140">
        <f>10+4</f>
        <v>14</v>
      </c>
      <c r="S143" s="140">
        <f>10+5</f>
        <v>15</v>
      </c>
      <c r="T143" s="140">
        <f>5+1+1</f>
        <v>7</v>
      </c>
      <c r="U143" s="140">
        <f>6+1+3</f>
        <v>10</v>
      </c>
      <c r="V143" s="140">
        <f>11+5</f>
        <v>16</v>
      </c>
      <c r="W143" s="140">
        <f>12+8</f>
        <v>20</v>
      </c>
      <c r="X143" s="140">
        <f>11+2</f>
        <v>13</v>
      </c>
      <c r="Y143" s="140">
        <f>9+2</f>
        <v>11</v>
      </c>
      <c r="Z143" s="140">
        <f>8+1</f>
        <v>9</v>
      </c>
      <c r="AA143" s="140">
        <v>4</v>
      </c>
      <c r="AB143" s="140">
        <f>6+1</f>
        <v>7</v>
      </c>
      <c r="AC143" s="140">
        <f>7+5</f>
        <v>12</v>
      </c>
      <c r="AD143" s="140">
        <v>5</v>
      </c>
      <c r="AE143" s="140">
        <f>9+1+2</f>
        <v>12</v>
      </c>
      <c r="AF143" s="139">
        <f>15+1</f>
        <v>16</v>
      </c>
      <c r="AG143" s="160">
        <f t="shared" si="19"/>
        <v>345</v>
      </c>
    </row>
    <row r="144" spans="1:35" ht="19.5" thickBot="1" x14ac:dyDescent="0.3">
      <c r="A144" s="309" t="s">
        <v>86</v>
      </c>
      <c r="B144" s="257">
        <f t="shared" ref="B144:AF144" si="20">+B146+B156+B158+B167</f>
        <v>175</v>
      </c>
      <c r="C144" s="158">
        <f t="shared" si="20"/>
        <v>156</v>
      </c>
      <c r="D144" s="158">
        <f t="shared" si="20"/>
        <v>161</v>
      </c>
      <c r="E144" s="158">
        <f t="shared" si="20"/>
        <v>129</v>
      </c>
      <c r="F144" s="158">
        <f t="shared" si="20"/>
        <v>117</v>
      </c>
      <c r="G144" s="158">
        <f t="shared" si="20"/>
        <v>123</v>
      </c>
      <c r="H144" s="158">
        <f t="shared" si="20"/>
        <v>138</v>
      </c>
      <c r="I144" s="158">
        <f t="shared" si="20"/>
        <v>120</v>
      </c>
      <c r="J144" s="158">
        <f t="shared" si="20"/>
        <v>178</v>
      </c>
      <c r="K144" s="158">
        <f t="shared" si="20"/>
        <v>141</v>
      </c>
      <c r="L144" s="158">
        <f t="shared" si="20"/>
        <v>143</v>
      </c>
      <c r="M144" s="158">
        <f t="shared" si="20"/>
        <v>135</v>
      </c>
      <c r="N144" s="158">
        <f t="shared" si="20"/>
        <v>124</v>
      </c>
      <c r="O144" s="158">
        <f t="shared" si="20"/>
        <v>140</v>
      </c>
      <c r="P144" s="158">
        <f t="shared" si="20"/>
        <v>144</v>
      </c>
      <c r="Q144" s="158">
        <f t="shared" si="20"/>
        <v>145</v>
      </c>
      <c r="R144" s="158">
        <f t="shared" si="20"/>
        <v>130</v>
      </c>
      <c r="S144" s="158">
        <f t="shared" si="20"/>
        <v>143</v>
      </c>
      <c r="T144" s="158">
        <f t="shared" si="20"/>
        <v>120</v>
      </c>
      <c r="U144" s="158">
        <f t="shared" si="20"/>
        <v>159</v>
      </c>
      <c r="V144" s="158">
        <f t="shared" si="20"/>
        <v>132</v>
      </c>
      <c r="W144" s="158">
        <f t="shared" si="20"/>
        <v>141</v>
      </c>
      <c r="X144" s="158">
        <f t="shared" si="20"/>
        <v>156</v>
      </c>
      <c r="Y144" s="158">
        <f t="shared" si="20"/>
        <v>118</v>
      </c>
      <c r="Z144" s="158">
        <f t="shared" si="20"/>
        <v>134</v>
      </c>
      <c r="AA144" s="158">
        <f t="shared" si="20"/>
        <v>120</v>
      </c>
      <c r="AB144" s="158">
        <f t="shared" si="20"/>
        <v>115</v>
      </c>
      <c r="AC144" s="158">
        <f t="shared" si="20"/>
        <v>150</v>
      </c>
      <c r="AD144" s="158">
        <f t="shared" si="20"/>
        <v>129</v>
      </c>
      <c r="AE144" s="158">
        <f t="shared" si="20"/>
        <v>169</v>
      </c>
      <c r="AF144" s="158">
        <f t="shared" si="20"/>
        <v>151</v>
      </c>
      <c r="AG144" s="157">
        <f t="shared" si="19"/>
        <v>4336</v>
      </c>
      <c r="AH144" s="85" t="str">
        <f>IF(AG144&lt;&gt;AG93,"*","")</f>
        <v/>
      </c>
      <c r="AI144" t="s">
        <v>85</v>
      </c>
    </row>
    <row r="145" spans="1:34" ht="19.5" thickBot="1" x14ac:dyDescent="0.3">
      <c r="A145" s="325" t="s">
        <v>84</v>
      </c>
      <c r="B145" s="264">
        <f t="shared" ref="B145:AF145" si="21">+B149+B155+B157+B172</f>
        <v>2</v>
      </c>
      <c r="C145" s="155">
        <f t="shared" si="21"/>
        <v>9</v>
      </c>
      <c r="D145" s="155">
        <f t="shared" si="21"/>
        <v>12</v>
      </c>
      <c r="E145" s="155">
        <f t="shared" si="21"/>
        <v>2</v>
      </c>
      <c r="F145" s="155">
        <f t="shared" si="21"/>
        <v>6</v>
      </c>
      <c r="G145" s="155">
        <f t="shared" si="21"/>
        <v>2</v>
      </c>
      <c r="H145" s="155">
        <f t="shared" si="21"/>
        <v>4</v>
      </c>
      <c r="I145" s="155">
        <f t="shared" si="21"/>
        <v>1</v>
      </c>
      <c r="J145" s="155">
        <f t="shared" si="21"/>
        <v>14</v>
      </c>
      <c r="K145" s="155">
        <f t="shared" si="21"/>
        <v>5</v>
      </c>
      <c r="L145" s="155">
        <f t="shared" si="21"/>
        <v>10</v>
      </c>
      <c r="M145" s="155">
        <f t="shared" si="21"/>
        <v>8</v>
      </c>
      <c r="N145" s="155">
        <f t="shared" si="21"/>
        <v>16</v>
      </c>
      <c r="O145" s="155">
        <f t="shared" si="21"/>
        <v>2</v>
      </c>
      <c r="P145" s="155">
        <f t="shared" si="21"/>
        <v>6</v>
      </c>
      <c r="Q145" s="155">
        <f t="shared" si="21"/>
        <v>8</v>
      </c>
      <c r="R145" s="155">
        <f t="shared" si="21"/>
        <v>11</v>
      </c>
      <c r="S145" s="155">
        <f t="shared" si="21"/>
        <v>4</v>
      </c>
      <c r="T145" s="155">
        <f t="shared" si="21"/>
        <v>8</v>
      </c>
      <c r="U145" s="155">
        <f t="shared" si="21"/>
        <v>3</v>
      </c>
      <c r="V145" s="155">
        <f t="shared" si="21"/>
        <v>2</v>
      </c>
      <c r="W145" s="155">
        <f t="shared" si="21"/>
        <v>4</v>
      </c>
      <c r="X145" s="155">
        <f t="shared" si="21"/>
        <v>16</v>
      </c>
      <c r="Y145" s="155">
        <f t="shared" si="21"/>
        <v>5</v>
      </c>
      <c r="Z145" s="155">
        <f t="shared" si="21"/>
        <v>11</v>
      </c>
      <c r="AA145" s="155">
        <f t="shared" si="21"/>
        <v>5</v>
      </c>
      <c r="AB145" s="155">
        <f t="shared" si="21"/>
        <v>2</v>
      </c>
      <c r="AC145" s="155">
        <f t="shared" si="21"/>
        <v>1</v>
      </c>
      <c r="AD145" s="155">
        <f t="shared" si="21"/>
        <v>4</v>
      </c>
      <c r="AE145" s="155">
        <f t="shared" si="21"/>
        <v>11</v>
      </c>
      <c r="AF145" s="154">
        <f t="shared" si="21"/>
        <v>9</v>
      </c>
      <c r="AG145" s="153">
        <f t="shared" si="19"/>
        <v>203</v>
      </c>
      <c r="AH145" s="152"/>
    </row>
    <row r="146" spans="1:34" ht="19.5" thickBot="1" x14ac:dyDescent="0.3">
      <c r="A146" s="326" t="s">
        <v>83</v>
      </c>
      <c r="B146" s="265">
        <f t="shared" ref="B146:AG147" si="22">+B148+B154</f>
        <v>0</v>
      </c>
      <c r="C146" s="8">
        <f t="shared" si="22"/>
        <v>0</v>
      </c>
      <c r="D146" s="8">
        <f t="shared" si="22"/>
        <v>0</v>
      </c>
      <c r="E146" s="8">
        <f t="shared" si="22"/>
        <v>2</v>
      </c>
      <c r="F146" s="8">
        <f t="shared" si="22"/>
        <v>0</v>
      </c>
      <c r="G146" s="8">
        <f t="shared" si="22"/>
        <v>0</v>
      </c>
      <c r="H146" s="8">
        <f t="shared" si="22"/>
        <v>0</v>
      </c>
      <c r="I146" s="8">
        <f t="shared" si="22"/>
        <v>0</v>
      </c>
      <c r="J146" s="8">
        <f t="shared" si="22"/>
        <v>0</v>
      </c>
      <c r="K146" s="8">
        <f t="shared" si="22"/>
        <v>0</v>
      </c>
      <c r="L146" s="8">
        <f t="shared" si="22"/>
        <v>0</v>
      </c>
      <c r="M146" s="8">
        <f t="shared" si="22"/>
        <v>0</v>
      </c>
      <c r="N146" s="8">
        <f t="shared" si="22"/>
        <v>0</v>
      </c>
      <c r="O146" s="8">
        <f t="shared" si="22"/>
        <v>0</v>
      </c>
      <c r="P146" s="8">
        <f t="shared" si="22"/>
        <v>0</v>
      </c>
      <c r="Q146" s="8">
        <f t="shared" si="22"/>
        <v>0</v>
      </c>
      <c r="R146" s="8">
        <f t="shared" si="22"/>
        <v>0</v>
      </c>
      <c r="S146" s="8">
        <f t="shared" si="22"/>
        <v>0</v>
      </c>
      <c r="T146" s="8">
        <f t="shared" si="22"/>
        <v>0</v>
      </c>
      <c r="U146" s="8">
        <f t="shared" si="22"/>
        <v>0</v>
      </c>
      <c r="V146" s="8">
        <f t="shared" si="22"/>
        <v>0</v>
      </c>
      <c r="W146" s="8">
        <f t="shared" si="22"/>
        <v>0</v>
      </c>
      <c r="X146" s="8">
        <f t="shared" si="22"/>
        <v>0</v>
      </c>
      <c r="Y146" s="8">
        <f t="shared" si="22"/>
        <v>0</v>
      </c>
      <c r="Z146" s="8">
        <f t="shared" si="22"/>
        <v>0</v>
      </c>
      <c r="AA146" s="8">
        <f t="shared" si="22"/>
        <v>0</v>
      </c>
      <c r="AB146" s="8">
        <f t="shared" si="22"/>
        <v>0</v>
      </c>
      <c r="AC146" s="8">
        <f t="shared" si="22"/>
        <v>0</v>
      </c>
      <c r="AD146" s="8">
        <f t="shared" si="22"/>
        <v>0</v>
      </c>
      <c r="AE146" s="8">
        <f t="shared" si="22"/>
        <v>0</v>
      </c>
      <c r="AF146" s="150">
        <f t="shared" si="22"/>
        <v>0</v>
      </c>
      <c r="AG146" s="149">
        <f t="shared" si="22"/>
        <v>2</v>
      </c>
    </row>
    <row r="147" spans="1:34" ht="19.5" thickBot="1" x14ac:dyDescent="0.3">
      <c r="A147" s="327" t="s">
        <v>82</v>
      </c>
      <c r="B147" s="266">
        <f t="shared" si="22"/>
        <v>0</v>
      </c>
      <c r="C147" s="143">
        <f t="shared" si="22"/>
        <v>0</v>
      </c>
      <c r="D147" s="143">
        <f t="shared" si="22"/>
        <v>0</v>
      </c>
      <c r="E147" s="143">
        <f t="shared" si="22"/>
        <v>0</v>
      </c>
      <c r="F147" s="143">
        <f t="shared" si="22"/>
        <v>0</v>
      </c>
      <c r="G147" s="143">
        <f t="shared" si="22"/>
        <v>0</v>
      </c>
      <c r="H147" s="143">
        <f t="shared" si="22"/>
        <v>0</v>
      </c>
      <c r="I147" s="143">
        <f t="shared" si="22"/>
        <v>0</v>
      </c>
      <c r="J147" s="143">
        <f t="shared" si="22"/>
        <v>0</v>
      </c>
      <c r="K147" s="143">
        <f t="shared" si="22"/>
        <v>0</v>
      </c>
      <c r="L147" s="143">
        <f t="shared" si="22"/>
        <v>0</v>
      </c>
      <c r="M147" s="143">
        <f t="shared" si="22"/>
        <v>0</v>
      </c>
      <c r="N147" s="143">
        <f t="shared" si="22"/>
        <v>0</v>
      </c>
      <c r="O147" s="143">
        <f t="shared" si="22"/>
        <v>0</v>
      </c>
      <c r="P147" s="143">
        <f t="shared" si="22"/>
        <v>0</v>
      </c>
      <c r="Q147" s="143">
        <f t="shared" si="22"/>
        <v>0</v>
      </c>
      <c r="R147" s="143">
        <f t="shared" si="22"/>
        <v>0</v>
      </c>
      <c r="S147" s="143">
        <f t="shared" si="22"/>
        <v>0</v>
      </c>
      <c r="T147" s="143">
        <f t="shared" si="22"/>
        <v>0</v>
      </c>
      <c r="U147" s="143">
        <f t="shared" si="22"/>
        <v>0</v>
      </c>
      <c r="V147" s="143">
        <f t="shared" si="22"/>
        <v>0</v>
      </c>
      <c r="W147" s="143">
        <f t="shared" si="22"/>
        <v>0</v>
      </c>
      <c r="X147" s="143">
        <f t="shared" si="22"/>
        <v>0</v>
      </c>
      <c r="Y147" s="143">
        <f t="shared" si="22"/>
        <v>0</v>
      </c>
      <c r="Z147" s="143">
        <f t="shared" si="22"/>
        <v>0</v>
      </c>
      <c r="AA147" s="143">
        <f t="shared" si="22"/>
        <v>0</v>
      </c>
      <c r="AB147" s="143">
        <f t="shared" si="22"/>
        <v>0</v>
      </c>
      <c r="AC147" s="143">
        <f t="shared" si="22"/>
        <v>0</v>
      </c>
      <c r="AD147" s="143">
        <f t="shared" si="22"/>
        <v>0</v>
      </c>
      <c r="AE147" s="143">
        <f t="shared" si="22"/>
        <v>0</v>
      </c>
      <c r="AF147" s="142"/>
      <c r="AG147" s="86">
        <f t="shared" ref="AG147:AG179" si="23">SUM(B147:AF147)</f>
        <v>0</v>
      </c>
    </row>
    <row r="148" spans="1:34" ht="19.5" thickBot="1" x14ac:dyDescent="0.3">
      <c r="A148" s="328" t="s">
        <v>81</v>
      </c>
      <c r="B148" s="267">
        <f t="shared" ref="B148:AF148" si="24">SUM(B150:B153)</f>
        <v>0</v>
      </c>
      <c r="C148" s="147">
        <f t="shared" si="24"/>
        <v>0</v>
      </c>
      <c r="D148" s="147">
        <f t="shared" si="24"/>
        <v>0</v>
      </c>
      <c r="E148" s="147">
        <f t="shared" si="24"/>
        <v>0</v>
      </c>
      <c r="F148" s="147">
        <f t="shared" si="24"/>
        <v>0</v>
      </c>
      <c r="G148" s="147">
        <f t="shared" si="24"/>
        <v>0</v>
      </c>
      <c r="H148" s="147">
        <f t="shared" si="24"/>
        <v>0</v>
      </c>
      <c r="I148" s="147">
        <f t="shared" si="24"/>
        <v>0</v>
      </c>
      <c r="J148" s="147">
        <f t="shared" si="24"/>
        <v>0</v>
      </c>
      <c r="K148" s="147">
        <f t="shared" si="24"/>
        <v>0</v>
      </c>
      <c r="L148" s="147">
        <f t="shared" si="24"/>
        <v>0</v>
      </c>
      <c r="M148" s="147">
        <f t="shared" si="24"/>
        <v>0</v>
      </c>
      <c r="N148" s="147">
        <f t="shared" si="24"/>
        <v>0</v>
      </c>
      <c r="O148" s="147">
        <f t="shared" si="24"/>
        <v>0</v>
      </c>
      <c r="P148" s="147">
        <f t="shared" si="24"/>
        <v>0</v>
      </c>
      <c r="Q148" s="147">
        <f t="shared" si="24"/>
        <v>0</v>
      </c>
      <c r="R148" s="147">
        <f t="shared" si="24"/>
        <v>0</v>
      </c>
      <c r="S148" s="147">
        <f t="shared" si="24"/>
        <v>0</v>
      </c>
      <c r="T148" s="147">
        <f t="shared" si="24"/>
        <v>0</v>
      </c>
      <c r="U148" s="147">
        <f t="shared" si="24"/>
        <v>0</v>
      </c>
      <c r="V148" s="147">
        <f t="shared" si="24"/>
        <v>0</v>
      </c>
      <c r="W148" s="147">
        <f t="shared" si="24"/>
        <v>0</v>
      </c>
      <c r="X148" s="147">
        <f t="shared" si="24"/>
        <v>0</v>
      </c>
      <c r="Y148" s="147">
        <f t="shared" si="24"/>
        <v>0</v>
      </c>
      <c r="Z148" s="147">
        <f t="shared" si="24"/>
        <v>0</v>
      </c>
      <c r="AA148" s="147">
        <f t="shared" si="24"/>
        <v>0</v>
      </c>
      <c r="AB148" s="147">
        <f t="shared" si="24"/>
        <v>0</v>
      </c>
      <c r="AC148" s="147">
        <f t="shared" si="24"/>
        <v>0</v>
      </c>
      <c r="AD148" s="147">
        <f t="shared" si="24"/>
        <v>0</v>
      </c>
      <c r="AE148" s="147">
        <f t="shared" si="24"/>
        <v>0</v>
      </c>
      <c r="AF148" s="146">
        <f t="shared" si="24"/>
        <v>0</v>
      </c>
      <c r="AG148" s="145">
        <f t="shared" si="23"/>
        <v>0</v>
      </c>
    </row>
    <row r="149" spans="1:34" ht="19.5" thickBot="1" x14ac:dyDescent="0.3">
      <c r="A149" s="327" t="s">
        <v>80</v>
      </c>
      <c r="B149" s="266"/>
      <c r="C149" s="143"/>
      <c r="D149" s="143"/>
      <c r="E149" s="143"/>
      <c r="F149" s="143"/>
      <c r="G149" s="143"/>
      <c r="H149" s="143"/>
      <c r="I149" s="143"/>
      <c r="J149" s="143"/>
      <c r="K149" s="143"/>
      <c r="L149" s="143"/>
      <c r="M149" s="143"/>
      <c r="N149" s="143"/>
      <c r="O149" s="143"/>
      <c r="P149" s="143"/>
      <c r="Q149" s="143"/>
      <c r="R149" s="143"/>
      <c r="S149" s="143"/>
      <c r="T149" s="143"/>
      <c r="U149" s="143"/>
      <c r="V149" s="143"/>
      <c r="W149" s="143"/>
      <c r="X149" s="143"/>
      <c r="Y149" s="143"/>
      <c r="Z149" s="143"/>
      <c r="AA149" s="143"/>
      <c r="AB149" s="143"/>
      <c r="AC149" s="143"/>
      <c r="AD149" s="143"/>
      <c r="AE149" s="143"/>
      <c r="AF149" s="142"/>
      <c r="AG149" s="86">
        <f t="shared" si="23"/>
        <v>0</v>
      </c>
    </row>
    <row r="150" spans="1:34" ht="18.75" x14ac:dyDescent="0.25">
      <c r="A150" s="329" t="s">
        <v>79</v>
      </c>
      <c r="B150" s="268"/>
      <c r="C150" s="136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5"/>
      <c r="AG150" s="134">
        <f t="shared" si="23"/>
        <v>0</v>
      </c>
    </row>
    <row r="151" spans="1:34" ht="18.75" x14ac:dyDescent="0.25">
      <c r="A151" s="330" t="s">
        <v>78</v>
      </c>
      <c r="B151" s="269"/>
      <c r="C151" s="130"/>
      <c r="D151" s="130"/>
      <c r="E151" s="130"/>
      <c r="F151" s="130"/>
      <c r="G151" s="130"/>
      <c r="H151" s="130"/>
      <c r="I151" s="130"/>
      <c r="J151" s="130"/>
      <c r="K151" s="130"/>
      <c r="L151" s="130"/>
      <c r="M151" s="130"/>
      <c r="N151" s="130"/>
      <c r="O151" s="130"/>
      <c r="P151" s="130"/>
      <c r="Q151" s="130"/>
      <c r="R151" s="130"/>
      <c r="S151" s="130"/>
      <c r="T151" s="130"/>
      <c r="U151" s="130"/>
      <c r="V151" s="130"/>
      <c r="W151" s="130"/>
      <c r="X151" s="130"/>
      <c r="Y151" s="130"/>
      <c r="Z151" s="130"/>
      <c r="AA151" s="130"/>
      <c r="AB151" s="130"/>
      <c r="AC151" s="130"/>
      <c r="AD151" s="130"/>
      <c r="AE151" s="130"/>
      <c r="AF151" s="129"/>
      <c r="AG151" s="64">
        <f t="shared" si="23"/>
        <v>0</v>
      </c>
    </row>
    <row r="152" spans="1:34" ht="18.75" x14ac:dyDescent="0.25">
      <c r="A152" s="330" t="s">
        <v>77</v>
      </c>
      <c r="B152" s="269"/>
      <c r="C152" s="130"/>
      <c r="D152" s="130"/>
      <c r="E152" s="130"/>
      <c r="F152" s="130"/>
      <c r="G152" s="130"/>
      <c r="H152" s="130"/>
      <c r="I152" s="130"/>
      <c r="J152" s="130"/>
      <c r="K152" s="130"/>
      <c r="L152" s="130"/>
      <c r="M152" s="130"/>
      <c r="N152" s="130"/>
      <c r="O152" s="130"/>
      <c r="P152" s="130"/>
      <c r="Q152" s="130"/>
      <c r="R152" s="130"/>
      <c r="S152" s="130"/>
      <c r="T152" s="130"/>
      <c r="U152" s="130"/>
      <c r="V152" s="130"/>
      <c r="W152" s="130"/>
      <c r="X152" s="130"/>
      <c r="Y152" s="130"/>
      <c r="Z152" s="130"/>
      <c r="AA152" s="130"/>
      <c r="AB152" s="130"/>
      <c r="AC152" s="130"/>
      <c r="AD152" s="130"/>
      <c r="AE152" s="130"/>
      <c r="AF152" s="129"/>
      <c r="AG152" s="64">
        <f t="shared" si="23"/>
        <v>0</v>
      </c>
    </row>
    <row r="153" spans="1:34" ht="19.5" thickBot="1" x14ac:dyDescent="0.3">
      <c r="A153" s="331" t="s">
        <v>76</v>
      </c>
      <c r="B153" s="270"/>
      <c r="C153" s="127"/>
      <c r="D153" s="127"/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  <c r="Y153" s="127"/>
      <c r="Z153" s="127"/>
      <c r="AA153" s="127"/>
      <c r="AB153" s="127"/>
      <c r="AC153" s="127"/>
      <c r="AD153" s="127"/>
      <c r="AE153" s="127"/>
      <c r="AF153" s="126"/>
      <c r="AG153" s="10">
        <f t="shared" si="23"/>
        <v>0</v>
      </c>
    </row>
    <row r="154" spans="1:34" ht="19.5" thickBot="1" x14ac:dyDescent="0.3">
      <c r="A154" s="328" t="s">
        <v>75</v>
      </c>
      <c r="B154" s="267"/>
      <c r="C154" s="147"/>
      <c r="D154" s="147"/>
      <c r="E154" s="147">
        <v>2</v>
      </c>
      <c r="F154" s="147"/>
      <c r="G154" s="147"/>
      <c r="H154" s="147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  <c r="AA154" s="147"/>
      <c r="AB154" s="147"/>
      <c r="AC154" s="147"/>
      <c r="AD154" s="147"/>
      <c r="AE154" s="147"/>
      <c r="AF154" s="146"/>
      <c r="AG154" s="145">
        <f t="shared" si="23"/>
        <v>2</v>
      </c>
    </row>
    <row r="155" spans="1:34" ht="19.5" thickBot="1" x14ac:dyDescent="0.3">
      <c r="A155" s="327" t="s">
        <v>74</v>
      </c>
      <c r="B155" s="266"/>
      <c r="C155" s="143"/>
      <c r="D155" s="143"/>
      <c r="E155" s="143"/>
      <c r="F155" s="143"/>
      <c r="G155" s="143"/>
      <c r="H155" s="143"/>
      <c r="I155" s="143"/>
      <c r="J155" s="143"/>
      <c r="K155" s="143"/>
      <c r="L155" s="143"/>
      <c r="M155" s="143"/>
      <c r="N155" s="143"/>
      <c r="O155" s="143"/>
      <c r="P155" s="143"/>
      <c r="Q155" s="143"/>
      <c r="R155" s="143"/>
      <c r="S155" s="143"/>
      <c r="T155" s="143"/>
      <c r="U155" s="143"/>
      <c r="V155" s="143"/>
      <c r="W155" s="143"/>
      <c r="X155" s="143"/>
      <c r="Y155" s="143"/>
      <c r="Z155" s="143"/>
      <c r="AA155" s="143"/>
      <c r="AB155" s="143"/>
      <c r="AC155" s="143"/>
      <c r="AD155" s="143"/>
      <c r="AE155" s="143"/>
      <c r="AF155" s="142"/>
      <c r="AG155" s="86">
        <f t="shared" si="23"/>
        <v>0</v>
      </c>
    </row>
    <row r="156" spans="1:34" ht="18.75" x14ac:dyDescent="0.25">
      <c r="A156" s="332" t="s">
        <v>73</v>
      </c>
      <c r="B156" s="271">
        <v>175</v>
      </c>
      <c r="C156" s="18">
        <v>154</v>
      </c>
      <c r="D156" s="18">
        <v>160</v>
      </c>
      <c r="E156" s="18">
        <v>126</v>
      </c>
      <c r="F156" s="18">
        <v>117</v>
      </c>
      <c r="G156" s="18">
        <v>123</v>
      </c>
      <c r="H156" s="18">
        <v>135</v>
      </c>
      <c r="I156" s="18">
        <v>119</v>
      </c>
      <c r="J156" s="18">
        <v>176</v>
      </c>
      <c r="K156" s="18">
        <v>141</v>
      </c>
      <c r="L156" s="18">
        <v>141</v>
      </c>
      <c r="M156" s="18">
        <v>134</v>
      </c>
      <c r="N156" s="18">
        <v>124</v>
      </c>
      <c r="O156" s="18">
        <v>140</v>
      </c>
      <c r="P156" s="18">
        <v>142</v>
      </c>
      <c r="Q156" s="18">
        <v>145</v>
      </c>
      <c r="R156" s="18">
        <v>129</v>
      </c>
      <c r="S156" s="18">
        <v>141</v>
      </c>
      <c r="T156" s="18">
        <v>119</v>
      </c>
      <c r="U156" s="18">
        <v>157</v>
      </c>
      <c r="V156" s="18">
        <v>130</v>
      </c>
      <c r="W156" s="18">
        <v>141</v>
      </c>
      <c r="X156" s="18">
        <v>156</v>
      </c>
      <c r="Y156" s="18">
        <v>116</v>
      </c>
      <c r="Z156" s="18">
        <v>133</v>
      </c>
      <c r="AA156" s="18">
        <v>120</v>
      </c>
      <c r="AB156" s="18">
        <v>114</v>
      </c>
      <c r="AC156" s="18">
        <v>147</v>
      </c>
      <c r="AD156" s="18">
        <v>129</v>
      </c>
      <c r="AE156" s="18">
        <v>167</v>
      </c>
      <c r="AF156" s="17">
        <v>149</v>
      </c>
      <c r="AG156" s="7">
        <f t="shared" si="23"/>
        <v>4300</v>
      </c>
      <c r="AH156" s="98" t="s">
        <v>72</v>
      </c>
    </row>
    <row r="157" spans="1:34" ht="19.5" thickBot="1" x14ac:dyDescent="0.3">
      <c r="A157" s="324" t="s">
        <v>71</v>
      </c>
      <c r="B157" s="263">
        <v>2</v>
      </c>
      <c r="C157" s="140">
        <v>9</v>
      </c>
      <c r="D157" s="140">
        <v>12</v>
      </c>
      <c r="E157" s="140">
        <v>2</v>
      </c>
      <c r="F157" s="140">
        <v>6</v>
      </c>
      <c r="G157" s="140">
        <v>2</v>
      </c>
      <c r="H157" s="140">
        <v>4</v>
      </c>
      <c r="I157" s="140">
        <v>1</v>
      </c>
      <c r="J157" s="140">
        <v>14</v>
      </c>
      <c r="K157" s="140">
        <v>5</v>
      </c>
      <c r="L157" s="140">
        <v>1</v>
      </c>
      <c r="M157" s="140">
        <v>8</v>
      </c>
      <c r="N157" s="140">
        <v>16</v>
      </c>
      <c r="O157" s="140">
        <v>2</v>
      </c>
      <c r="P157" s="140">
        <v>6</v>
      </c>
      <c r="Q157" s="140">
        <v>8</v>
      </c>
      <c r="R157" s="140">
        <v>11</v>
      </c>
      <c r="S157" s="140">
        <v>4</v>
      </c>
      <c r="T157" s="140">
        <v>8</v>
      </c>
      <c r="U157" s="140">
        <v>3</v>
      </c>
      <c r="V157" s="140">
        <v>2</v>
      </c>
      <c r="W157" s="140">
        <v>4</v>
      </c>
      <c r="X157" s="140">
        <v>16</v>
      </c>
      <c r="Y157" s="140">
        <v>5</v>
      </c>
      <c r="Z157" s="140">
        <v>11</v>
      </c>
      <c r="AA157" s="140">
        <v>5</v>
      </c>
      <c r="AB157" s="140">
        <v>2</v>
      </c>
      <c r="AC157" s="140">
        <v>1</v>
      </c>
      <c r="AD157" s="140">
        <v>4</v>
      </c>
      <c r="AE157" s="140">
        <v>11</v>
      </c>
      <c r="AF157" s="139">
        <v>9</v>
      </c>
      <c r="AG157" s="138">
        <f t="shared" si="23"/>
        <v>194</v>
      </c>
      <c r="AH157" s="98"/>
    </row>
    <row r="158" spans="1:34" ht="19.5" thickBot="1" x14ac:dyDescent="0.3">
      <c r="A158" s="333" t="s">
        <v>70</v>
      </c>
      <c r="B158" s="272">
        <f t="shared" ref="B158:AF158" si="25">SUM(B159:B166)</f>
        <v>0</v>
      </c>
      <c r="C158" s="35">
        <f t="shared" si="25"/>
        <v>1</v>
      </c>
      <c r="D158" s="35">
        <f t="shared" si="25"/>
        <v>0</v>
      </c>
      <c r="E158" s="35">
        <f t="shared" si="25"/>
        <v>0</v>
      </c>
      <c r="F158" s="35">
        <f t="shared" si="25"/>
        <v>0</v>
      </c>
      <c r="G158" s="35">
        <f t="shared" si="25"/>
        <v>0</v>
      </c>
      <c r="H158" s="35">
        <f t="shared" si="25"/>
        <v>0</v>
      </c>
      <c r="I158" s="35">
        <f t="shared" si="25"/>
        <v>0</v>
      </c>
      <c r="J158" s="35">
        <f t="shared" si="25"/>
        <v>1</v>
      </c>
      <c r="K158" s="35">
        <f t="shared" si="25"/>
        <v>0</v>
      </c>
      <c r="L158" s="35">
        <f t="shared" si="25"/>
        <v>1</v>
      </c>
      <c r="M158" s="35">
        <f t="shared" si="25"/>
        <v>0</v>
      </c>
      <c r="N158" s="35">
        <f t="shared" si="25"/>
        <v>0</v>
      </c>
      <c r="O158" s="35">
        <f t="shared" si="25"/>
        <v>0</v>
      </c>
      <c r="P158" s="35">
        <f t="shared" si="25"/>
        <v>0</v>
      </c>
      <c r="Q158" s="35">
        <f t="shared" si="25"/>
        <v>0</v>
      </c>
      <c r="R158" s="35">
        <f t="shared" si="25"/>
        <v>0</v>
      </c>
      <c r="S158" s="35">
        <f t="shared" si="25"/>
        <v>0</v>
      </c>
      <c r="T158" s="35">
        <f t="shared" si="25"/>
        <v>1</v>
      </c>
      <c r="U158" s="35">
        <f t="shared" si="25"/>
        <v>0</v>
      </c>
      <c r="V158" s="35">
        <f t="shared" si="25"/>
        <v>2</v>
      </c>
      <c r="W158" s="35">
        <f t="shared" si="25"/>
        <v>0</v>
      </c>
      <c r="X158" s="35">
        <f t="shared" si="25"/>
        <v>0</v>
      </c>
      <c r="Y158" s="35">
        <f t="shared" si="25"/>
        <v>0</v>
      </c>
      <c r="Z158" s="35">
        <f t="shared" si="25"/>
        <v>1</v>
      </c>
      <c r="AA158" s="35">
        <f t="shared" si="25"/>
        <v>0</v>
      </c>
      <c r="AB158" s="35">
        <f t="shared" si="25"/>
        <v>1</v>
      </c>
      <c r="AC158" s="35">
        <f t="shared" si="25"/>
        <v>3</v>
      </c>
      <c r="AD158" s="35">
        <f t="shared" si="25"/>
        <v>0</v>
      </c>
      <c r="AE158" s="35">
        <f t="shared" si="25"/>
        <v>1</v>
      </c>
      <c r="AF158" s="34">
        <f t="shared" si="25"/>
        <v>0</v>
      </c>
      <c r="AG158" s="33">
        <f t="shared" si="23"/>
        <v>12</v>
      </c>
    </row>
    <row r="159" spans="1:34" ht="18.75" x14ac:dyDescent="0.25">
      <c r="A159" s="329" t="s">
        <v>69</v>
      </c>
      <c r="B159" s="268"/>
      <c r="C159" s="136"/>
      <c r="D159" s="136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A159" s="136"/>
      <c r="AB159" s="136"/>
      <c r="AC159" s="136"/>
      <c r="AD159" s="136"/>
      <c r="AE159" s="136"/>
      <c r="AF159" s="135"/>
      <c r="AG159" s="134">
        <f t="shared" si="23"/>
        <v>0</v>
      </c>
    </row>
    <row r="160" spans="1:34" ht="18.75" x14ac:dyDescent="0.25">
      <c r="A160" s="330" t="s">
        <v>68</v>
      </c>
      <c r="B160" s="269"/>
      <c r="C160" s="130"/>
      <c r="D160" s="130"/>
      <c r="E160" s="130"/>
      <c r="F160" s="130"/>
      <c r="G160" s="130"/>
      <c r="H160" s="130"/>
      <c r="I160" s="130"/>
      <c r="J160" s="130"/>
      <c r="K160" s="130"/>
      <c r="L160" s="130"/>
      <c r="M160" s="130"/>
      <c r="N160" s="130"/>
      <c r="O160" s="130"/>
      <c r="P160" s="130"/>
      <c r="Q160" s="130"/>
      <c r="R160" s="130"/>
      <c r="S160" s="130"/>
      <c r="T160" s="130"/>
      <c r="U160" s="130"/>
      <c r="V160" s="130"/>
      <c r="W160" s="130"/>
      <c r="X160" s="130"/>
      <c r="Y160" s="130"/>
      <c r="Z160" s="130"/>
      <c r="AA160" s="130"/>
      <c r="AB160" s="130"/>
      <c r="AC160" s="130"/>
      <c r="AD160" s="130"/>
      <c r="AE160" s="130"/>
      <c r="AF160" s="129"/>
      <c r="AG160" s="64">
        <f t="shared" si="23"/>
        <v>0</v>
      </c>
    </row>
    <row r="161" spans="1:34" ht="18.75" x14ac:dyDescent="0.25">
      <c r="A161" s="330" t="s">
        <v>67</v>
      </c>
      <c r="B161" s="269"/>
      <c r="C161" s="130"/>
      <c r="D161" s="130"/>
      <c r="E161" s="130"/>
      <c r="F161" s="130"/>
      <c r="G161" s="130"/>
      <c r="H161" s="130"/>
      <c r="I161" s="130"/>
      <c r="J161" s="130"/>
      <c r="K161" s="130"/>
      <c r="L161" s="130"/>
      <c r="M161" s="130"/>
      <c r="N161" s="130"/>
      <c r="O161" s="130"/>
      <c r="P161" s="130"/>
      <c r="Q161" s="130"/>
      <c r="R161" s="130"/>
      <c r="S161" s="130"/>
      <c r="T161" s="130"/>
      <c r="U161" s="130"/>
      <c r="V161" s="130"/>
      <c r="W161" s="130"/>
      <c r="X161" s="130"/>
      <c r="Y161" s="130"/>
      <c r="Z161" s="130"/>
      <c r="AA161" s="130"/>
      <c r="AB161" s="130"/>
      <c r="AC161" s="130"/>
      <c r="AD161" s="130"/>
      <c r="AE161" s="130">
        <v>1</v>
      </c>
      <c r="AF161" s="129"/>
      <c r="AG161" s="64">
        <f t="shared" si="23"/>
        <v>1</v>
      </c>
    </row>
    <row r="162" spans="1:34" ht="18.75" x14ac:dyDescent="0.25">
      <c r="A162" s="330" t="s">
        <v>66</v>
      </c>
      <c r="B162" s="269"/>
      <c r="C162" s="130"/>
      <c r="D162" s="130"/>
      <c r="E162" s="130"/>
      <c r="F162" s="130"/>
      <c r="G162" s="130"/>
      <c r="H162" s="130"/>
      <c r="I162" s="130"/>
      <c r="J162" s="130"/>
      <c r="K162" s="130"/>
      <c r="L162" s="130"/>
      <c r="M162" s="130"/>
      <c r="N162" s="130"/>
      <c r="O162" s="130"/>
      <c r="P162" s="130"/>
      <c r="Q162" s="130"/>
      <c r="R162" s="130"/>
      <c r="S162" s="130"/>
      <c r="T162" s="130">
        <v>1</v>
      </c>
      <c r="U162" s="130"/>
      <c r="V162" s="130"/>
      <c r="W162" s="130"/>
      <c r="X162" s="130"/>
      <c r="Y162" s="130"/>
      <c r="Z162" s="130">
        <v>1</v>
      </c>
      <c r="AA162" s="130"/>
      <c r="AB162" s="130">
        <v>1</v>
      </c>
      <c r="AC162" s="130">
        <v>1</v>
      </c>
      <c r="AD162" s="130"/>
      <c r="AE162" s="130"/>
      <c r="AF162" s="129"/>
      <c r="AG162" s="64">
        <f t="shared" si="23"/>
        <v>4</v>
      </c>
    </row>
    <row r="163" spans="1:34" ht="18.75" x14ac:dyDescent="0.25">
      <c r="A163" s="330" t="s">
        <v>65</v>
      </c>
      <c r="B163" s="269"/>
      <c r="C163" s="130"/>
      <c r="D163" s="130"/>
      <c r="E163" s="130"/>
      <c r="F163" s="130"/>
      <c r="G163" s="130"/>
      <c r="H163" s="130"/>
      <c r="I163" s="130"/>
      <c r="J163" s="130"/>
      <c r="K163" s="130"/>
      <c r="L163" s="130"/>
      <c r="M163" s="130"/>
      <c r="N163" s="130"/>
      <c r="O163" s="130"/>
      <c r="P163" s="130"/>
      <c r="Q163" s="130"/>
      <c r="R163" s="130"/>
      <c r="S163" s="130"/>
      <c r="T163" s="130"/>
      <c r="U163" s="130"/>
      <c r="V163" s="130"/>
      <c r="W163" s="130"/>
      <c r="X163" s="130"/>
      <c r="Y163" s="130"/>
      <c r="Z163" s="130"/>
      <c r="AA163" s="130"/>
      <c r="AB163" s="130"/>
      <c r="AC163" s="130"/>
      <c r="AD163" s="130"/>
      <c r="AE163" s="130"/>
      <c r="AF163" s="129"/>
      <c r="AG163" s="64">
        <f t="shared" si="23"/>
        <v>0</v>
      </c>
    </row>
    <row r="164" spans="1:34" ht="18.75" x14ac:dyDescent="0.25">
      <c r="A164" s="330" t="s">
        <v>64</v>
      </c>
      <c r="B164" s="269"/>
      <c r="C164" s="130"/>
      <c r="D164" s="130"/>
      <c r="E164" s="130"/>
      <c r="F164" s="130"/>
      <c r="G164" s="130"/>
      <c r="H164" s="130"/>
      <c r="I164" s="130"/>
      <c r="J164" s="130">
        <v>1</v>
      </c>
      <c r="K164" s="130"/>
      <c r="L164" s="130">
        <v>1</v>
      </c>
      <c r="M164" s="130"/>
      <c r="N164" s="130"/>
      <c r="O164" s="130"/>
      <c r="P164" s="130"/>
      <c r="Q164" s="130"/>
      <c r="R164" s="130"/>
      <c r="S164" s="130"/>
      <c r="T164" s="130"/>
      <c r="U164" s="130"/>
      <c r="V164" s="130"/>
      <c r="W164" s="130"/>
      <c r="X164" s="130"/>
      <c r="Y164" s="130"/>
      <c r="Z164" s="130"/>
      <c r="AA164" s="130"/>
      <c r="AB164" s="130"/>
      <c r="AC164" s="130">
        <v>1</v>
      </c>
      <c r="AD164" s="130"/>
      <c r="AE164" s="130"/>
      <c r="AF164" s="129"/>
      <c r="AG164" s="64">
        <f t="shared" si="23"/>
        <v>3</v>
      </c>
    </row>
    <row r="165" spans="1:34" ht="18.75" x14ac:dyDescent="0.25">
      <c r="A165" s="330" t="s">
        <v>63</v>
      </c>
      <c r="B165" s="269"/>
      <c r="C165" s="130">
        <v>1</v>
      </c>
      <c r="D165" s="130"/>
      <c r="E165" s="130"/>
      <c r="F165" s="130"/>
      <c r="G165" s="130"/>
      <c r="H165" s="130"/>
      <c r="I165" s="130"/>
      <c r="J165" s="130"/>
      <c r="K165" s="130"/>
      <c r="L165" s="130"/>
      <c r="M165" s="130"/>
      <c r="N165" s="130"/>
      <c r="O165" s="130"/>
      <c r="P165" s="130"/>
      <c r="Q165" s="130"/>
      <c r="R165" s="130"/>
      <c r="S165" s="130"/>
      <c r="T165" s="130"/>
      <c r="U165" s="130"/>
      <c r="V165" s="130">
        <v>2</v>
      </c>
      <c r="W165" s="130"/>
      <c r="X165" s="130"/>
      <c r="Y165" s="130"/>
      <c r="Z165" s="130"/>
      <c r="AA165" s="130"/>
      <c r="AB165" s="130"/>
      <c r="AC165" s="130">
        <v>1</v>
      </c>
      <c r="AD165" s="130"/>
      <c r="AE165" s="130"/>
      <c r="AF165" s="129"/>
      <c r="AG165" s="64">
        <f t="shared" si="23"/>
        <v>4</v>
      </c>
    </row>
    <row r="166" spans="1:34" ht="19.5" thickBot="1" x14ac:dyDescent="0.3">
      <c r="A166" s="331" t="s">
        <v>62</v>
      </c>
      <c r="B166" s="270"/>
      <c r="C166" s="127"/>
      <c r="D166" s="127"/>
      <c r="E166" s="127"/>
      <c r="F166" s="127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  <c r="Y166" s="127"/>
      <c r="Z166" s="127"/>
      <c r="AA166" s="127"/>
      <c r="AB166" s="127"/>
      <c r="AC166" s="127"/>
      <c r="AD166" s="127"/>
      <c r="AE166" s="127"/>
      <c r="AF166" s="126"/>
      <c r="AG166" s="10">
        <f t="shared" si="23"/>
        <v>0</v>
      </c>
    </row>
    <row r="167" spans="1:34" ht="18.75" x14ac:dyDescent="0.25">
      <c r="A167" s="332" t="s">
        <v>61</v>
      </c>
      <c r="B167" s="271">
        <f t="shared" ref="B167:AF167" si="26">SUM(B168:B171)</f>
        <v>0</v>
      </c>
      <c r="C167" s="18">
        <f t="shared" si="26"/>
        <v>1</v>
      </c>
      <c r="D167" s="18">
        <f t="shared" si="26"/>
        <v>1</v>
      </c>
      <c r="E167" s="18">
        <f t="shared" si="26"/>
        <v>1</v>
      </c>
      <c r="F167" s="18">
        <f t="shared" si="26"/>
        <v>0</v>
      </c>
      <c r="G167" s="18">
        <f t="shared" si="26"/>
        <v>0</v>
      </c>
      <c r="H167" s="18">
        <f t="shared" si="26"/>
        <v>3</v>
      </c>
      <c r="I167" s="18">
        <f t="shared" si="26"/>
        <v>1</v>
      </c>
      <c r="J167" s="18">
        <f t="shared" si="26"/>
        <v>1</v>
      </c>
      <c r="K167" s="18">
        <f t="shared" si="26"/>
        <v>0</v>
      </c>
      <c r="L167" s="18">
        <f t="shared" si="26"/>
        <v>1</v>
      </c>
      <c r="M167" s="18">
        <f t="shared" si="26"/>
        <v>1</v>
      </c>
      <c r="N167" s="18">
        <f t="shared" si="26"/>
        <v>0</v>
      </c>
      <c r="O167" s="18">
        <f t="shared" si="26"/>
        <v>0</v>
      </c>
      <c r="P167" s="18">
        <f t="shared" si="26"/>
        <v>2</v>
      </c>
      <c r="Q167" s="18">
        <f t="shared" si="26"/>
        <v>0</v>
      </c>
      <c r="R167" s="18">
        <f t="shared" si="26"/>
        <v>1</v>
      </c>
      <c r="S167" s="18">
        <f t="shared" si="26"/>
        <v>2</v>
      </c>
      <c r="T167" s="18">
        <f t="shared" si="26"/>
        <v>0</v>
      </c>
      <c r="U167" s="18">
        <f t="shared" si="26"/>
        <v>2</v>
      </c>
      <c r="V167" s="18">
        <f t="shared" si="26"/>
        <v>0</v>
      </c>
      <c r="W167" s="18">
        <f t="shared" si="26"/>
        <v>0</v>
      </c>
      <c r="X167" s="18">
        <f t="shared" si="26"/>
        <v>0</v>
      </c>
      <c r="Y167" s="18">
        <f t="shared" si="26"/>
        <v>2</v>
      </c>
      <c r="Z167" s="18">
        <f t="shared" si="26"/>
        <v>0</v>
      </c>
      <c r="AA167" s="18">
        <f t="shared" si="26"/>
        <v>0</v>
      </c>
      <c r="AB167" s="18">
        <f t="shared" si="26"/>
        <v>0</v>
      </c>
      <c r="AC167" s="18">
        <f t="shared" si="26"/>
        <v>0</v>
      </c>
      <c r="AD167" s="18">
        <f t="shared" si="26"/>
        <v>0</v>
      </c>
      <c r="AE167" s="18">
        <f t="shared" si="26"/>
        <v>1</v>
      </c>
      <c r="AF167" s="17">
        <f t="shared" si="26"/>
        <v>2</v>
      </c>
      <c r="AG167" s="7">
        <f t="shared" si="23"/>
        <v>22</v>
      </c>
    </row>
    <row r="168" spans="1:34" ht="18.75" x14ac:dyDescent="0.25">
      <c r="A168" s="334" t="s">
        <v>60</v>
      </c>
      <c r="B168" s="269"/>
      <c r="C168" s="130">
        <v>1</v>
      </c>
      <c r="D168" s="130"/>
      <c r="E168" s="130">
        <v>1</v>
      </c>
      <c r="F168" s="130"/>
      <c r="G168" s="130"/>
      <c r="H168" s="130"/>
      <c r="I168" s="130"/>
      <c r="J168" s="130"/>
      <c r="K168" s="130"/>
      <c r="L168" s="130"/>
      <c r="M168" s="130">
        <v>1</v>
      </c>
      <c r="N168" s="130"/>
      <c r="O168" s="130"/>
      <c r="P168" s="130"/>
      <c r="Q168" s="130"/>
      <c r="R168" s="130"/>
      <c r="S168" s="130">
        <v>1</v>
      </c>
      <c r="T168" s="130"/>
      <c r="U168" s="130"/>
      <c r="V168" s="130"/>
      <c r="W168" s="130"/>
      <c r="X168" s="130"/>
      <c r="Y168" s="130"/>
      <c r="Z168" s="130"/>
      <c r="AA168" s="130"/>
      <c r="AB168" s="130"/>
      <c r="AC168" s="130"/>
      <c r="AD168" s="130"/>
      <c r="AE168" s="130"/>
      <c r="AF168" s="129"/>
      <c r="AG168" s="64">
        <f t="shared" si="23"/>
        <v>4</v>
      </c>
    </row>
    <row r="169" spans="1:34" ht="18.75" x14ac:dyDescent="0.25">
      <c r="A169" s="334" t="s">
        <v>59</v>
      </c>
      <c r="B169" s="269"/>
      <c r="C169" s="130"/>
      <c r="D169" s="130"/>
      <c r="E169" s="130"/>
      <c r="F169" s="130"/>
      <c r="G169" s="130"/>
      <c r="H169" s="130"/>
      <c r="I169" s="130"/>
      <c r="J169" s="130"/>
      <c r="K169" s="130"/>
      <c r="L169" s="130">
        <v>1</v>
      </c>
      <c r="M169" s="130"/>
      <c r="N169" s="130"/>
      <c r="O169" s="130"/>
      <c r="P169" s="130"/>
      <c r="Q169" s="130"/>
      <c r="R169" s="130"/>
      <c r="S169" s="130"/>
      <c r="T169" s="130"/>
      <c r="U169" s="130"/>
      <c r="V169" s="130"/>
      <c r="W169" s="130"/>
      <c r="X169" s="130"/>
      <c r="Y169" s="130">
        <v>1</v>
      </c>
      <c r="Z169" s="130"/>
      <c r="AA169" s="130"/>
      <c r="AB169" s="130"/>
      <c r="AC169" s="130"/>
      <c r="AD169" s="130"/>
      <c r="AE169" s="130"/>
      <c r="AF169" s="129"/>
      <c r="AG169" s="64">
        <f t="shared" si="23"/>
        <v>2</v>
      </c>
    </row>
    <row r="170" spans="1:34" ht="18.75" x14ac:dyDescent="0.25">
      <c r="A170" s="334" t="s">
        <v>58</v>
      </c>
      <c r="B170" s="269"/>
      <c r="C170" s="130"/>
      <c r="D170" s="130"/>
      <c r="E170" s="130"/>
      <c r="F170" s="130"/>
      <c r="G170" s="130"/>
      <c r="H170" s="130"/>
      <c r="I170" s="130"/>
      <c r="J170" s="130"/>
      <c r="K170" s="130"/>
      <c r="L170" s="130"/>
      <c r="M170" s="130"/>
      <c r="N170" s="130"/>
      <c r="O170" s="130"/>
      <c r="P170" s="130"/>
      <c r="Q170" s="130"/>
      <c r="R170" s="130"/>
      <c r="S170" s="130"/>
      <c r="T170" s="130"/>
      <c r="U170" s="130"/>
      <c r="V170" s="130"/>
      <c r="W170" s="130"/>
      <c r="X170" s="130"/>
      <c r="Y170" s="130"/>
      <c r="Z170" s="130"/>
      <c r="AA170" s="130"/>
      <c r="AB170" s="130"/>
      <c r="AC170" s="130"/>
      <c r="AD170" s="130"/>
      <c r="AE170" s="130"/>
      <c r="AF170" s="129"/>
      <c r="AG170" s="64">
        <f t="shared" si="23"/>
        <v>0</v>
      </c>
    </row>
    <row r="171" spans="1:34" ht="19.5" thickBot="1" x14ac:dyDescent="0.3">
      <c r="A171" s="335" t="s">
        <v>57</v>
      </c>
      <c r="B171" s="270"/>
      <c r="C171" s="127"/>
      <c r="D171" s="127">
        <v>1</v>
      </c>
      <c r="E171" s="127"/>
      <c r="F171" s="127"/>
      <c r="G171" s="127"/>
      <c r="H171" s="127">
        <f>2+1</f>
        <v>3</v>
      </c>
      <c r="I171" s="127">
        <v>1</v>
      </c>
      <c r="J171" s="127">
        <v>1</v>
      </c>
      <c r="K171" s="127"/>
      <c r="L171" s="127"/>
      <c r="M171" s="127"/>
      <c r="N171" s="127"/>
      <c r="O171" s="127"/>
      <c r="P171" s="127">
        <v>2</v>
      </c>
      <c r="Q171" s="127"/>
      <c r="R171" s="127">
        <v>1</v>
      </c>
      <c r="S171" s="127">
        <v>1</v>
      </c>
      <c r="T171" s="127"/>
      <c r="U171" s="127">
        <v>2</v>
      </c>
      <c r="V171" s="127"/>
      <c r="W171" s="127"/>
      <c r="X171" s="127"/>
      <c r="Y171" s="127">
        <v>1</v>
      </c>
      <c r="Z171" s="127"/>
      <c r="AA171" s="127"/>
      <c r="AB171" s="127"/>
      <c r="AC171" s="127"/>
      <c r="AD171" s="127"/>
      <c r="AE171" s="127">
        <v>1</v>
      </c>
      <c r="AF171" s="126">
        <v>2</v>
      </c>
      <c r="AG171" s="10">
        <f t="shared" si="23"/>
        <v>16</v>
      </c>
    </row>
    <row r="172" spans="1:34" ht="19.5" thickBot="1" x14ac:dyDescent="0.3">
      <c r="A172" s="336" t="s">
        <v>56</v>
      </c>
      <c r="B172" s="273"/>
      <c r="C172" s="124"/>
      <c r="D172" s="124"/>
      <c r="E172" s="124"/>
      <c r="F172" s="124"/>
      <c r="G172" s="124"/>
      <c r="H172" s="124"/>
      <c r="I172" s="124"/>
      <c r="J172" s="124"/>
      <c r="K172" s="124"/>
      <c r="L172" s="124">
        <v>9</v>
      </c>
      <c r="M172" s="124"/>
      <c r="N172" s="124"/>
      <c r="O172" s="124"/>
      <c r="P172" s="124"/>
      <c r="Q172" s="124"/>
      <c r="R172" s="124"/>
      <c r="S172" s="124"/>
      <c r="T172" s="124"/>
      <c r="U172" s="124"/>
      <c r="V172" s="124"/>
      <c r="W172" s="124"/>
      <c r="X172" s="124"/>
      <c r="Y172" s="124"/>
      <c r="Z172" s="124"/>
      <c r="AA172" s="124"/>
      <c r="AB172" s="124"/>
      <c r="AC172" s="124"/>
      <c r="AD172" s="124"/>
      <c r="AE172" s="124"/>
      <c r="AF172" s="123"/>
      <c r="AG172" s="122">
        <f t="shared" si="23"/>
        <v>9</v>
      </c>
    </row>
    <row r="173" spans="1:34" ht="19.5" thickBot="1" x14ac:dyDescent="0.3">
      <c r="A173" s="299" t="s">
        <v>55</v>
      </c>
      <c r="B173" s="247">
        <f>SUM(B174:B176)</f>
        <v>1</v>
      </c>
      <c r="C173" s="120">
        <f t="shared" ref="C173:AF173" si="27">SUM(C174:C176)</f>
        <v>1</v>
      </c>
      <c r="D173" s="120">
        <f t="shared" si="27"/>
        <v>1</v>
      </c>
      <c r="E173" s="120">
        <f t="shared" si="27"/>
        <v>1</v>
      </c>
      <c r="F173" s="120">
        <f t="shared" si="27"/>
        <v>1</v>
      </c>
      <c r="G173" s="120">
        <f t="shared" si="27"/>
        <v>0</v>
      </c>
      <c r="H173" s="120">
        <f t="shared" si="27"/>
        <v>0</v>
      </c>
      <c r="I173" s="120">
        <f t="shared" si="27"/>
        <v>0</v>
      </c>
      <c r="J173" s="120">
        <f t="shared" si="27"/>
        <v>1</v>
      </c>
      <c r="K173" s="120">
        <f t="shared" si="27"/>
        <v>4</v>
      </c>
      <c r="L173" s="120">
        <f t="shared" si="27"/>
        <v>3</v>
      </c>
      <c r="M173" s="120">
        <f t="shared" si="27"/>
        <v>0</v>
      </c>
      <c r="N173" s="120">
        <f t="shared" si="27"/>
        <v>0</v>
      </c>
      <c r="O173" s="120">
        <f t="shared" si="27"/>
        <v>1</v>
      </c>
      <c r="P173" s="120">
        <f t="shared" si="27"/>
        <v>3</v>
      </c>
      <c r="Q173" s="120">
        <f t="shared" si="27"/>
        <v>1</v>
      </c>
      <c r="R173" s="120">
        <f t="shared" si="27"/>
        <v>0</v>
      </c>
      <c r="S173" s="120">
        <f t="shared" si="27"/>
        <v>1</v>
      </c>
      <c r="T173" s="120">
        <f t="shared" si="27"/>
        <v>0</v>
      </c>
      <c r="U173" s="120">
        <f t="shared" si="27"/>
        <v>0</v>
      </c>
      <c r="V173" s="120">
        <f t="shared" si="27"/>
        <v>0</v>
      </c>
      <c r="W173" s="120">
        <f t="shared" si="27"/>
        <v>3</v>
      </c>
      <c r="X173" s="120">
        <f t="shared" si="27"/>
        <v>1</v>
      </c>
      <c r="Y173" s="120">
        <f t="shared" si="27"/>
        <v>1</v>
      </c>
      <c r="Z173" s="120">
        <f t="shared" si="27"/>
        <v>0</v>
      </c>
      <c r="AA173" s="120">
        <f t="shared" si="27"/>
        <v>1</v>
      </c>
      <c r="AB173" s="120">
        <f t="shared" si="27"/>
        <v>1</v>
      </c>
      <c r="AC173" s="120">
        <f t="shared" si="27"/>
        <v>2</v>
      </c>
      <c r="AD173" s="120">
        <f t="shared" si="27"/>
        <v>1</v>
      </c>
      <c r="AE173" s="120">
        <f t="shared" si="27"/>
        <v>0</v>
      </c>
      <c r="AF173" s="119">
        <f t="shared" si="27"/>
        <v>0</v>
      </c>
      <c r="AG173" s="118">
        <f t="shared" si="23"/>
        <v>29</v>
      </c>
      <c r="AH173" s="98" t="s">
        <v>54</v>
      </c>
    </row>
    <row r="174" spans="1:34" ht="18.75" x14ac:dyDescent="0.25">
      <c r="A174" s="337" t="s">
        <v>53</v>
      </c>
      <c r="B174" s="274">
        <v>1</v>
      </c>
      <c r="C174" s="116">
        <v>1</v>
      </c>
      <c r="D174" s="116">
        <v>1</v>
      </c>
      <c r="E174" s="116">
        <v>1</v>
      </c>
      <c r="F174" s="116">
        <v>1</v>
      </c>
      <c r="G174" s="116">
        <v>0</v>
      </c>
      <c r="H174" s="116">
        <v>0</v>
      </c>
      <c r="I174" s="116">
        <v>0</v>
      </c>
      <c r="J174" s="116">
        <v>1</v>
      </c>
      <c r="K174" s="116">
        <v>4</v>
      </c>
      <c r="L174" s="116">
        <v>3</v>
      </c>
      <c r="M174" s="116">
        <v>0</v>
      </c>
      <c r="N174" s="116">
        <v>0</v>
      </c>
      <c r="O174" s="116">
        <v>1</v>
      </c>
      <c r="P174" s="116">
        <v>2</v>
      </c>
      <c r="Q174" s="116">
        <v>1</v>
      </c>
      <c r="R174" s="116">
        <v>0</v>
      </c>
      <c r="S174" s="116">
        <v>1</v>
      </c>
      <c r="T174" s="116">
        <v>0</v>
      </c>
      <c r="U174" s="116">
        <v>0</v>
      </c>
      <c r="V174" s="116">
        <v>0</v>
      </c>
      <c r="W174" s="116">
        <v>3</v>
      </c>
      <c r="X174" s="116">
        <v>1</v>
      </c>
      <c r="Y174" s="116">
        <v>1</v>
      </c>
      <c r="Z174" s="116">
        <v>0</v>
      </c>
      <c r="AA174" s="116"/>
      <c r="AB174" s="116">
        <v>1</v>
      </c>
      <c r="AC174" s="116">
        <v>2</v>
      </c>
      <c r="AD174" s="116">
        <v>1</v>
      </c>
      <c r="AE174" s="116">
        <v>0</v>
      </c>
      <c r="AF174" s="115">
        <v>0</v>
      </c>
      <c r="AG174" s="114">
        <f t="shared" si="23"/>
        <v>27</v>
      </c>
      <c r="AH174" s="98"/>
    </row>
    <row r="175" spans="1:34" ht="18.75" x14ac:dyDescent="0.25">
      <c r="A175" s="338" t="s">
        <v>52</v>
      </c>
      <c r="B175" s="275"/>
      <c r="C175" s="112"/>
      <c r="D175" s="112"/>
      <c r="E175" s="112"/>
      <c r="F175" s="112"/>
      <c r="G175" s="112"/>
      <c r="H175" s="112"/>
      <c r="I175" s="112"/>
      <c r="J175" s="112"/>
      <c r="K175" s="112"/>
      <c r="L175" s="112"/>
      <c r="M175" s="112"/>
      <c r="N175" s="112"/>
      <c r="O175" s="112"/>
      <c r="P175" s="112">
        <v>1</v>
      </c>
      <c r="Q175" s="112"/>
      <c r="R175" s="112"/>
      <c r="S175" s="112"/>
      <c r="T175" s="112"/>
      <c r="U175" s="112"/>
      <c r="V175" s="112"/>
      <c r="W175" s="112"/>
      <c r="X175" s="112"/>
      <c r="Y175" s="112"/>
      <c r="Z175" s="112"/>
      <c r="AA175" s="112">
        <v>1</v>
      </c>
      <c r="AB175" s="112"/>
      <c r="AC175" s="112"/>
      <c r="AD175" s="112"/>
      <c r="AE175" s="112"/>
      <c r="AF175" s="111"/>
      <c r="AG175" s="110">
        <f t="shared" si="23"/>
        <v>2</v>
      </c>
      <c r="AH175" s="98"/>
    </row>
    <row r="176" spans="1:34" ht="19.5" thickBot="1" x14ac:dyDescent="0.3">
      <c r="A176" s="371" t="s">
        <v>168</v>
      </c>
      <c r="B176" s="372"/>
      <c r="C176" s="373"/>
      <c r="D176" s="373"/>
      <c r="E176" s="373"/>
      <c r="F176" s="373"/>
      <c r="G176" s="373"/>
      <c r="H176" s="373"/>
      <c r="I176" s="373"/>
      <c r="J176" s="373"/>
      <c r="K176" s="373"/>
      <c r="L176" s="373"/>
      <c r="M176" s="373"/>
      <c r="N176" s="373"/>
      <c r="O176" s="373"/>
      <c r="P176" s="373"/>
      <c r="Q176" s="373"/>
      <c r="R176" s="373"/>
      <c r="S176" s="373"/>
      <c r="T176" s="373"/>
      <c r="U176" s="373"/>
      <c r="V176" s="373"/>
      <c r="W176" s="373"/>
      <c r="X176" s="373"/>
      <c r="Y176" s="373"/>
      <c r="Z176" s="373"/>
      <c r="AA176" s="373"/>
      <c r="AB176" s="373"/>
      <c r="AC176" s="373"/>
      <c r="AD176" s="373"/>
      <c r="AE176" s="373"/>
      <c r="AF176" s="374"/>
      <c r="AG176" s="375">
        <f t="shared" si="23"/>
        <v>0</v>
      </c>
      <c r="AH176" s="98"/>
    </row>
    <row r="177" spans="1:34" ht="19.5" thickBot="1" x14ac:dyDescent="0.3">
      <c r="A177" s="312" t="s">
        <v>51</v>
      </c>
      <c r="B177" s="376">
        <f t="shared" ref="B177:AF177" si="28">SUM(B178:B179)</f>
        <v>3</v>
      </c>
      <c r="C177" s="377">
        <f t="shared" si="28"/>
        <v>3</v>
      </c>
      <c r="D177" s="377">
        <f t="shared" si="28"/>
        <v>1</v>
      </c>
      <c r="E177" s="377">
        <f t="shared" si="28"/>
        <v>1</v>
      </c>
      <c r="F177" s="377">
        <f t="shared" si="28"/>
        <v>2</v>
      </c>
      <c r="G177" s="377">
        <f t="shared" si="28"/>
        <v>6</v>
      </c>
      <c r="H177" s="377">
        <f t="shared" si="28"/>
        <v>2</v>
      </c>
      <c r="I177" s="377">
        <f t="shared" si="28"/>
        <v>8</v>
      </c>
      <c r="J177" s="377">
        <f t="shared" si="28"/>
        <v>2</v>
      </c>
      <c r="K177" s="377">
        <f t="shared" si="28"/>
        <v>4</v>
      </c>
      <c r="L177" s="377">
        <f t="shared" si="28"/>
        <v>4</v>
      </c>
      <c r="M177" s="377">
        <f t="shared" si="28"/>
        <v>3</v>
      </c>
      <c r="N177" s="377">
        <f t="shared" si="28"/>
        <v>3</v>
      </c>
      <c r="O177" s="377">
        <f t="shared" si="28"/>
        <v>1</v>
      </c>
      <c r="P177" s="377">
        <f t="shared" si="28"/>
        <v>5</v>
      </c>
      <c r="Q177" s="377">
        <f t="shared" si="28"/>
        <v>3</v>
      </c>
      <c r="R177" s="377">
        <f t="shared" si="28"/>
        <v>1</v>
      </c>
      <c r="S177" s="377">
        <f t="shared" si="28"/>
        <v>3</v>
      </c>
      <c r="T177" s="377">
        <f t="shared" si="28"/>
        <v>4</v>
      </c>
      <c r="U177" s="377">
        <f t="shared" si="28"/>
        <v>1</v>
      </c>
      <c r="V177" s="377">
        <f t="shared" si="28"/>
        <v>0</v>
      </c>
      <c r="W177" s="377">
        <f t="shared" si="28"/>
        <v>5</v>
      </c>
      <c r="X177" s="377">
        <f t="shared" si="28"/>
        <v>1</v>
      </c>
      <c r="Y177" s="377">
        <f t="shared" si="28"/>
        <v>3</v>
      </c>
      <c r="Z177" s="377">
        <f t="shared" si="28"/>
        <v>1</v>
      </c>
      <c r="AA177" s="377">
        <f t="shared" si="28"/>
        <v>1</v>
      </c>
      <c r="AB177" s="377">
        <f t="shared" si="28"/>
        <v>2</v>
      </c>
      <c r="AC177" s="377">
        <f t="shared" si="28"/>
        <v>4</v>
      </c>
      <c r="AD177" s="377">
        <f t="shared" si="28"/>
        <v>5</v>
      </c>
      <c r="AE177" s="377">
        <f t="shared" si="28"/>
        <v>2</v>
      </c>
      <c r="AF177" s="378">
        <f t="shared" si="28"/>
        <v>8</v>
      </c>
      <c r="AG177" s="379">
        <f t="shared" si="23"/>
        <v>92</v>
      </c>
      <c r="AH177" s="98" t="s">
        <v>48</v>
      </c>
    </row>
    <row r="178" spans="1:34" ht="18.75" x14ac:dyDescent="0.25">
      <c r="A178" s="340" t="s">
        <v>50</v>
      </c>
      <c r="B178" s="277">
        <v>0</v>
      </c>
      <c r="C178" s="105">
        <v>0</v>
      </c>
      <c r="D178" s="105">
        <v>0</v>
      </c>
      <c r="E178" s="105">
        <v>0</v>
      </c>
      <c r="F178" s="105">
        <v>0</v>
      </c>
      <c r="G178" s="105">
        <v>2</v>
      </c>
      <c r="H178" s="105">
        <v>1</v>
      </c>
      <c r="I178" s="105">
        <v>1</v>
      </c>
      <c r="J178" s="105">
        <v>0</v>
      </c>
      <c r="K178" s="105">
        <v>0</v>
      </c>
      <c r="L178" s="105">
        <v>0</v>
      </c>
      <c r="M178" s="105">
        <v>0</v>
      </c>
      <c r="N178" s="105">
        <v>0</v>
      </c>
      <c r="O178" s="105">
        <v>0</v>
      </c>
      <c r="P178" s="105">
        <v>1</v>
      </c>
      <c r="Q178" s="105">
        <v>0</v>
      </c>
      <c r="R178" s="105">
        <v>0</v>
      </c>
      <c r="S178" s="105">
        <v>0</v>
      </c>
      <c r="T178" s="105">
        <v>0</v>
      </c>
      <c r="U178" s="105">
        <v>0</v>
      </c>
      <c r="V178" s="105">
        <v>0</v>
      </c>
      <c r="W178" s="105">
        <v>0</v>
      </c>
      <c r="X178" s="105">
        <v>0</v>
      </c>
      <c r="Y178" s="105">
        <v>0</v>
      </c>
      <c r="Z178" s="105">
        <v>0</v>
      </c>
      <c r="AA178" s="105">
        <v>0</v>
      </c>
      <c r="AB178" s="105">
        <v>0</v>
      </c>
      <c r="AC178" s="105">
        <v>0</v>
      </c>
      <c r="AD178" s="105">
        <v>1</v>
      </c>
      <c r="AE178" s="105">
        <v>1</v>
      </c>
      <c r="AF178" s="104">
        <v>2</v>
      </c>
      <c r="AG178" s="103">
        <f t="shared" si="23"/>
        <v>9</v>
      </c>
      <c r="AH178" s="98" t="s">
        <v>48</v>
      </c>
    </row>
    <row r="179" spans="1:34" ht="19.5" thickBot="1" x14ac:dyDescent="0.3">
      <c r="A179" s="313" t="s">
        <v>49</v>
      </c>
      <c r="B179" s="278">
        <v>3</v>
      </c>
      <c r="C179" s="101">
        <v>3</v>
      </c>
      <c r="D179" s="101">
        <v>1</v>
      </c>
      <c r="E179" s="101">
        <v>1</v>
      </c>
      <c r="F179" s="101">
        <v>2</v>
      </c>
      <c r="G179" s="101">
        <v>4</v>
      </c>
      <c r="H179" s="101">
        <v>1</v>
      </c>
      <c r="I179" s="101">
        <v>7</v>
      </c>
      <c r="J179" s="101">
        <v>2</v>
      </c>
      <c r="K179" s="101">
        <v>4</v>
      </c>
      <c r="L179" s="101">
        <v>4</v>
      </c>
      <c r="M179" s="101">
        <v>3</v>
      </c>
      <c r="N179" s="101">
        <v>3</v>
      </c>
      <c r="O179" s="101">
        <v>1</v>
      </c>
      <c r="P179" s="101">
        <v>4</v>
      </c>
      <c r="Q179" s="101">
        <v>3</v>
      </c>
      <c r="R179" s="101">
        <v>1</v>
      </c>
      <c r="S179" s="101">
        <v>3</v>
      </c>
      <c r="T179" s="101">
        <v>4</v>
      </c>
      <c r="U179" s="101">
        <v>1</v>
      </c>
      <c r="V179" s="101">
        <v>0</v>
      </c>
      <c r="W179" s="101">
        <v>5</v>
      </c>
      <c r="X179" s="101">
        <v>1</v>
      </c>
      <c r="Y179" s="101">
        <v>3</v>
      </c>
      <c r="Z179" s="101">
        <v>1</v>
      </c>
      <c r="AA179" s="101">
        <v>1</v>
      </c>
      <c r="AB179" s="101">
        <v>2</v>
      </c>
      <c r="AC179" s="101">
        <v>4</v>
      </c>
      <c r="AD179" s="101">
        <v>4</v>
      </c>
      <c r="AE179" s="101">
        <v>1</v>
      </c>
      <c r="AF179" s="100">
        <v>6</v>
      </c>
      <c r="AG179" s="99">
        <f t="shared" si="23"/>
        <v>83</v>
      </c>
      <c r="AH179" s="98" t="s">
        <v>48</v>
      </c>
    </row>
    <row r="180" spans="1:34" ht="18.75" x14ac:dyDescent="0.25">
      <c r="A180" s="341" t="s">
        <v>47</v>
      </c>
      <c r="B180" s="279"/>
      <c r="C180" s="96"/>
      <c r="D180" s="96"/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  <c r="AA180" s="96"/>
      <c r="AB180" s="96"/>
      <c r="AC180" s="96"/>
      <c r="AD180" s="96"/>
      <c r="AE180" s="96"/>
      <c r="AF180" s="95"/>
      <c r="AG180" s="94">
        <f t="shared" ref="AG180:AG211" si="29">SUM(B180:AF180)</f>
        <v>0</v>
      </c>
    </row>
    <row r="181" spans="1:34" ht="19.5" thickBot="1" x14ac:dyDescent="0.3">
      <c r="A181" s="342" t="s">
        <v>46</v>
      </c>
      <c r="B181" s="280"/>
      <c r="C181" s="92"/>
      <c r="D181" s="92"/>
      <c r="E181" s="92"/>
      <c r="F181" s="92"/>
      <c r="G181" s="92"/>
      <c r="H181" s="92"/>
      <c r="I181" s="92"/>
      <c r="J181" s="92"/>
      <c r="K181" s="92"/>
      <c r="L181" s="92"/>
      <c r="M181" s="92"/>
      <c r="N181" s="92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2"/>
      <c r="AA181" s="92"/>
      <c r="AB181" s="92"/>
      <c r="AC181" s="92"/>
      <c r="AD181" s="92"/>
      <c r="AE181" s="92"/>
      <c r="AF181" s="91"/>
      <c r="AG181" s="90">
        <f t="shared" si="29"/>
        <v>0</v>
      </c>
    </row>
    <row r="182" spans="1:34" ht="19.5" thickBot="1" x14ac:dyDescent="0.3">
      <c r="A182" s="343" t="s">
        <v>45</v>
      </c>
      <c r="B182" s="281">
        <f t="shared" ref="B182:AF182" si="30">SUM(B183:B208)</f>
        <v>68</v>
      </c>
      <c r="C182" s="88">
        <f t="shared" si="30"/>
        <v>87</v>
      </c>
      <c r="D182" s="88">
        <f t="shared" si="30"/>
        <v>93</v>
      </c>
      <c r="E182" s="88">
        <f t="shared" si="30"/>
        <v>59</v>
      </c>
      <c r="F182" s="88">
        <f t="shared" si="30"/>
        <v>65</v>
      </c>
      <c r="G182" s="88">
        <f t="shared" si="30"/>
        <v>50</v>
      </c>
      <c r="H182" s="88">
        <f t="shared" si="30"/>
        <v>49</v>
      </c>
      <c r="I182" s="88">
        <f t="shared" si="30"/>
        <v>34</v>
      </c>
      <c r="J182" s="88">
        <f t="shared" si="30"/>
        <v>106</v>
      </c>
      <c r="K182" s="88">
        <f t="shared" si="30"/>
        <v>75</v>
      </c>
      <c r="L182" s="88">
        <f t="shared" si="30"/>
        <v>80</v>
      </c>
      <c r="M182" s="88">
        <f t="shared" si="30"/>
        <v>77</v>
      </c>
      <c r="N182" s="88">
        <f t="shared" si="30"/>
        <v>55</v>
      </c>
      <c r="O182" s="88">
        <f t="shared" si="30"/>
        <v>49</v>
      </c>
      <c r="P182" s="88">
        <f t="shared" si="30"/>
        <v>46</v>
      </c>
      <c r="Q182" s="88">
        <f t="shared" si="30"/>
        <v>82</v>
      </c>
      <c r="R182" s="88">
        <f t="shared" si="30"/>
        <v>59</v>
      </c>
      <c r="S182" s="88">
        <f t="shared" si="30"/>
        <v>70</v>
      </c>
      <c r="T182" s="88">
        <f t="shared" si="30"/>
        <v>45</v>
      </c>
      <c r="U182" s="88">
        <f t="shared" si="30"/>
        <v>44</v>
      </c>
      <c r="V182" s="88">
        <f t="shared" si="30"/>
        <v>43</v>
      </c>
      <c r="W182" s="88">
        <f t="shared" si="30"/>
        <v>47</v>
      </c>
      <c r="X182" s="88">
        <f t="shared" si="30"/>
        <v>81</v>
      </c>
      <c r="Y182" s="88">
        <f t="shared" si="30"/>
        <v>61</v>
      </c>
      <c r="Z182" s="88">
        <f t="shared" si="30"/>
        <v>52</v>
      </c>
      <c r="AA182" s="88">
        <f t="shared" si="30"/>
        <v>55</v>
      </c>
      <c r="AB182" s="88">
        <f t="shared" si="30"/>
        <v>43</v>
      </c>
      <c r="AC182" s="88">
        <f t="shared" si="30"/>
        <v>40</v>
      </c>
      <c r="AD182" s="88">
        <f t="shared" si="30"/>
        <v>41</v>
      </c>
      <c r="AE182" s="88">
        <f t="shared" si="30"/>
        <v>87</v>
      </c>
      <c r="AF182" s="87">
        <f t="shared" si="30"/>
        <v>62</v>
      </c>
      <c r="AG182" s="86">
        <f t="shared" si="29"/>
        <v>1905</v>
      </c>
      <c r="AH182" s="85"/>
    </row>
    <row r="183" spans="1:34" ht="18.75" x14ac:dyDescent="0.25">
      <c r="A183" s="76" t="s">
        <v>44</v>
      </c>
      <c r="B183" s="282">
        <v>6</v>
      </c>
      <c r="C183" s="84">
        <v>2</v>
      </c>
      <c r="D183" s="84">
        <v>5</v>
      </c>
      <c r="E183" s="84">
        <v>1</v>
      </c>
      <c r="F183" s="84">
        <v>2</v>
      </c>
      <c r="G183" s="84">
        <v>3</v>
      </c>
      <c r="H183" s="84"/>
      <c r="I183" s="84">
        <v>4</v>
      </c>
      <c r="J183" s="84">
        <v>3</v>
      </c>
      <c r="K183" s="84">
        <v>4</v>
      </c>
      <c r="L183" s="84">
        <v>4</v>
      </c>
      <c r="M183" s="84">
        <v>2</v>
      </c>
      <c r="N183" s="83">
        <v>1</v>
      </c>
      <c r="O183" s="83">
        <v>8</v>
      </c>
      <c r="P183" s="83">
        <v>4</v>
      </c>
      <c r="Q183" s="83">
        <v>2</v>
      </c>
      <c r="R183" s="83">
        <v>1</v>
      </c>
      <c r="S183" s="83">
        <v>1</v>
      </c>
      <c r="T183" s="83">
        <v>3</v>
      </c>
      <c r="U183" s="83">
        <v>6</v>
      </c>
      <c r="V183" s="83">
        <v>6</v>
      </c>
      <c r="W183" s="83">
        <v>5</v>
      </c>
      <c r="X183" s="83">
        <v>2</v>
      </c>
      <c r="Y183" s="83">
        <v>1</v>
      </c>
      <c r="Z183" s="83">
        <v>4</v>
      </c>
      <c r="AA183" s="83">
        <v>3</v>
      </c>
      <c r="AB183" s="83">
        <v>3</v>
      </c>
      <c r="AC183" s="83">
        <v>5</v>
      </c>
      <c r="AD183" s="83">
        <v>8</v>
      </c>
      <c r="AE183" s="83">
        <v>4</v>
      </c>
      <c r="AF183" s="82">
        <v>3</v>
      </c>
      <c r="AG183" s="11">
        <f t="shared" si="29"/>
        <v>106</v>
      </c>
    </row>
    <row r="184" spans="1:34" ht="18.75" x14ac:dyDescent="0.25">
      <c r="A184" s="76" t="s">
        <v>43</v>
      </c>
      <c r="B184" s="283"/>
      <c r="C184" s="69"/>
      <c r="D184" s="69"/>
      <c r="E184" s="69"/>
      <c r="F184" s="69"/>
      <c r="G184" s="69">
        <v>2</v>
      </c>
      <c r="H184" s="69"/>
      <c r="I184" s="69"/>
      <c r="J184" s="69"/>
      <c r="K184" s="69"/>
      <c r="L184" s="69"/>
      <c r="M184" s="69">
        <v>1</v>
      </c>
      <c r="N184" s="68">
        <v>2</v>
      </c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  <c r="AA184" s="68">
        <v>2</v>
      </c>
      <c r="AB184" s="68"/>
      <c r="AC184" s="68"/>
      <c r="AD184" s="68"/>
      <c r="AE184" s="68"/>
      <c r="AF184" s="67"/>
      <c r="AG184" s="64">
        <f t="shared" si="29"/>
        <v>7</v>
      </c>
    </row>
    <row r="185" spans="1:34" ht="18.75" x14ac:dyDescent="0.25">
      <c r="A185" s="76" t="s">
        <v>42</v>
      </c>
      <c r="B185" s="283"/>
      <c r="C185" s="69">
        <v>3</v>
      </c>
      <c r="D185" s="69">
        <v>7</v>
      </c>
      <c r="E185" s="69"/>
      <c r="F185" s="69"/>
      <c r="G185" s="69">
        <v>1</v>
      </c>
      <c r="H185" s="69"/>
      <c r="I185" s="69"/>
      <c r="J185" s="69"/>
      <c r="K185" s="69">
        <v>2</v>
      </c>
      <c r="L185" s="69"/>
      <c r="M185" s="69"/>
      <c r="N185" s="68"/>
      <c r="O185" s="68"/>
      <c r="P185" s="68"/>
      <c r="Q185" s="68">
        <v>3</v>
      </c>
      <c r="R185" s="68">
        <v>2</v>
      </c>
      <c r="S185" s="68"/>
      <c r="T185" s="68">
        <v>1</v>
      </c>
      <c r="U185" s="68"/>
      <c r="V185" s="68"/>
      <c r="W185" s="68"/>
      <c r="X185" s="68">
        <v>6</v>
      </c>
      <c r="Y185" s="68">
        <v>14</v>
      </c>
      <c r="Z185" s="68"/>
      <c r="AA185" s="68">
        <v>1</v>
      </c>
      <c r="AB185" s="68"/>
      <c r="AC185" s="68"/>
      <c r="AD185" s="68"/>
      <c r="AE185" s="68">
        <v>2</v>
      </c>
      <c r="AF185" s="67">
        <v>7</v>
      </c>
      <c r="AG185" s="64">
        <f t="shared" si="29"/>
        <v>49</v>
      </c>
    </row>
    <row r="186" spans="1:34" ht="18.75" x14ac:dyDescent="0.25">
      <c r="A186" s="76" t="s">
        <v>41</v>
      </c>
      <c r="B186" s="283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  <c r="AA186" s="68"/>
      <c r="AB186" s="68"/>
      <c r="AC186" s="68"/>
      <c r="AD186" s="68"/>
      <c r="AE186" s="68"/>
      <c r="AF186" s="67"/>
      <c r="AG186" s="64">
        <f t="shared" si="29"/>
        <v>0</v>
      </c>
    </row>
    <row r="187" spans="1:34" s="77" customFormat="1" ht="18.75" x14ac:dyDescent="0.25">
      <c r="A187" s="81" t="s">
        <v>40</v>
      </c>
      <c r="B187" s="284">
        <v>62</v>
      </c>
      <c r="C187" s="80">
        <v>78</v>
      </c>
      <c r="D187" s="80">
        <v>81</v>
      </c>
      <c r="E187" s="80">
        <v>58</v>
      </c>
      <c r="F187" s="80">
        <v>54</v>
      </c>
      <c r="G187" s="80">
        <v>40</v>
      </c>
      <c r="H187" s="80">
        <v>46</v>
      </c>
      <c r="I187" s="80">
        <v>30</v>
      </c>
      <c r="J187" s="80">
        <v>103</v>
      </c>
      <c r="K187" s="80">
        <v>68</v>
      </c>
      <c r="L187" s="80">
        <v>76</v>
      </c>
      <c r="M187" s="80">
        <v>64</v>
      </c>
      <c r="N187" s="79">
        <v>45</v>
      </c>
      <c r="O187" s="79">
        <v>35</v>
      </c>
      <c r="P187" s="79">
        <v>39</v>
      </c>
      <c r="Q187" s="79">
        <v>76</v>
      </c>
      <c r="R187" s="79">
        <v>54</v>
      </c>
      <c r="S187" s="79">
        <v>68</v>
      </c>
      <c r="T187" s="79">
        <v>35</v>
      </c>
      <c r="U187" s="79">
        <v>30</v>
      </c>
      <c r="V187" s="79">
        <v>36</v>
      </c>
      <c r="W187" s="79">
        <v>39</v>
      </c>
      <c r="X187" s="79">
        <v>73</v>
      </c>
      <c r="Y187" s="79">
        <v>44</v>
      </c>
      <c r="Z187" s="79">
        <v>47</v>
      </c>
      <c r="AA187" s="79">
        <v>37</v>
      </c>
      <c r="AB187" s="79">
        <v>36</v>
      </c>
      <c r="AC187" s="79">
        <v>31</v>
      </c>
      <c r="AD187" s="79">
        <v>30</v>
      </c>
      <c r="AE187" s="79">
        <v>75</v>
      </c>
      <c r="AF187" s="78">
        <v>48</v>
      </c>
      <c r="AG187" s="21">
        <f t="shared" si="29"/>
        <v>1638</v>
      </c>
    </row>
    <row r="188" spans="1:34" ht="18.75" x14ac:dyDescent="0.25">
      <c r="A188" s="76" t="s">
        <v>39</v>
      </c>
      <c r="B188" s="283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  <c r="AA188" s="68"/>
      <c r="AB188" s="68"/>
      <c r="AC188" s="68"/>
      <c r="AD188" s="68"/>
      <c r="AE188" s="68"/>
      <c r="AF188" s="67"/>
      <c r="AG188" s="64">
        <f t="shared" si="29"/>
        <v>0</v>
      </c>
    </row>
    <row r="189" spans="1:34" ht="18.75" x14ac:dyDescent="0.25">
      <c r="A189" s="76" t="s">
        <v>38</v>
      </c>
      <c r="B189" s="283"/>
      <c r="C189" s="69"/>
      <c r="D189" s="69"/>
      <c r="E189" s="69"/>
      <c r="F189" s="69"/>
      <c r="G189" s="69">
        <v>1</v>
      </c>
      <c r="H189" s="69"/>
      <c r="I189" s="69"/>
      <c r="J189" s="69"/>
      <c r="K189" s="69"/>
      <c r="L189" s="69"/>
      <c r="M189" s="69"/>
      <c r="N189" s="68">
        <v>3</v>
      </c>
      <c r="O189" s="68"/>
      <c r="P189" s="68"/>
      <c r="Q189" s="68"/>
      <c r="R189" s="68"/>
      <c r="S189" s="68"/>
      <c r="T189" s="68">
        <v>1</v>
      </c>
      <c r="U189" s="68"/>
      <c r="V189" s="68"/>
      <c r="W189" s="68"/>
      <c r="X189" s="68"/>
      <c r="Y189" s="68"/>
      <c r="Z189" s="68"/>
      <c r="AA189" s="68">
        <v>1</v>
      </c>
      <c r="AB189" s="68"/>
      <c r="AC189" s="68"/>
      <c r="AD189" s="68"/>
      <c r="AE189" s="68"/>
      <c r="AF189" s="67"/>
      <c r="AG189" s="64">
        <f t="shared" si="29"/>
        <v>6</v>
      </c>
    </row>
    <row r="190" spans="1:34" ht="18.75" x14ac:dyDescent="0.25">
      <c r="A190" s="76" t="s">
        <v>37</v>
      </c>
      <c r="B190" s="283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  <c r="AA190" s="68"/>
      <c r="AB190" s="68"/>
      <c r="AC190" s="68"/>
      <c r="AD190" s="68"/>
      <c r="AE190" s="68"/>
      <c r="AF190" s="67"/>
      <c r="AG190" s="64">
        <f t="shared" si="29"/>
        <v>0</v>
      </c>
    </row>
    <row r="191" spans="1:34" ht="18.75" x14ac:dyDescent="0.25">
      <c r="A191" s="76" t="s">
        <v>36</v>
      </c>
      <c r="B191" s="283"/>
      <c r="C191" s="69">
        <v>1</v>
      </c>
      <c r="D191" s="69"/>
      <c r="E191" s="69"/>
      <c r="F191" s="69">
        <v>5</v>
      </c>
      <c r="G191" s="69">
        <v>2</v>
      </c>
      <c r="H191" s="69"/>
      <c r="I191" s="69"/>
      <c r="J191" s="69"/>
      <c r="K191" s="69"/>
      <c r="L191" s="69"/>
      <c r="M191" s="69">
        <v>6</v>
      </c>
      <c r="N191" s="68">
        <v>2</v>
      </c>
      <c r="O191" s="68">
        <v>2</v>
      </c>
      <c r="P191" s="68"/>
      <c r="Q191" s="68">
        <v>1</v>
      </c>
      <c r="R191" s="68"/>
      <c r="S191" s="68"/>
      <c r="T191" s="68">
        <v>5</v>
      </c>
      <c r="U191" s="68"/>
      <c r="V191" s="68"/>
      <c r="W191" s="68"/>
      <c r="X191" s="68"/>
      <c r="Y191" s="68"/>
      <c r="Z191" s="68"/>
      <c r="AA191" s="68">
        <v>9</v>
      </c>
      <c r="AB191" s="68">
        <v>4</v>
      </c>
      <c r="AC191" s="68"/>
      <c r="AD191" s="68"/>
      <c r="AE191" s="68">
        <v>4</v>
      </c>
      <c r="AF191" s="67"/>
      <c r="AG191" s="64">
        <f t="shared" si="29"/>
        <v>41</v>
      </c>
    </row>
    <row r="192" spans="1:34" ht="18.75" x14ac:dyDescent="0.25">
      <c r="A192" s="66" t="s">
        <v>35</v>
      </c>
      <c r="B192" s="283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  <c r="AA192" s="68">
        <v>1</v>
      </c>
      <c r="AB192" s="68"/>
      <c r="AC192" s="68"/>
      <c r="AD192" s="68"/>
      <c r="AE192" s="68"/>
      <c r="AF192" s="67"/>
      <c r="AG192" s="64">
        <f t="shared" si="29"/>
        <v>1</v>
      </c>
    </row>
    <row r="193" spans="1:33" ht="18.75" x14ac:dyDescent="0.25">
      <c r="A193" s="66" t="s">
        <v>34</v>
      </c>
      <c r="B193" s="283"/>
      <c r="C193" s="69">
        <v>1</v>
      </c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  <c r="AA193" s="68">
        <v>1</v>
      </c>
      <c r="AB193" s="68"/>
      <c r="AC193" s="68"/>
      <c r="AD193" s="68"/>
      <c r="AE193" s="68"/>
      <c r="AF193" s="67"/>
      <c r="AG193" s="64">
        <f t="shared" si="29"/>
        <v>2</v>
      </c>
    </row>
    <row r="194" spans="1:33" ht="18.75" x14ac:dyDescent="0.25">
      <c r="A194" s="66" t="s">
        <v>33</v>
      </c>
      <c r="B194" s="283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  <c r="AA194" s="68"/>
      <c r="AB194" s="68"/>
      <c r="AC194" s="68"/>
      <c r="AD194" s="68"/>
      <c r="AE194" s="68"/>
      <c r="AF194" s="67"/>
      <c r="AG194" s="64">
        <f t="shared" si="29"/>
        <v>0</v>
      </c>
    </row>
    <row r="195" spans="1:33" ht="18.75" x14ac:dyDescent="0.25">
      <c r="A195" s="66" t="s">
        <v>32</v>
      </c>
      <c r="B195" s="283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  <c r="AA195" s="68"/>
      <c r="AB195" s="68"/>
      <c r="AC195" s="68"/>
      <c r="AD195" s="68"/>
      <c r="AE195" s="68"/>
      <c r="AF195" s="67"/>
      <c r="AG195" s="64">
        <f t="shared" si="29"/>
        <v>0</v>
      </c>
    </row>
    <row r="196" spans="1:33" ht="18.75" x14ac:dyDescent="0.25">
      <c r="A196" s="75" t="s">
        <v>31</v>
      </c>
      <c r="B196" s="285"/>
      <c r="C196" s="74">
        <v>1</v>
      </c>
      <c r="D196" s="74"/>
      <c r="E196" s="74"/>
      <c r="F196" s="74">
        <v>2</v>
      </c>
      <c r="G196" s="74"/>
      <c r="H196" s="74">
        <v>3</v>
      </c>
      <c r="I196" s="74"/>
      <c r="J196" s="74"/>
      <c r="K196" s="74"/>
      <c r="L196" s="74"/>
      <c r="M196" s="74">
        <v>1</v>
      </c>
      <c r="N196" s="73"/>
      <c r="O196" s="73">
        <v>4</v>
      </c>
      <c r="P196" s="73">
        <v>2</v>
      </c>
      <c r="Q196" s="73"/>
      <c r="R196" s="73"/>
      <c r="S196" s="73"/>
      <c r="T196" s="73"/>
      <c r="U196" s="73">
        <v>8</v>
      </c>
      <c r="V196" s="73">
        <v>1</v>
      </c>
      <c r="W196" s="73">
        <v>1</v>
      </c>
      <c r="X196" s="73"/>
      <c r="Y196" s="73">
        <v>1</v>
      </c>
      <c r="Z196" s="73"/>
      <c r="AA196" s="73"/>
      <c r="AB196" s="73"/>
      <c r="AC196" s="73">
        <v>4</v>
      </c>
      <c r="AD196" s="73">
        <v>1</v>
      </c>
      <c r="AE196" s="73">
        <v>2</v>
      </c>
      <c r="AF196" s="72"/>
      <c r="AG196" s="71">
        <f t="shared" si="29"/>
        <v>31</v>
      </c>
    </row>
    <row r="197" spans="1:33" ht="18.75" x14ac:dyDescent="0.25">
      <c r="A197" s="70" t="s">
        <v>30</v>
      </c>
      <c r="B197" s="283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  <c r="AA197" s="68"/>
      <c r="AB197" s="68"/>
      <c r="AC197" s="68"/>
      <c r="AD197" s="68"/>
      <c r="AE197" s="68"/>
      <c r="AF197" s="67"/>
      <c r="AG197" s="64">
        <f t="shared" si="29"/>
        <v>0</v>
      </c>
    </row>
    <row r="198" spans="1:33" ht="18.75" x14ac:dyDescent="0.25">
      <c r="A198" s="70" t="s">
        <v>29</v>
      </c>
      <c r="B198" s="283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  <c r="AA198" s="68"/>
      <c r="AB198" s="68"/>
      <c r="AC198" s="68"/>
      <c r="AD198" s="68"/>
      <c r="AE198" s="68"/>
      <c r="AF198" s="67"/>
      <c r="AG198" s="64">
        <f t="shared" si="29"/>
        <v>0</v>
      </c>
    </row>
    <row r="199" spans="1:33" ht="18.75" x14ac:dyDescent="0.25">
      <c r="A199" s="70" t="s">
        <v>28</v>
      </c>
      <c r="B199" s="283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  <c r="AA199" s="68"/>
      <c r="AB199" s="68"/>
      <c r="AC199" s="68"/>
      <c r="AD199" s="68"/>
      <c r="AE199" s="68"/>
      <c r="AF199" s="67"/>
      <c r="AG199" s="64">
        <f t="shared" si="29"/>
        <v>0</v>
      </c>
    </row>
    <row r="200" spans="1:33" ht="18.75" x14ac:dyDescent="0.25">
      <c r="A200" s="70" t="s">
        <v>27</v>
      </c>
      <c r="B200" s="283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  <c r="AA200" s="68"/>
      <c r="AB200" s="68"/>
      <c r="AC200" s="68"/>
      <c r="AD200" s="68"/>
      <c r="AE200" s="68"/>
      <c r="AF200" s="67"/>
      <c r="AG200" s="64">
        <f t="shared" si="29"/>
        <v>0</v>
      </c>
    </row>
    <row r="201" spans="1:33" ht="18.75" x14ac:dyDescent="0.25">
      <c r="A201" s="70" t="s">
        <v>26</v>
      </c>
      <c r="B201" s="283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  <c r="AA201" s="68"/>
      <c r="AB201" s="68"/>
      <c r="AC201" s="68"/>
      <c r="AD201" s="68"/>
      <c r="AE201" s="68"/>
      <c r="AF201" s="67"/>
      <c r="AG201" s="64">
        <f t="shared" si="29"/>
        <v>0</v>
      </c>
    </row>
    <row r="202" spans="1:33" ht="18.75" x14ac:dyDescent="0.25">
      <c r="A202" s="70" t="s">
        <v>25</v>
      </c>
      <c r="B202" s="283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  <c r="AA202" s="68"/>
      <c r="AB202" s="68"/>
      <c r="AC202" s="68"/>
      <c r="AD202" s="68"/>
      <c r="AE202" s="68"/>
      <c r="AF202" s="67"/>
      <c r="AG202" s="64">
        <f t="shared" si="29"/>
        <v>0</v>
      </c>
    </row>
    <row r="203" spans="1:33" ht="18.75" x14ac:dyDescent="0.25">
      <c r="A203" s="66" t="s">
        <v>24</v>
      </c>
      <c r="B203" s="283"/>
      <c r="C203" s="69"/>
      <c r="D203" s="69"/>
      <c r="E203" s="69"/>
      <c r="F203" s="69">
        <v>2</v>
      </c>
      <c r="G203" s="69"/>
      <c r="H203" s="69"/>
      <c r="I203" s="69"/>
      <c r="J203" s="69"/>
      <c r="K203" s="69"/>
      <c r="L203" s="69"/>
      <c r="M203" s="69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  <c r="AA203" s="68"/>
      <c r="AB203" s="68"/>
      <c r="AC203" s="68"/>
      <c r="AD203" s="68"/>
      <c r="AE203" s="68"/>
      <c r="AF203" s="67">
        <v>1</v>
      </c>
      <c r="AG203" s="64">
        <f t="shared" si="29"/>
        <v>3</v>
      </c>
    </row>
    <row r="204" spans="1:33" ht="18.75" x14ac:dyDescent="0.25">
      <c r="A204" s="66" t="s">
        <v>23</v>
      </c>
      <c r="B204" s="283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  <c r="AA204" s="68"/>
      <c r="AB204" s="68"/>
      <c r="AC204" s="68"/>
      <c r="AD204" s="68"/>
      <c r="AE204" s="68"/>
      <c r="AF204" s="67"/>
      <c r="AG204" s="64">
        <f t="shared" si="29"/>
        <v>0</v>
      </c>
    </row>
    <row r="205" spans="1:33" ht="18.75" x14ac:dyDescent="0.25">
      <c r="A205" s="66" t="s">
        <v>22</v>
      </c>
      <c r="B205" s="283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  <c r="AA205" s="68"/>
      <c r="AB205" s="68"/>
      <c r="AC205" s="68"/>
      <c r="AD205" s="68"/>
      <c r="AE205" s="68"/>
      <c r="AF205" s="67">
        <v>1</v>
      </c>
      <c r="AG205" s="64">
        <f t="shared" si="29"/>
        <v>1</v>
      </c>
    </row>
    <row r="206" spans="1:33" ht="18.75" x14ac:dyDescent="0.25">
      <c r="A206" s="66" t="s">
        <v>21</v>
      </c>
      <c r="B206" s="286"/>
      <c r="C206" s="62">
        <v>1</v>
      </c>
      <c r="D206" s="62"/>
      <c r="E206" s="62"/>
      <c r="F206" s="62"/>
      <c r="G206" s="62">
        <v>1</v>
      </c>
      <c r="H206" s="62"/>
      <c r="I206" s="62"/>
      <c r="J206" s="62"/>
      <c r="K206" s="62">
        <v>1</v>
      </c>
      <c r="L206" s="62"/>
      <c r="M206" s="62">
        <v>1</v>
      </c>
      <c r="N206" s="61">
        <v>1</v>
      </c>
      <c r="O206" s="61"/>
      <c r="P206" s="61">
        <v>1</v>
      </c>
      <c r="Q206" s="61"/>
      <c r="R206" s="61"/>
      <c r="S206" s="61">
        <v>1</v>
      </c>
      <c r="T206" s="61"/>
      <c r="U206" s="61"/>
      <c r="V206" s="61"/>
      <c r="W206" s="61">
        <v>2</v>
      </c>
      <c r="X206" s="61"/>
      <c r="Y206" s="61">
        <v>1</v>
      </c>
      <c r="Z206" s="61">
        <v>1</v>
      </c>
      <c r="AA206" s="61"/>
      <c r="AB206" s="61"/>
      <c r="AC206" s="61"/>
      <c r="AD206" s="61">
        <v>2</v>
      </c>
      <c r="AE206" s="61"/>
      <c r="AF206" s="60">
        <v>1</v>
      </c>
      <c r="AG206" s="64">
        <f t="shared" si="29"/>
        <v>14</v>
      </c>
    </row>
    <row r="207" spans="1:33" ht="18.75" x14ac:dyDescent="0.25">
      <c r="A207" s="65" t="s">
        <v>20</v>
      </c>
      <c r="B207" s="286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>
        <v>2</v>
      </c>
      <c r="N207" s="61">
        <v>1</v>
      </c>
      <c r="O207" s="61"/>
      <c r="P207" s="61"/>
      <c r="Q207" s="61"/>
      <c r="R207" s="61">
        <v>1</v>
      </c>
      <c r="S207" s="61"/>
      <c r="T207" s="61"/>
      <c r="U207" s="61"/>
      <c r="V207" s="61"/>
      <c r="W207" s="61"/>
      <c r="X207" s="61"/>
      <c r="Y207" s="61"/>
      <c r="Z207" s="61"/>
      <c r="AA207" s="61"/>
      <c r="AB207" s="61"/>
      <c r="AC207" s="61"/>
      <c r="AD207" s="61"/>
      <c r="AE207" s="61"/>
      <c r="AF207" s="60">
        <v>1</v>
      </c>
      <c r="AG207" s="64">
        <f t="shared" si="29"/>
        <v>5</v>
      </c>
    </row>
    <row r="208" spans="1:33" ht="19.5" thickBot="1" x14ac:dyDescent="0.3">
      <c r="A208" s="63" t="s">
        <v>19</v>
      </c>
      <c r="B208" s="286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1"/>
      <c r="O208" s="61"/>
      <c r="P208" s="61"/>
      <c r="Q208" s="61"/>
      <c r="R208" s="61">
        <v>1</v>
      </c>
      <c r="S208" s="61"/>
      <c r="T208" s="61"/>
      <c r="U208" s="61"/>
      <c r="V208" s="61"/>
      <c r="W208" s="61"/>
      <c r="X208" s="61"/>
      <c r="Y208" s="61"/>
      <c r="Z208" s="61"/>
      <c r="AA208" s="61"/>
      <c r="AB208" s="61"/>
      <c r="AC208" s="61"/>
      <c r="AD208" s="61"/>
      <c r="AE208" s="61"/>
      <c r="AF208" s="60"/>
      <c r="AG208" s="10">
        <f t="shared" si="29"/>
        <v>1</v>
      </c>
    </row>
    <row r="209" spans="1:34" ht="19.5" thickBot="1" x14ac:dyDescent="0.3">
      <c r="A209" s="59" t="s">
        <v>18</v>
      </c>
      <c r="B209" s="287">
        <f t="shared" ref="B209:AF209" si="31">SUM(B210:B214)</f>
        <v>175</v>
      </c>
      <c r="C209" s="57">
        <f t="shared" si="31"/>
        <v>156</v>
      </c>
      <c r="D209" s="57">
        <f t="shared" si="31"/>
        <v>161</v>
      </c>
      <c r="E209" s="57">
        <f t="shared" si="31"/>
        <v>129</v>
      </c>
      <c r="F209" s="57">
        <f t="shared" si="31"/>
        <v>117</v>
      </c>
      <c r="G209" s="57">
        <f t="shared" si="31"/>
        <v>123</v>
      </c>
      <c r="H209" s="57">
        <f t="shared" si="31"/>
        <v>138</v>
      </c>
      <c r="I209" s="57">
        <f t="shared" si="31"/>
        <v>120</v>
      </c>
      <c r="J209" s="57">
        <f t="shared" si="31"/>
        <v>178</v>
      </c>
      <c r="K209" s="57">
        <f t="shared" si="31"/>
        <v>141</v>
      </c>
      <c r="L209" s="57">
        <f t="shared" si="31"/>
        <v>143</v>
      </c>
      <c r="M209" s="57">
        <f t="shared" si="31"/>
        <v>135</v>
      </c>
      <c r="N209" s="56">
        <f t="shared" si="31"/>
        <v>124</v>
      </c>
      <c r="O209" s="56">
        <f t="shared" si="31"/>
        <v>140</v>
      </c>
      <c r="P209" s="56">
        <f t="shared" si="31"/>
        <v>144</v>
      </c>
      <c r="Q209" s="56">
        <f t="shared" si="31"/>
        <v>145</v>
      </c>
      <c r="R209" s="56">
        <f t="shared" si="31"/>
        <v>130</v>
      </c>
      <c r="S209" s="56">
        <f t="shared" si="31"/>
        <v>143</v>
      </c>
      <c r="T209" s="56">
        <f t="shared" si="31"/>
        <v>120</v>
      </c>
      <c r="U209" s="56">
        <f t="shared" si="31"/>
        <v>159</v>
      </c>
      <c r="V209" s="56">
        <f t="shared" si="31"/>
        <v>132</v>
      </c>
      <c r="W209" s="56">
        <f t="shared" si="31"/>
        <v>141</v>
      </c>
      <c r="X209" s="56">
        <f t="shared" si="31"/>
        <v>156</v>
      </c>
      <c r="Y209" s="56">
        <f t="shared" si="31"/>
        <v>118</v>
      </c>
      <c r="Z209" s="56">
        <f t="shared" si="31"/>
        <v>134</v>
      </c>
      <c r="AA209" s="56">
        <f t="shared" si="31"/>
        <v>120</v>
      </c>
      <c r="AB209" s="56">
        <f t="shared" si="31"/>
        <v>115</v>
      </c>
      <c r="AC209" s="56">
        <f t="shared" si="31"/>
        <v>150</v>
      </c>
      <c r="AD209" s="56">
        <f t="shared" si="31"/>
        <v>129</v>
      </c>
      <c r="AE209" s="56">
        <f t="shared" si="31"/>
        <v>169</v>
      </c>
      <c r="AF209" s="55">
        <f t="shared" si="31"/>
        <v>151</v>
      </c>
      <c r="AG209" s="54">
        <f t="shared" si="29"/>
        <v>4336</v>
      </c>
      <c r="AH209" s="53" t="str">
        <f>IF(AG209&lt;&gt;AG93,"X","")</f>
        <v/>
      </c>
    </row>
    <row r="210" spans="1:34" ht="18.75" x14ac:dyDescent="0.25">
      <c r="A210" s="344" t="s">
        <v>17</v>
      </c>
      <c r="B210" s="288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0"/>
      <c r="AB210" s="50"/>
      <c r="AC210" s="50"/>
      <c r="AD210" s="50"/>
      <c r="AE210" s="50"/>
      <c r="AF210" s="49"/>
      <c r="AG210" s="48">
        <f t="shared" si="29"/>
        <v>0</v>
      </c>
    </row>
    <row r="211" spans="1:34" ht="18.75" x14ac:dyDescent="0.25">
      <c r="A211" s="345" t="s">
        <v>16</v>
      </c>
      <c r="B211" s="289">
        <v>1</v>
      </c>
      <c r="C211" s="46">
        <v>1</v>
      </c>
      <c r="D211" s="46">
        <v>1</v>
      </c>
      <c r="E211" s="46">
        <v>1</v>
      </c>
      <c r="F211" s="46">
        <v>1</v>
      </c>
      <c r="G211" s="46">
        <v>5</v>
      </c>
      <c r="H211" s="46"/>
      <c r="I211" s="46">
        <v>1</v>
      </c>
      <c r="J211" s="46">
        <v>1</v>
      </c>
      <c r="K211" s="46"/>
      <c r="L211" s="46">
        <v>2</v>
      </c>
      <c r="M211" s="46"/>
      <c r="N211" s="45">
        <v>2</v>
      </c>
      <c r="O211" s="45">
        <v>2</v>
      </c>
      <c r="P211" s="45">
        <v>7</v>
      </c>
      <c r="Q211" s="45">
        <v>2</v>
      </c>
      <c r="R211" s="45"/>
      <c r="S211" s="45"/>
      <c r="T211" s="45">
        <v>1</v>
      </c>
      <c r="U211" s="45"/>
      <c r="V211" s="45"/>
      <c r="W211" s="45">
        <v>1</v>
      </c>
      <c r="X211" s="45"/>
      <c r="Y211" s="45">
        <v>1</v>
      </c>
      <c r="Z211" s="45">
        <v>1</v>
      </c>
      <c r="AA211" s="45">
        <v>1</v>
      </c>
      <c r="AB211" s="45">
        <v>2</v>
      </c>
      <c r="AC211" s="45"/>
      <c r="AD211" s="45">
        <v>1</v>
      </c>
      <c r="AE211" s="45"/>
      <c r="AF211" s="44"/>
      <c r="AG211" s="43">
        <f t="shared" si="29"/>
        <v>35</v>
      </c>
    </row>
    <row r="212" spans="1:34" ht="18.75" x14ac:dyDescent="0.25">
      <c r="A212" s="345" t="s">
        <v>15</v>
      </c>
      <c r="B212" s="289">
        <v>20</v>
      </c>
      <c r="C212" s="46">
        <v>13</v>
      </c>
      <c r="D212" s="46">
        <v>7</v>
      </c>
      <c r="E212" s="46">
        <v>3</v>
      </c>
      <c r="F212" s="46">
        <v>6</v>
      </c>
      <c r="G212" s="46">
        <v>16</v>
      </c>
      <c r="H212" s="46">
        <v>14</v>
      </c>
      <c r="I212" s="46">
        <v>7</v>
      </c>
      <c r="J212" s="46">
        <v>5</v>
      </c>
      <c r="K212" s="46">
        <v>10</v>
      </c>
      <c r="L212" s="46">
        <v>11</v>
      </c>
      <c r="M212" s="46">
        <v>9</v>
      </c>
      <c r="N212" s="45">
        <v>13</v>
      </c>
      <c r="O212" s="45">
        <v>23</v>
      </c>
      <c r="P212" s="45">
        <v>23</v>
      </c>
      <c r="Q212" s="45">
        <v>5</v>
      </c>
      <c r="R212" s="45">
        <v>7</v>
      </c>
      <c r="S212" s="45">
        <v>6</v>
      </c>
      <c r="T212" s="45">
        <v>6</v>
      </c>
      <c r="U212" s="45">
        <v>29</v>
      </c>
      <c r="V212" s="45">
        <v>11</v>
      </c>
      <c r="W212" s="45">
        <v>14</v>
      </c>
      <c r="X212" s="45">
        <v>7</v>
      </c>
      <c r="Y212" s="45">
        <v>6</v>
      </c>
      <c r="Z212" s="45">
        <v>12</v>
      </c>
      <c r="AA212" s="45">
        <v>11</v>
      </c>
      <c r="AB212" s="45">
        <v>7</v>
      </c>
      <c r="AC212" s="45">
        <v>16</v>
      </c>
      <c r="AD212" s="45">
        <v>22</v>
      </c>
      <c r="AE212" s="45">
        <v>14</v>
      </c>
      <c r="AF212" s="44">
        <v>11</v>
      </c>
      <c r="AG212" s="43">
        <f t="shared" ref="AG212:AG223" si="32">SUM(B212:AF212)</f>
        <v>364</v>
      </c>
    </row>
    <row r="213" spans="1:34" ht="18.75" x14ac:dyDescent="0.25">
      <c r="A213" s="345" t="s">
        <v>14</v>
      </c>
      <c r="B213" s="289">
        <v>125</v>
      </c>
      <c r="C213" s="46">
        <v>113</v>
      </c>
      <c r="D213" s="46">
        <v>122</v>
      </c>
      <c r="E213" s="46">
        <v>107</v>
      </c>
      <c r="F213" s="46">
        <v>79</v>
      </c>
      <c r="G213" s="46">
        <v>86</v>
      </c>
      <c r="H213" s="46">
        <v>97</v>
      </c>
      <c r="I213" s="46">
        <v>93</v>
      </c>
      <c r="J213" s="46">
        <v>153</v>
      </c>
      <c r="K213" s="46">
        <v>107</v>
      </c>
      <c r="L213" s="46">
        <v>110</v>
      </c>
      <c r="M213" s="46">
        <v>105</v>
      </c>
      <c r="N213" s="45">
        <v>76</v>
      </c>
      <c r="O213" s="45">
        <v>79</v>
      </c>
      <c r="P213" s="45">
        <v>92</v>
      </c>
      <c r="Q213" s="45">
        <v>107</v>
      </c>
      <c r="R213" s="45">
        <v>94</v>
      </c>
      <c r="S213" s="45">
        <v>117</v>
      </c>
      <c r="T213" s="45">
        <v>78</v>
      </c>
      <c r="U213" s="45">
        <v>103</v>
      </c>
      <c r="V213" s="45">
        <v>97</v>
      </c>
      <c r="W213" s="45">
        <v>91</v>
      </c>
      <c r="X213" s="45">
        <v>127</v>
      </c>
      <c r="Y213" s="45">
        <v>85</v>
      </c>
      <c r="Z213" s="45">
        <v>110</v>
      </c>
      <c r="AA213" s="45">
        <v>87</v>
      </c>
      <c r="AB213" s="45">
        <v>75</v>
      </c>
      <c r="AC213" s="45">
        <v>101</v>
      </c>
      <c r="AD213" s="45">
        <v>96</v>
      </c>
      <c r="AE213" s="45">
        <v>124</v>
      </c>
      <c r="AF213" s="44">
        <v>110</v>
      </c>
      <c r="AG213" s="43">
        <f t="shared" si="32"/>
        <v>3146</v>
      </c>
    </row>
    <row r="214" spans="1:34" ht="19.5" thickBot="1" x14ac:dyDescent="0.3">
      <c r="A214" s="346" t="s">
        <v>13</v>
      </c>
      <c r="B214" s="290">
        <v>29</v>
      </c>
      <c r="C214" s="41">
        <v>29</v>
      </c>
      <c r="D214" s="41">
        <v>31</v>
      </c>
      <c r="E214" s="41">
        <v>18</v>
      </c>
      <c r="F214" s="41">
        <v>31</v>
      </c>
      <c r="G214" s="41">
        <v>16</v>
      </c>
      <c r="H214" s="41">
        <v>27</v>
      </c>
      <c r="I214" s="41">
        <v>19</v>
      </c>
      <c r="J214" s="41">
        <v>19</v>
      </c>
      <c r="K214" s="41">
        <v>24</v>
      </c>
      <c r="L214" s="41">
        <v>20</v>
      </c>
      <c r="M214" s="41">
        <v>21</v>
      </c>
      <c r="N214" s="40">
        <v>33</v>
      </c>
      <c r="O214" s="40">
        <v>36</v>
      </c>
      <c r="P214" s="40">
        <v>22</v>
      </c>
      <c r="Q214" s="40">
        <v>31</v>
      </c>
      <c r="R214" s="40">
        <v>29</v>
      </c>
      <c r="S214" s="40">
        <v>20</v>
      </c>
      <c r="T214" s="40">
        <v>35</v>
      </c>
      <c r="U214" s="40">
        <v>27</v>
      </c>
      <c r="V214" s="40">
        <v>24</v>
      </c>
      <c r="W214" s="40">
        <v>35</v>
      </c>
      <c r="X214" s="40">
        <v>22</v>
      </c>
      <c r="Y214" s="40">
        <v>26</v>
      </c>
      <c r="Z214" s="40">
        <v>11</v>
      </c>
      <c r="AA214" s="40">
        <v>21</v>
      </c>
      <c r="AB214" s="40">
        <v>31</v>
      </c>
      <c r="AC214" s="40">
        <v>33</v>
      </c>
      <c r="AD214" s="40">
        <v>10</v>
      </c>
      <c r="AE214" s="40">
        <v>31</v>
      </c>
      <c r="AF214" s="39">
        <v>30</v>
      </c>
      <c r="AG214" s="38">
        <f t="shared" si="32"/>
        <v>791</v>
      </c>
    </row>
    <row r="215" spans="1:34" ht="19.5" thickBot="1" x14ac:dyDescent="0.3">
      <c r="A215" s="333" t="s">
        <v>12</v>
      </c>
      <c r="B215" s="291">
        <f t="shared" ref="B215:AF215" si="33">SUM(B216:B219)</f>
        <v>53</v>
      </c>
      <c r="C215" s="36">
        <f t="shared" si="33"/>
        <v>61</v>
      </c>
      <c r="D215" s="36">
        <f t="shared" si="33"/>
        <v>68</v>
      </c>
      <c r="E215" s="36">
        <f t="shared" si="33"/>
        <v>32</v>
      </c>
      <c r="F215" s="36">
        <f t="shared" si="33"/>
        <v>41</v>
      </c>
      <c r="G215" s="36">
        <f t="shared" si="33"/>
        <v>34</v>
      </c>
      <c r="H215" s="36">
        <f t="shared" si="33"/>
        <v>27</v>
      </c>
      <c r="I215" s="36">
        <f t="shared" si="33"/>
        <v>24</v>
      </c>
      <c r="J215" s="36">
        <f t="shared" si="33"/>
        <v>82</v>
      </c>
      <c r="K215" s="36">
        <f t="shared" si="33"/>
        <v>56</v>
      </c>
      <c r="L215" s="36">
        <f t="shared" si="33"/>
        <v>68</v>
      </c>
      <c r="M215" s="36">
        <f t="shared" si="33"/>
        <v>53</v>
      </c>
      <c r="N215" s="35">
        <f t="shared" si="33"/>
        <v>45</v>
      </c>
      <c r="O215" s="35">
        <f t="shared" si="33"/>
        <v>28</v>
      </c>
      <c r="P215" s="35">
        <f t="shared" si="33"/>
        <v>33</v>
      </c>
      <c r="Q215" s="35">
        <f t="shared" si="33"/>
        <v>62</v>
      </c>
      <c r="R215" s="35">
        <f t="shared" si="33"/>
        <v>55</v>
      </c>
      <c r="S215" s="35">
        <f t="shared" si="33"/>
        <v>38</v>
      </c>
      <c r="T215" s="35">
        <f t="shared" si="33"/>
        <v>34</v>
      </c>
      <c r="U215" s="35">
        <f t="shared" si="33"/>
        <v>28</v>
      </c>
      <c r="V215" s="35">
        <f t="shared" si="33"/>
        <v>22</v>
      </c>
      <c r="W215" s="35">
        <f t="shared" si="33"/>
        <v>36</v>
      </c>
      <c r="X215" s="35">
        <f t="shared" si="33"/>
        <v>52</v>
      </c>
      <c r="Y215" s="35">
        <f t="shared" si="33"/>
        <v>35</v>
      </c>
      <c r="Z215" s="35">
        <f t="shared" si="33"/>
        <v>37</v>
      </c>
      <c r="AA215" s="35">
        <f t="shared" si="33"/>
        <v>28</v>
      </c>
      <c r="AB215" s="35">
        <f t="shared" si="33"/>
        <v>28</v>
      </c>
      <c r="AC215" s="35">
        <f t="shared" si="33"/>
        <v>24</v>
      </c>
      <c r="AD215" s="35">
        <f t="shared" si="33"/>
        <v>29</v>
      </c>
      <c r="AE215" s="35">
        <f t="shared" si="33"/>
        <v>58</v>
      </c>
      <c r="AF215" s="34">
        <f t="shared" si="33"/>
        <v>38</v>
      </c>
      <c r="AG215" s="33">
        <f t="shared" si="32"/>
        <v>1309</v>
      </c>
    </row>
    <row r="216" spans="1:34" ht="18.75" x14ac:dyDescent="0.25">
      <c r="A216" s="81" t="s">
        <v>7</v>
      </c>
      <c r="B216" s="292">
        <v>1</v>
      </c>
      <c r="C216" s="31">
        <v>3</v>
      </c>
      <c r="D216" s="31">
        <v>2</v>
      </c>
      <c r="E216" s="31">
        <v>2</v>
      </c>
      <c r="F216" s="31">
        <v>2</v>
      </c>
      <c r="G216" s="31">
        <v>0</v>
      </c>
      <c r="H216" s="31">
        <v>1</v>
      </c>
      <c r="I216" s="31">
        <v>0</v>
      </c>
      <c r="J216" s="31">
        <v>0</v>
      </c>
      <c r="K216" s="31">
        <v>4</v>
      </c>
      <c r="L216" s="31">
        <v>2</v>
      </c>
      <c r="M216" s="31">
        <v>4</v>
      </c>
      <c r="N216" s="30">
        <v>3</v>
      </c>
      <c r="O216" s="30">
        <v>0</v>
      </c>
      <c r="P216" s="30">
        <v>1</v>
      </c>
      <c r="Q216" s="30">
        <v>3</v>
      </c>
      <c r="R216" s="30">
        <v>0</v>
      </c>
      <c r="S216" s="30">
        <v>0</v>
      </c>
      <c r="T216" s="30"/>
      <c r="U216" s="30">
        <v>1</v>
      </c>
      <c r="V216" s="30">
        <v>0</v>
      </c>
      <c r="W216" s="30">
        <v>0</v>
      </c>
      <c r="X216" s="30">
        <v>1</v>
      </c>
      <c r="Y216" s="30">
        <v>1</v>
      </c>
      <c r="Z216" s="30">
        <v>0</v>
      </c>
      <c r="AA216" s="30">
        <v>0</v>
      </c>
      <c r="AB216" s="30"/>
      <c r="AC216" s="30">
        <v>1</v>
      </c>
      <c r="AD216" s="30">
        <v>0</v>
      </c>
      <c r="AE216" s="30">
        <v>1</v>
      </c>
      <c r="AF216" s="29">
        <v>1</v>
      </c>
      <c r="AG216" s="28">
        <f t="shared" si="32"/>
        <v>34</v>
      </c>
    </row>
    <row r="217" spans="1:34" ht="18.75" x14ac:dyDescent="0.25">
      <c r="A217" s="347" t="s">
        <v>11</v>
      </c>
      <c r="B217" s="293">
        <v>50</v>
      </c>
      <c r="C217" s="25">
        <v>57</v>
      </c>
      <c r="D217" s="25">
        <v>66</v>
      </c>
      <c r="E217" s="25">
        <v>30</v>
      </c>
      <c r="F217" s="25">
        <v>35</v>
      </c>
      <c r="G217" s="25">
        <v>34</v>
      </c>
      <c r="H217" s="25">
        <v>25</v>
      </c>
      <c r="I217" s="25">
        <v>20</v>
      </c>
      <c r="J217" s="25">
        <v>76</v>
      </c>
      <c r="K217" s="25">
        <v>49</v>
      </c>
      <c r="L217" s="25">
        <v>50</v>
      </c>
      <c r="M217" s="25">
        <v>46</v>
      </c>
      <c r="N217" s="24">
        <v>42</v>
      </c>
      <c r="O217" s="24">
        <v>28</v>
      </c>
      <c r="P217" s="24">
        <v>27</v>
      </c>
      <c r="Q217" s="24">
        <v>54</v>
      </c>
      <c r="R217" s="24">
        <v>55</v>
      </c>
      <c r="S217" s="24">
        <v>37</v>
      </c>
      <c r="T217" s="24">
        <v>34</v>
      </c>
      <c r="U217" s="24">
        <v>27</v>
      </c>
      <c r="V217" s="24">
        <v>22</v>
      </c>
      <c r="W217" s="24">
        <v>36</v>
      </c>
      <c r="X217" s="24">
        <v>45</v>
      </c>
      <c r="Y217" s="24">
        <v>31</v>
      </c>
      <c r="Z217" s="24">
        <v>34</v>
      </c>
      <c r="AA217" s="24">
        <v>28</v>
      </c>
      <c r="AB217" s="24">
        <v>28</v>
      </c>
      <c r="AC217" s="24">
        <v>23</v>
      </c>
      <c r="AD217" s="24">
        <v>27</v>
      </c>
      <c r="AE217" s="24">
        <v>56</v>
      </c>
      <c r="AF217" s="23">
        <v>36</v>
      </c>
      <c r="AG217" s="21">
        <f t="shared" si="32"/>
        <v>1208</v>
      </c>
    </row>
    <row r="218" spans="1:34" ht="18.75" x14ac:dyDescent="0.25">
      <c r="A218" s="348" t="s">
        <v>169</v>
      </c>
      <c r="B218" s="293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>
        <v>4</v>
      </c>
      <c r="Y218" s="24">
        <v>0</v>
      </c>
      <c r="Z218" s="24">
        <v>0</v>
      </c>
      <c r="AA218" s="24">
        <v>0</v>
      </c>
      <c r="AB218" s="24">
        <v>0</v>
      </c>
      <c r="AC218" s="24">
        <v>0</v>
      </c>
      <c r="AD218" s="24">
        <v>0</v>
      </c>
      <c r="AE218" s="24">
        <v>1</v>
      </c>
      <c r="AF218" s="23">
        <v>0</v>
      </c>
      <c r="AG218" s="21">
        <f t="shared" si="32"/>
        <v>5</v>
      </c>
    </row>
    <row r="219" spans="1:34" ht="19.5" thickBot="1" x14ac:dyDescent="0.3">
      <c r="A219" s="348" t="s">
        <v>8</v>
      </c>
      <c r="B219" s="293">
        <v>2</v>
      </c>
      <c r="C219" s="25">
        <v>1</v>
      </c>
      <c r="D219" s="25">
        <v>0</v>
      </c>
      <c r="E219" s="25">
        <v>0</v>
      </c>
      <c r="F219" s="25">
        <v>4</v>
      </c>
      <c r="G219" s="25">
        <v>0</v>
      </c>
      <c r="H219" s="25">
        <v>1</v>
      </c>
      <c r="I219" s="25">
        <v>4</v>
      </c>
      <c r="J219" s="25">
        <v>6</v>
      </c>
      <c r="K219" s="25">
        <v>3</v>
      </c>
      <c r="L219" s="25">
        <v>16</v>
      </c>
      <c r="M219" s="25">
        <v>3</v>
      </c>
      <c r="N219" s="24">
        <v>0</v>
      </c>
      <c r="O219" s="24">
        <v>0</v>
      </c>
      <c r="P219" s="24">
        <v>5</v>
      </c>
      <c r="Q219" s="24">
        <v>5</v>
      </c>
      <c r="R219" s="24">
        <v>0</v>
      </c>
      <c r="S219" s="24">
        <v>1</v>
      </c>
      <c r="T219" s="24">
        <v>0</v>
      </c>
      <c r="U219" s="24">
        <v>0</v>
      </c>
      <c r="V219" s="24">
        <v>0</v>
      </c>
      <c r="W219" s="24">
        <v>0</v>
      </c>
      <c r="X219" s="24">
        <v>2</v>
      </c>
      <c r="Y219" s="24">
        <v>3</v>
      </c>
      <c r="Z219" s="24">
        <v>3</v>
      </c>
      <c r="AA219" s="24">
        <v>0</v>
      </c>
      <c r="AB219" s="24">
        <v>0</v>
      </c>
      <c r="AC219" s="24">
        <v>0</v>
      </c>
      <c r="AD219" s="24">
        <v>2</v>
      </c>
      <c r="AE219" s="24">
        <v>0</v>
      </c>
      <c r="AF219" s="23">
        <v>1</v>
      </c>
      <c r="AG219" s="21">
        <f t="shared" si="32"/>
        <v>62</v>
      </c>
    </row>
    <row r="220" spans="1:34" ht="19.5" thickBot="1" x14ac:dyDescent="0.3">
      <c r="A220" s="327" t="s">
        <v>164</v>
      </c>
      <c r="B220" s="266">
        <f t="shared" ref="B220:AF220" si="34">SUM(B221:B223)</f>
        <v>8</v>
      </c>
      <c r="C220" s="143">
        <f t="shared" si="34"/>
        <v>12</v>
      </c>
      <c r="D220" s="143">
        <f t="shared" si="34"/>
        <v>11</v>
      </c>
      <c r="E220" s="143">
        <f t="shared" si="34"/>
        <v>17</v>
      </c>
      <c r="F220" s="143">
        <f t="shared" si="34"/>
        <v>8</v>
      </c>
      <c r="G220" s="143">
        <f t="shared" si="34"/>
        <v>10</v>
      </c>
      <c r="H220" s="143">
        <f t="shared" si="34"/>
        <v>12</v>
      </c>
      <c r="I220" s="143">
        <f t="shared" si="34"/>
        <v>1</v>
      </c>
      <c r="J220" s="143">
        <f t="shared" si="34"/>
        <v>11</v>
      </c>
      <c r="K220" s="143">
        <f t="shared" si="34"/>
        <v>9</v>
      </c>
      <c r="L220" s="143">
        <f t="shared" si="34"/>
        <v>5</v>
      </c>
      <c r="M220" s="143">
        <f t="shared" si="34"/>
        <v>7</v>
      </c>
      <c r="N220" s="143">
        <f t="shared" si="34"/>
        <v>6</v>
      </c>
      <c r="O220" s="143">
        <f t="shared" si="34"/>
        <v>1</v>
      </c>
      <c r="P220" s="143">
        <f t="shared" si="34"/>
        <v>0</v>
      </c>
      <c r="Q220" s="143">
        <f t="shared" si="34"/>
        <v>9</v>
      </c>
      <c r="R220" s="143">
        <f t="shared" si="34"/>
        <v>5</v>
      </c>
      <c r="S220" s="143">
        <f t="shared" si="34"/>
        <v>19</v>
      </c>
      <c r="T220" s="143">
        <f t="shared" si="34"/>
        <v>3</v>
      </c>
      <c r="U220" s="143">
        <f t="shared" si="34"/>
        <v>3</v>
      </c>
      <c r="V220" s="143">
        <f t="shared" si="34"/>
        <v>12</v>
      </c>
      <c r="W220" s="143">
        <f t="shared" si="34"/>
        <v>2</v>
      </c>
      <c r="X220" s="143">
        <f t="shared" si="34"/>
        <v>7</v>
      </c>
      <c r="Y220" s="143">
        <f t="shared" si="34"/>
        <v>4</v>
      </c>
      <c r="Z220" s="143">
        <f t="shared" si="34"/>
        <v>10</v>
      </c>
      <c r="AA220" s="143">
        <f t="shared" si="34"/>
        <v>3</v>
      </c>
      <c r="AB220" s="143">
        <f t="shared" si="34"/>
        <v>3</v>
      </c>
      <c r="AC220" s="143">
        <f t="shared" si="34"/>
        <v>3</v>
      </c>
      <c r="AD220" s="143">
        <f t="shared" si="34"/>
        <v>3</v>
      </c>
      <c r="AE220" s="143">
        <f t="shared" si="34"/>
        <v>4</v>
      </c>
      <c r="AF220" s="143">
        <f t="shared" si="34"/>
        <v>8</v>
      </c>
      <c r="AG220" s="86">
        <f t="shared" si="32"/>
        <v>216</v>
      </c>
    </row>
    <row r="221" spans="1:34" ht="18.75" x14ac:dyDescent="0.25">
      <c r="A221" s="349" t="s">
        <v>165</v>
      </c>
      <c r="B221" s="355">
        <v>0</v>
      </c>
      <c r="C221" s="218">
        <v>0</v>
      </c>
      <c r="D221" s="218">
        <v>0</v>
      </c>
      <c r="E221" s="218">
        <v>1</v>
      </c>
      <c r="F221" s="218">
        <v>1</v>
      </c>
      <c r="G221" s="218">
        <v>0</v>
      </c>
      <c r="H221" s="218">
        <v>0</v>
      </c>
      <c r="I221" s="218">
        <v>0</v>
      </c>
      <c r="J221" s="218">
        <v>0</v>
      </c>
      <c r="K221" s="218">
        <v>0</v>
      </c>
      <c r="L221" s="218">
        <v>0</v>
      </c>
      <c r="M221" s="218">
        <v>0</v>
      </c>
      <c r="N221" s="218">
        <v>0</v>
      </c>
      <c r="O221" s="218">
        <v>0</v>
      </c>
      <c r="P221" s="218">
        <v>0</v>
      </c>
      <c r="Q221" s="218">
        <v>0</v>
      </c>
      <c r="R221" s="218">
        <v>0</v>
      </c>
      <c r="S221" s="218">
        <v>0</v>
      </c>
      <c r="T221" s="218">
        <v>0</v>
      </c>
      <c r="U221" s="218">
        <v>0</v>
      </c>
      <c r="V221" s="218">
        <v>0</v>
      </c>
      <c r="W221" s="218">
        <v>0</v>
      </c>
      <c r="X221" s="218">
        <v>0</v>
      </c>
      <c r="Y221" s="218">
        <v>0</v>
      </c>
      <c r="Z221" s="218">
        <v>0</v>
      </c>
      <c r="AA221" s="218">
        <v>0</v>
      </c>
      <c r="AB221" s="218">
        <v>0</v>
      </c>
      <c r="AC221" s="218">
        <v>1</v>
      </c>
      <c r="AD221" s="218">
        <v>0</v>
      </c>
      <c r="AE221" s="218">
        <v>0</v>
      </c>
      <c r="AF221" s="218">
        <v>0</v>
      </c>
      <c r="AG221" s="225">
        <f t="shared" si="32"/>
        <v>3</v>
      </c>
    </row>
    <row r="222" spans="1:34" ht="18.75" x14ac:dyDescent="0.25">
      <c r="A222" s="350" t="s">
        <v>166</v>
      </c>
      <c r="B222" s="273">
        <v>8</v>
      </c>
      <c r="C222" s="124">
        <v>12</v>
      </c>
      <c r="D222" s="124">
        <v>11</v>
      </c>
      <c r="E222" s="124">
        <v>16</v>
      </c>
      <c r="F222" s="124">
        <v>7</v>
      </c>
      <c r="G222" s="124">
        <v>10</v>
      </c>
      <c r="H222" s="124">
        <v>12</v>
      </c>
      <c r="I222" s="124">
        <v>1</v>
      </c>
      <c r="J222" s="124">
        <v>11</v>
      </c>
      <c r="K222" s="124">
        <v>9</v>
      </c>
      <c r="L222" s="124">
        <v>5</v>
      </c>
      <c r="M222" s="124">
        <v>7</v>
      </c>
      <c r="N222" s="124">
        <v>6</v>
      </c>
      <c r="O222" s="124">
        <v>1</v>
      </c>
      <c r="P222" s="124">
        <v>0</v>
      </c>
      <c r="Q222" s="124">
        <v>9</v>
      </c>
      <c r="R222" s="124">
        <v>5</v>
      </c>
      <c r="S222" s="124">
        <v>19</v>
      </c>
      <c r="T222" s="124">
        <v>3</v>
      </c>
      <c r="U222" s="124">
        <v>3</v>
      </c>
      <c r="V222" s="124">
        <v>12</v>
      </c>
      <c r="W222" s="124">
        <v>2</v>
      </c>
      <c r="X222" s="124">
        <v>7</v>
      </c>
      <c r="Y222" s="124">
        <v>4</v>
      </c>
      <c r="Z222" s="124">
        <v>10</v>
      </c>
      <c r="AA222" s="124">
        <v>3</v>
      </c>
      <c r="AB222" s="124">
        <v>3</v>
      </c>
      <c r="AC222" s="124">
        <v>2</v>
      </c>
      <c r="AD222" s="124">
        <v>3</v>
      </c>
      <c r="AE222" s="124">
        <v>4</v>
      </c>
      <c r="AF222" s="124">
        <v>8</v>
      </c>
      <c r="AG222" s="122">
        <f t="shared" si="32"/>
        <v>213</v>
      </c>
    </row>
    <row r="223" spans="1:34" ht="19.5" thickBot="1" x14ac:dyDescent="0.3">
      <c r="A223" s="324" t="s">
        <v>167</v>
      </c>
      <c r="B223" s="263">
        <v>0</v>
      </c>
      <c r="C223" s="140">
        <v>0</v>
      </c>
      <c r="D223" s="140">
        <v>0</v>
      </c>
      <c r="E223" s="140">
        <v>0</v>
      </c>
      <c r="F223" s="140">
        <v>0</v>
      </c>
      <c r="G223" s="140">
        <v>0</v>
      </c>
      <c r="H223" s="140">
        <v>0</v>
      </c>
      <c r="I223" s="140">
        <v>0</v>
      </c>
      <c r="J223" s="140">
        <v>0</v>
      </c>
      <c r="K223" s="140">
        <v>0</v>
      </c>
      <c r="L223" s="140">
        <v>0</v>
      </c>
      <c r="M223" s="140">
        <v>0</v>
      </c>
      <c r="N223" s="140">
        <v>0</v>
      </c>
      <c r="O223" s="140">
        <v>0</v>
      </c>
      <c r="P223" s="140">
        <v>0</v>
      </c>
      <c r="Q223" s="140">
        <v>0</v>
      </c>
      <c r="R223" s="140">
        <v>0</v>
      </c>
      <c r="S223" s="140">
        <v>0</v>
      </c>
      <c r="T223" s="140">
        <v>0</v>
      </c>
      <c r="U223" s="140">
        <v>0</v>
      </c>
      <c r="V223" s="140">
        <v>0</v>
      </c>
      <c r="W223" s="140">
        <v>0</v>
      </c>
      <c r="X223" s="140">
        <v>0</v>
      </c>
      <c r="Y223" s="140">
        <v>0</v>
      </c>
      <c r="Z223" s="140">
        <v>0</v>
      </c>
      <c r="AA223" s="140">
        <v>0</v>
      </c>
      <c r="AB223" s="140">
        <v>0</v>
      </c>
      <c r="AC223" s="140">
        <v>0</v>
      </c>
      <c r="AD223" s="140">
        <v>0</v>
      </c>
      <c r="AE223" s="140">
        <v>0</v>
      </c>
      <c r="AF223" s="140">
        <v>0</v>
      </c>
      <c r="AG223" s="138">
        <f t="shared" si="32"/>
        <v>0</v>
      </c>
    </row>
    <row r="224" spans="1:34" ht="18.75" x14ac:dyDescent="0.25">
      <c r="A224" s="351" t="s">
        <v>4</v>
      </c>
      <c r="B224" s="265">
        <f t="shared" ref="B224:AF224" si="35">SUM(B225:B227)</f>
        <v>2</v>
      </c>
      <c r="C224" s="8">
        <f t="shared" si="35"/>
        <v>10</v>
      </c>
      <c r="D224" s="8">
        <f t="shared" si="35"/>
        <v>10</v>
      </c>
      <c r="E224" s="8">
        <f t="shared" si="35"/>
        <v>7</v>
      </c>
      <c r="F224" s="8">
        <f t="shared" si="35"/>
        <v>7</v>
      </c>
      <c r="G224" s="8">
        <f t="shared" si="35"/>
        <v>7</v>
      </c>
      <c r="H224" s="8">
        <f t="shared" si="35"/>
        <v>4</v>
      </c>
      <c r="I224" s="8">
        <f t="shared" si="35"/>
        <v>3</v>
      </c>
      <c r="J224" s="8">
        <f t="shared" si="35"/>
        <v>6</v>
      </c>
      <c r="K224" s="8">
        <f t="shared" si="35"/>
        <v>10</v>
      </c>
      <c r="L224" s="8">
        <f t="shared" si="35"/>
        <v>9</v>
      </c>
      <c r="M224" s="8">
        <f t="shared" si="35"/>
        <v>9</v>
      </c>
      <c r="N224" s="8">
        <f t="shared" si="35"/>
        <v>9</v>
      </c>
      <c r="O224" s="8">
        <f t="shared" si="35"/>
        <v>6</v>
      </c>
      <c r="P224" s="8">
        <f t="shared" si="35"/>
        <v>8</v>
      </c>
      <c r="Q224" s="8">
        <f t="shared" si="35"/>
        <v>8</v>
      </c>
      <c r="R224" s="8">
        <f t="shared" si="35"/>
        <v>8</v>
      </c>
      <c r="S224" s="8">
        <f t="shared" si="35"/>
        <v>10</v>
      </c>
      <c r="T224" s="8">
        <f t="shared" si="35"/>
        <v>4</v>
      </c>
      <c r="U224" s="8">
        <f t="shared" si="35"/>
        <v>8</v>
      </c>
      <c r="V224" s="8">
        <f t="shared" si="35"/>
        <v>1</v>
      </c>
      <c r="W224" s="8">
        <f t="shared" si="35"/>
        <v>4</v>
      </c>
      <c r="X224" s="8">
        <f t="shared" si="35"/>
        <v>2</v>
      </c>
      <c r="Y224" s="8">
        <f t="shared" si="35"/>
        <v>8</v>
      </c>
      <c r="Z224" s="8">
        <f t="shared" si="35"/>
        <v>5</v>
      </c>
      <c r="AA224" s="8">
        <f t="shared" si="35"/>
        <v>7</v>
      </c>
      <c r="AB224" s="8">
        <f t="shared" si="35"/>
        <v>8</v>
      </c>
      <c r="AC224" s="8">
        <f t="shared" si="35"/>
        <v>7</v>
      </c>
      <c r="AD224" s="8">
        <f t="shared" si="35"/>
        <v>8</v>
      </c>
      <c r="AE224" s="8">
        <f t="shared" si="35"/>
        <v>9</v>
      </c>
      <c r="AF224" s="8">
        <f t="shared" si="35"/>
        <v>5</v>
      </c>
      <c r="AG224" s="7">
        <f t="shared" ref="AG224:AG227" si="36">SUM(B224:AF224)</f>
        <v>209</v>
      </c>
      <c r="AH224" s="406" t="s">
        <v>3</v>
      </c>
    </row>
    <row r="225" spans="1:34" ht="18.75" x14ac:dyDescent="0.25">
      <c r="A225" s="352" t="s">
        <v>2</v>
      </c>
      <c r="B225" s="5">
        <v>2</v>
      </c>
      <c r="C225" s="3">
        <v>8</v>
      </c>
      <c r="D225" s="3">
        <v>5</v>
      </c>
      <c r="E225" s="3">
        <v>4</v>
      </c>
      <c r="F225" s="3">
        <v>5</v>
      </c>
      <c r="G225" s="3">
        <v>3</v>
      </c>
      <c r="H225" s="3">
        <v>2</v>
      </c>
      <c r="I225" s="3">
        <v>0</v>
      </c>
      <c r="J225" s="3">
        <v>3</v>
      </c>
      <c r="K225" s="3">
        <v>5</v>
      </c>
      <c r="L225" s="3">
        <v>4</v>
      </c>
      <c r="M225" s="3">
        <v>3</v>
      </c>
      <c r="N225" s="5">
        <v>6</v>
      </c>
      <c r="O225" s="3">
        <v>1</v>
      </c>
      <c r="P225" s="3">
        <v>2</v>
      </c>
      <c r="Q225" s="3">
        <v>3</v>
      </c>
      <c r="R225" s="3">
        <v>5</v>
      </c>
      <c r="S225" s="3">
        <v>6</v>
      </c>
      <c r="T225" s="3">
        <v>1</v>
      </c>
      <c r="U225" s="3">
        <v>4</v>
      </c>
      <c r="V225" s="3">
        <v>0</v>
      </c>
      <c r="W225" s="3">
        <v>1</v>
      </c>
      <c r="X225" s="3">
        <v>0</v>
      </c>
      <c r="Y225" s="3">
        <v>4</v>
      </c>
      <c r="Z225" s="4">
        <v>1</v>
      </c>
      <c r="AA225" s="3">
        <v>4</v>
      </c>
      <c r="AB225" s="3">
        <v>3</v>
      </c>
      <c r="AC225" s="3">
        <v>3</v>
      </c>
      <c r="AD225" s="3">
        <v>3</v>
      </c>
      <c r="AE225" s="3">
        <v>4</v>
      </c>
      <c r="AF225" s="2">
        <v>5</v>
      </c>
      <c r="AG225" s="1">
        <f t="shared" si="36"/>
        <v>100</v>
      </c>
      <c r="AH225" s="407"/>
    </row>
    <row r="226" spans="1:34" ht="18.75" x14ac:dyDescent="0.25">
      <c r="A226" s="352" t="s">
        <v>1</v>
      </c>
      <c r="B226" s="5">
        <v>0</v>
      </c>
      <c r="C226" s="3">
        <v>2</v>
      </c>
      <c r="D226" s="3">
        <v>5</v>
      </c>
      <c r="E226" s="3">
        <v>3</v>
      </c>
      <c r="F226" s="3">
        <v>2</v>
      </c>
      <c r="G226" s="3">
        <v>4</v>
      </c>
      <c r="H226" s="3">
        <v>2</v>
      </c>
      <c r="I226" s="3">
        <v>3</v>
      </c>
      <c r="J226" s="3">
        <v>3</v>
      </c>
      <c r="K226" s="3">
        <v>5</v>
      </c>
      <c r="L226" s="3">
        <v>5</v>
      </c>
      <c r="M226" s="3">
        <v>6</v>
      </c>
      <c r="N226" s="5">
        <v>3</v>
      </c>
      <c r="O226" s="3">
        <v>5</v>
      </c>
      <c r="P226" s="3">
        <v>6</v>
      </c>
      <c r="Q226" s="3">
        <v>5</v>
      </c>
      <c r="R226" s="3">
        <v>3</v>
      </c>
      <c r="S226" s="3">
        <v>4</v>
      </c>
      <c r="T226" s="3">
        <v>3</v>
      </c>
      <c r="U226" s="3">
        <v>4</v>
      </c>
      <c r="V226" s="3">
        <v>1</v>
      </c>
      <c r="W226" s="3">
        <v>3</v>
      </c>
      <c r="X226" s="3">
        <v>2</v>
      </c>
      <c r="Y226" s="3">
        <v>4</v>
      </c>
      <c r="Z226" s="4">
        <v>4</v>
      </c>
      <c r="AA226" s="3">
        <v>3</v>
      </c>
      <c r="AB226" s="3">
        <v>5</v>
      </c>
      <c r="AC226" s="3">
        <v>4</v>
      </c>
      <c r="AD226" s="3">
        <v>5</v>
      </c>
      <c r="AE226" s="3">
        <v>5</v>
      </c>
      <c r="AF226" s="2">
        <v>0</v>
      </c>
      <c r="AG226" s="1">
        <f t="shared" si="36"/>
        <v>109</v>
      </c>
      <c r="AH226" s="407"/>
    </row>
    <row r="227" spans="1:34" ht="19.5" thickBot="1" x14ac:dyDescent="0.3">
      <c r="A227" s="353" t="s">
        <v>0</v>
      </c>
      <c r="B227" s="297"/>
      <c r="C227" s="240"/>
      <c r="D227" s="240"/>
      <c r="E227" s="240"/>
      <c r="F227" s="240"/>
      <c r="G227" s="240"/>
      <c r="H227" s="240"/>
      <c r="I227" s="240"/>
      <c r="J227" s="240"/>
      <c r="K227" s="241"/>
      <c r="L227" s="241"/>
      <c r="M227" s="241"/>
      <c r="N227" s="242"/>
      <c r="O227" s="243"/>
      <c r="P227" s="243"/>
      <c r="Q227" s="243"/>
      <c r="R227" s="243"/>
      <c r="S227" s="243"/>
      <c r="T227" s="243"/>
      <c r="U227" s="243"/>
      <c r="V227" s="243"/>
      <c r="W227" s="243"/>
      <c r="X227" s="243"/>
      <c r="Y227" s="243"/>
      <c r="Z227" s="243"/>
      <c r="AA227" s="243"/>
      <c r="AB227" s="243"/>
      <c r="AC227" s="243"/>
      <c r="AD227" s="243"/>
      <c r="AE227" s="243"/>
      <c r="AF227" s="244"/>
      <c r="AG227" s="10">
        <f t="shared" si="36"/>
        <v>0</v>
      </c>
      <c r="AH227" s="408"/>
    </row>
    <row r="247" ht="18.75" customHeight="1" x14ac:dyDescent="0.25"/>
    <row r="248" ht="18.75" customHeight="1" x14ac:dyDescent="0.25"/>
    <row r="249" ht="18.75" customHeight="1" x14ac:dyDescent="0.25"/>
    <row r="250" ht="18.75" customHeight="1" x14ac:dyDescent="0.25"/>
    <row r="251" ht="18.75" customHeight="1" x14ac:dyDescent="0.25"/>
    <row r="252" ht="18.75" customHeight="1" x14ac:dyDescent="0.25"/>
    <row r="253" ht="18.75" customHeight="1" x14ac:dyDescent="0.25"/>
    <row r="254" ht="18.75" customHeight="1" x14ac:dyDescent="0.25"/>
    <row r="255" ht="18.75" customHeight="1" x14ac:dyDescent="0.25"/>
    <row r="256" ht="18.75" customHeight="1" x14ac:dyDescent="0.25"/>
    <row r="257" ht="18.75" customHeight="1" x14ac:dyDescent="0.25"/>
    <row r="258" ht="19.5" customHeight="1" x14ac:dyDescent="0.25"/>
    <row r="260" ht="18.75" customHeight="1" x14ac:dyDescent="0.25"/>
    <row r="263" ht="18.75" customHeight="1" x14ac:dyDescent="0.25"/>
  </sheetData>
  <dataConsolidate link="1"/>
  <mergeCells count="3">
    <mergeCell ref="A1:AG1"/>
    <mergeCell ref="AI84:AI86"/>
    <mergeCell ref="AH224:AH227"/>
  </mergeCells>
  <conditionalFormatting sqref="B29:AF52">
    <cfRule type="cellIs" dxfId="49" priority="6" operator="lessThan">
      <formula>0</formula>
    </cfRule>
  </conditionalFormatting>
  <conditionalFormatting sqref="D54:D77">
    <cfRule type="cellIs" dxfId="48" priority="2" operator="lessThan">
      <formula>0</formula>
    </cfRule>
  </conditionalFormatting>
  <conditionalFormatting sqref="G54:G77">
    <cfRule type="cellIs" dxfId="47" priority="1" operator="lessThan">
      <formula>0</formula>
    </cfRule>
  </conditionalFormatting>
  <conditionalFormatting sqref="AH81">
    <cfRule type="cellIs" dxfId="46" priority="4" operator="equal">
      <formula>"*"</formula>
    </cfRule>
  </conditionalFormatting>
  <conditionalFormatting sqref="AH84 AH87">
    <cfRule type="cellIs" dxfId="45" priority="5" operator="equal">
      <formula>"*"</formula>
    </cfRule>
  </conditionalFormatting>
  <conditionalFormatting sqref="AH93">
    <cfRule type="cellIs" dxfId="44" priority="10" operator="equal">
      <formula>"*"</formula>
    </cfRule>
  </conditionalFormatting>
  <conditionalFormatting sqref="AH130">
    <cfRule type="cellIs" dxfId="43" priority="8" operator="equal">
      <formula>"*"</formula>
    </cfRule>
  </conditionalFormatting>
  <conditionalFormatting sqref="AH144:AH145">
    <cfRule type="cellIs" dxfId="42" priority="9" operator="equal">
      <formula>"*"</formula>
    </cfRule>
  </conditionalFormatting>
  <conditionalFormatting sqref="AH182">
    <cfRule type="cellIs" dxfId="41" priority="7" operator="equal">
      <formula>"*"</formula>
    </cfRule>
  </conditionalFormatting>
  <conditionalFormatting sqref="AH209">
    <cfRule type="cellIs" dxfId="40" priority="3" operator="equal">
      <formula>"X"</formula>
    </cfRule>
  </conditionalFormatting>
  <dataValidations disablePrompts="1" count="1">
    <dataValidation type="whole" allowBlank="1" showInputMessage="1" showErrorMessage="1" errorTitle="ERROR" error="Por favor ingrese solo Números" sqref="A98:A99 A101:A115" xr:uid="{F09A5942-D648-4B25-B401-CE0186D33A78}">
      <formula1>0</formula1>
      <formula2>1000000000</formula2>
    </dataValidation>
  </dataValidations>
  <pageMargins left="0.7" right="0.7" top="0.75" bottom="0.75" header="0.3" footer="0.3"/>
  <pageSetup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5581E-06EE-4CE8-9F14-74FDF31FAE76}">
  <sheetPr codeName="Hoja11"/>
  <dimension ref="A1:AI263"/>
  <sheetViews>
    <sheetView zoomScale="80" zoomScaleNormal="80" workbookViewId="0">
      <pane xSplit="1" ySplit="3" topLeftCell="B4" activePane="bottomRight" state="frozen"/>
      <selection activeCell="AG3" sqref="AG3"/>
      <selection pane="topRight" activeCell="AG3" sqref="AG3"/>
      <selection pane="bottomLeft" activeCell="AG3" sqref="AG3"/>
      <selection pane="bottomRight" activeCell="B4" sqref="B4"/>
    </sheetView>
  </sheetViews>
  <sheetFormatPr baseColWidth="10" defaultRowHeight="15" x14ac:dyDescent="0.25"/>
  <cols>
    <col min="1" max="1" width="34.7109375" customWidth="1"/>
    <col min="2" max="13" width="8.28515625" customWidth="1"/>
    <col min="14" max="14" width="10.140625" customWidth="1"/>
    <col min="15" max="27" width="8.28515625" customWidth="1"/>
    <col min="28" max="28" width="9.7109375" customWidth="1"/>
    <col min="29" max="32" width="8.28515625" customWidth="1"/>
    <col min="33" max="33" width="11.140625" customWidth="1"/>
    <col min="34" max="34" width="12.42578125" customWidth="1"/>
  </cols>
  <sheetData>
    <row r="1" spans="1:33" ht="21.75" thickBot="1" x14ac:dyDescent="0.3">
      <c r="A1" s="400"/>
      <c r="B1" s="401"/>
      <c r="C1" s="401"/>
      <c r="D1" s="401"/>
      <c r="E1" s="401"/>
      <c r="F1" s="401"/>
      <c r="G1" s="401"/>
      <c r="H1" s="401"/>
      <c r="I1" s="401"/>
      <c r="J1" s="401"/>
      <c r="K1" s="401"/>
      <c r="L1" s="401"/>
      <c r="M1" s="401"/>
      <c r="N1" s="401"/>
      <c r="O1" s="401"/>
      <c r="P1" s="401"/>
      <c r="Q1" s="401"/>
      <c r="R1" s="401"/>
      <c r="S1" s="401"/>
      <c r="T1" s="401"/>
      <c r="U1" s="401"/>
      <c r="V1" s="401"/>
      <c r="W1" s="401"/>
      <c r="X1" s="401"/>
      <c r="Y1" s="401"/>
      <c r="Z1" s="401"/>
      <c r="AA1" s="401"/>
      <c r="AB1" s="401"/>
      <c r="AC1" s="401"/>
      <c r="AD1" s="401"/>
      <c r="AE1" s="401"/>
      <c r="AF1" s="401"/>
      <c r="AG1" s="402"/>
    </row>
    <row r="2" spans="1:33" ht="21.75" thickBot="1" x14ac:dyDescent="0.3">
      <c r="A2" s="298" t="s">
        <v>160</v>
      </c>
      <c r="B2" s="246">
        <v>1</v>
      </c>
      <c r="C2" s="215">
        <f t="shared" ref="C2:AA2" si="0">+B2+1</f>
        <v>2</v>
      </c>
      <c r="D2" s="215">
        <f t="shared" si="0"/>
        <v>3</v>
      </c>
      <c r="E2" s="217">
        <f t="shared" si="0"/>
        <v>4</v>
      </c>
      <c r="F2" s="217">
        <f t="shared" si="0"/>
        <v>5</v>
      </c>
      <c r="G2" s="215">
        <f t="shared" si="0"/>
        <v>6</v>
      </c>
      <c r="H2" s="215">
        <f t="shared" si="0"/>
        <v>7</v>
      </c>
      <c r="I2" s="215">
        <f t="shared" si="0"/>
        <v>8</v>
      </c>
      <c r="J2" s="215">
        <f t="shared" si="0"/>
        <v>9</v>
      </c>
      <c r="K2" s="215">
        <f t="shared" si="0"/>
        <v>10</v>
      </c>
      <c r="L2" s="217">
        <f t="shared" si="0"/>
        <v>11</v>
      </c>
      <c r="M2" s="217">
        <f t="shared" si="0"/>
        <v>12</v>
      </c>
      <c r="N2" s="215">
        <f t="shared" si="0"/>
        <v>13</v>
      </c>
      <c r="O2" s="215">
        <f t="shared" si="0"/>
        <v>14</v>
      </c>
      <c r="P2" s="215">
        <f t="shared" si="0"/>
        <v>15</v>
      </c>
      <c r="Q2" s="215">
        <f t="shared" si="0"/>
        <v>16</v>
      </c>
      <c r="R2" s="217">
        <f t="shared" si="0"/>
        <v>17</v>
      </c>
      <c r="S2" s="217">
        <f t="shared" si="0"/>
        <v>18</v>
      </c>
      <c r="T2" s="217">
        <f t="shared" si="0"/>
        <v>19</v>
      </c>
      <c r="U2" s="215">
        <f t="shared" si="0"/>
        <v>20</v>
      </c>
      <c r="V2" s="215">
        <f t="shared" si="0"/>
        <v>21</v>
      </c>
      <c r="W2" s="215">
        <f t="shared" si="0"/>
        <v>22</v>
      </c>
      <c r="X2" s="215">
        <f t="shared" si="0"/>
        <v>23</v>
      </c>
      <c r="Y2" s="215">
        <f t="shared" si="0"/>
        <v>24</v>
      </c>
      <c r="Z2" s="217">
        <f t="shared" si="0"/>
        <v>25</v>
      </c>
      <c r="AA2" s="217">
        <f t="shared" si="0"/>
        <v>26</v>
      </c>
      <c r="AB2" s="215">
        <v>27</v>
      </c>
      <c r="AC2" s="215">
        <f>+AB2+1</f>
        <v>28</v>
      </c>
      <c r="AD2" s="215">
        <v>29</v>
      </c>
      <c r="AE2" s="215">
        <v>30</v>
      </c>
      <c r="AF2" s="215">
        <v>31</v>
      </c>
      <c r="AG2" s="214" t="s">
        <v>148</v>
      </c>
    </row>
    <row r="3" spans="1:33" ht="19.5" thickBot="1" x14ac:dyDescent="0.3">
      <c r="A3" s="299" t="s">
        <v>147</v>
      </c>
      <c r="B3" s="247">
        <f t="shared" ref="B3:AF3" si="1">SUM(B4:B27)</f>
        <v>140</v>
      </c>
      <c r="C3" s="120">
        <f t="shared" si="1"/>
        <v>130</v>
      </c>
      <c r="D3" s="120">
        <f t="shared" si="1"/>
        <v>130</v>
      </c>
      <c r="E3" s="120">
        <f t="shared" si="1"/>
        <v>142</v>
      </c>
      <c r="F3" s="120">
        <f t="shared" si="1"/>
        <v>122</v>
      </c>
      <c r="G3" s="120">
        <f t="shared" si="1"/>
        <v>132</v>
      </c>
      <c r="H3" s="120">
        <f t="shared" si="1"/>
        <v>134</v>
      </c>
      <c r="I3" s="120">
        <f t="shared" si="1"/>
        <v>147</v>
      </c>
      <c r="J3" s="120">
        <f t="shared" si="1"/>
        <v>96</v>
      </c>
      <c r="K3" s="120">
        <f t="shared" si="1"/>
        <v>106</v>
      </c>
      <c r="L3" s="120">
        <f t="shared" si="1"/>
        <v>78</v>
      </c>
      <c r="M3" s="120">
        <f t="shared" si="1"/>
        <v>111</v>
      </c>
      <c r="N3" s="120">
        <f t="shared" si="1"/>
        <v>153</v>
      </c>
      <c r="O3" s="120">
        <f t="shared" si="1"/>
        <v>112</v>
      </c>
      <c r="P3" s="120">
        <f t="shared" si="1"/>
        <v>128</v>
      </c>
      <c r="Q3" s="120">
        <f t="shared" si="1"/>
        <v>114</v>
      </c>
      <c r="R3" s="120">
        <f t="shared" si="1"/>
        <v>151</v>
      </c>
      <c r="S3" s="120">
        <f t="shared" si="1"/>
        <v>111</v>
      </c>
      <c r="T3" s="120">
        <f t="shared" si="1"/>
        <v>124</v>
      </c>
      <c r="U3" s="120">
        <f t="shared" si="1"/>
        <v>177</v>
      </c>
      <c r="V3" s="120">
        <f t="shared" si="1"/>
        <v>166</v>
      </c>
      <c r="W3" s="120">
        <f t="shared" si="1"/>
        <v>133</v>
      </c>
      <c r="X3" s="120">
        <f t="shared" si="1"/>
        <v>144</v>
      </c>
      <c r="Y3" s="120">
        <f t="shared" si="1"/>
        <v>134</v>
      </c>
      <c r="Z3" s="120">
        <f t="shared" si="1"/>
        <v>179</v>
      </c>
      <c r="AA3" s="120">
        <f t="shared" si="1"/>
        <v>165</v>
      </c>
      <c r="AB3" s="120">
        <f t="shared" si="1"/>
        <v>171</v>
      </c>
      <c r="AC3" s="120">
        <f t="shared" si="1"/>
        <v>151</v>
      </c>
      <c r="AD3" s="120">
        <f t="shared" si="1"/>
        <v>118</v>
      </c>
      <c r="AE3" s="120">
        <f t="shared" si="1"/>
        <v>127</v>
      </c>
      <c r="AF3" s="120">
        <f t="shared" si="1"/>
        <v>0</v>
      </c>
      <c r="AG3" s="118">
        <f t="shared" ref="AG3:AG66" si="2">SUM(B3:AF3)</f>
        <v>4026</v>
      </c>
    </row>
    <row r="4" spans="1:33" ht="18.75" x14ac:dyDescent="0.25">
      <c r="A4" s="300" t="s">
        <v>144</v>
      </c>
      <c r="B4" s="248">
        <v>3</v>
      </c>
      <c r="C4" s="199">
        <v>3</v>
      </c>
      <c r="D4" s="199">
        <v>4</v>
      </c>
      <c r="E4" s="199">
        <v>4</v>
      </c>
      <c r="F4" s="199">
        <v>1</v>
      </c>
      <c r="G4" s="199">
        <v>3</v>
      </c>
      <c r="H4" s="199">
        <v>1</v>
      </c>
      <c r="I4" s="199">
        <v>7</v>
      </c>
      <c r="J4" s="199">
        <v>2</v>
      </c>
      <c r="K4" s="199"/>
      <c r="L4" s="199">
        <v>1</v>
      </c>
      <c r="M4" s="199">
        <v>1</v>
      </c>
      <c r="N4" s="199"/>
      <c r="O4" s="199"/>
      <c r="P4" s="199">
        <v>2</v>
      </c>
      <c r="Q4" s="199">
        <v>2</v>
      </c>
      <c r="R4" s="199">
        <v>12</v>
      </c>
      <c r="S4" s="199">
        <v>2</v>
      </c>
      <c r="T4" s="199">
        <v>3</v>
      </c>
      <c r="U4" s="199">
        <v>2</v>
      </c>
      <c r="V4" s="199">
        <v>7</v>
      </c>
      <c r="W4" s="199">
        <v>2</v>
      </c>
      <c r="X4" s="199">
        <v>3</v>
      </c>
      <c r="Y4" s="199"/>
      <c r="Z4" s="199">
        <v>2</v>
      </c>
      <c r="AA4" s="199">
        <v>4</v>
      </c>
      <c r="AB4" s="199">
        <v>5</v>
      </c>
      <c r="AC4" s="199">
        <v>1</v>
      </c>
      <c r="AD4" s="199"/>
      <c r="AE4" s="199">
        <v>1</v>
      </c>
      <c r="AF4" s="206"/>
      <c r="AG4" s="134">
        <f t="shared" si="2"/>
        <v>78</v>
      </c>
    </row>
    <row r="5" spans="1:33" ht="18.75" x14ac:dyDescent="0.25">
      <c r="A5" s="301" t="s">
        <v>143</v>
      </c>
      <c r="B5" s="249">
        <v>3</v>
      </c>
      <c r="C5" s="162">
        <v>3</v>
      </c>
      <c r="D5" s="162">
        <v>1</v>
      </c>
      <c r="E5" s="162">
        <v>10</v>
      </c>
      <c r="F5" s="162">
        <v>2</v>
      </c>
      <c r="G5" s="162">
        <v>3</v>
      </c>
      <c r="H5" s="162">
        <v>1</v>
      </c>
      <c r="I5" s="162">
        <v>5</v>
      </c>
      <c r="J5" s="162">
        <v>2</v>
      </c>
      <c r="K5" s="162">
        <v>1</v>
      </c>
      <c r="L5" s="162">
        <v>5</v>
      </c>
      <c r="M5" s="162">
        <v>6</v>
      </c>
      <c r="N5" s="162">
        <v>3</v>
      </c>
      <c r="O5" s="162">
        <v>2</v>
      </c>
      <c r="P5" s="162">
        <v>4</v>
      </c>
      <c r="Q5" s="162">
        <v>2</v>
      </c>
      <c r="R5" s="162">
        <v>13</v>
      </c>
      <c r="S5" s="162">
        <v>3</v>
      </c>
      <c r="T5" s="162">
        <v>1</v>
      </c>
      <c r="U5" s="162">
        <v>5</v>
      </c>
      <c r="V5" s="162">
        <v>2</v>
      </c>
      <c r="W5" s="162">
        <v>4</v>
      </c>
      <c r="X5" s="162">
        <v>3</v>
      </c>
      <c r="Y5" s="162">
        <v>2</v>
      </c>
      <c r="Z5" s="162">
        <v>4</v>
      </c>
      <c r="AA5" s="162">
        <v>9</v>
      </c>
      <c r="AB5" s="162">
        <v>8</v>
      </c>
      <c r="AC5" s="162">
        <v>4</v>
      </c>
      <c r="AD5" s="162">
        <v>3</v>
      </c>
      <c r="AE5" s="162">
        <v>2</v>
      </c>
      <c r="AF5" s="161"/>
      <c r="AG5" s="64">
        <f t="shared" si="2"/>
        <v>116</v>
      </c>
    </row>
    <row r="6" spans="1:33" ht="18.75" x14ac:dyDescent="0.25">
      <c r="A6" s="301" t="s">
        <v>142</v>
      </c>
      <c r="B6" s="249">
        <v>1</v>
      </c>
      <c r="C6" s="162">
        <v>6</v>
      </c>
      <c r="D6" s="162">
        <v>3</v>
      </c>
      <c r="E6" s="162">
        <v>10</v>
      </c>
      <c r="F6" s="162">
        <v>7</v>
      </c>
      <c r="G6" s="162">
        <v>2</v>
      </c>
      <c r="H6" s="162">
        <v>3</v>
      </c>
      <c r="I6" s="162">
        <v>5</v>
      </c>
      <c r="J6" s="162">
        <v>1</v>
      </c>
      <c r="K6" s="162"/>
      <c r="L6" s="162">
        <v>8</v>
      </c>
      <c r="M6" s="162">
        <v>11</v>
      </c>
      <c r="N6" s="162">
        <v>4</v>
      </c>
      <c r="O6" s="162"/>
      <c r="P6" s="162">
        <v>1</v>
      </c>
      <c r="Q6" s="162">
        <v>4</v>
      </c>
      <c r="R6" s="162">
        <v>9</v>
      </c>
      <c r="S6" s="162">
        <v>11</v>
      </c>
      <c r="T6" s="162">
        <v>4</v>
      </c>
      <c r="U6" s="162">
        <v>4</v>
      </c>
      <c r="V6" s="162">
        <v>4</v>
      </c>
      <c r="W6" s="162">
        <v>2</v>
      </c>
      <c r="X6" s="162">
        <v>4</v>
      </c>
      <c r="Y6" s="162">
        <v>5</v>
      </c>
      <c r="Z6" s="162">
        <v>10</v>
      </c>
      <c r="AA6" s="162">
        <v>4</v>
      </c>
      <c r="AB6" s="162">
        <v>3</v>
      </c>
      <c r="AC6" s="162">
        <v>5</v>
      </c>
      <c r="AD6" s="162">
        <v>2</v>
      </c>
      <c r="AE6" s="162">
        <v>1</v>
      </c>
      <c r="AF6" s="161"/>
      <c r="AG6" s="64">
        <f t="shared" si="2"/>
        <v>134</v>
      </c>
    </row>
    <row r="7" spans="1:33" ht="18.75" x14ac:dyDescent="0.25">
      <c r="A7" s="301" t="s">
        <v>141</v>
      </c>
      <c r="B7" s="249">
        <v>6</v>
      </c>
      <c r="C7" s="162">
        <v>1</v>
      </c>
      <c r="D7" s="162">
        <v>3</v>
      </c>
      <c r="E7" s="162">
        <v>8</v>
      </c>
      <c r="F7" s="162">
        <v>9</v>
      </c>
      <c r="G7" s="162">
        <v>2</v>
      </c>
      <c r="H7" s="162">
        <v>4</v>
      </c>
      <c r="I7" s="162">
        <v>1</v>
      </c>
      <c r="J7" s="162">
        <v>1</v>
      </c>
      <c r="K7" s="162">
        <v>2</v>
      </c>
      <c r="L7" s="162">
        <v>9</v>
      </c>
      <c r="M7" s="162">
        <v>10</v>
      </c>
      <c r="N7" s="162">
        <v>5</v>
      </c>
      <c r="O7" s="162">
        <v>3</v>
      </c>
      <c r="P7" s="162">
        <v>1</v>
      </c>
      <c r="Q7" s="162">
        <v>3</v>
      </c>
      <c r="R7" s="162">
        <v>9</v>
      </c>
      <c r="S7" s="162">
        <v>7</v>
      </c>
      <c r="T7" s="162">
        <v>9</v>
      </c>
      <c r="U7" s="162">
        <v>1</v>
      </c>
      <c r="V7" s="162">
        <v>3</v>
      </c>
      <c r="W7" s="162">
        <v>3</v>
      </c>
      <c r="X7" s="162">
        <v>5</v>
      </c>
      <c r="Y7" s="162">
        <v>1</v>
      </c>
      <c r="Z7" s="162">
        <v>12</v>
      </c>
      <c r="AA7" s="162">
        <v>13</v>
      </c>
      <c r="AB7" s="162">
        <v>2</v>
      </c>
      <c r="AC7" s="162">
        <v>2</v>
      </c>
      <c r="AD7" s="162">
        <v>1</v>
      </c>
      <c r="AE7" s="162">
        <v>3</v>
      </c>
      <c r="AF7" s="161"/>
      <c r="AG7" s="64">
        <f t="shared" si="2"/>
        <v>139</v>
      </c>
    </row>
    <row r="8" spans="1:33" ht="18.75" x14ac:dyDescent="0.25">
      <c r="A8" s="301" t="s">
        <v>140</v>
      </c>
      <c r="B8" s="249"/>
      <c r="C8" s="162">
        <v>3</v>
      </c>
      <c r="D8" s="162">
        <v>3</v>
      </c>
      <c r="E8" s="162">
        <v>11</v>
      </c>
      <c r="F8" s="162">
        <v>8</v>
      </c>
      <c r="G8" s="162">
        <v>2</v>
      </c>
      <c r="H8" s="162">
        <v>2</v>
      </c>
      <c r="I8" s="162">
        <v>2</v>
      </c>
      <c r="J8" s="162">
        <v>1</v>
      </c>
      <c r="K8" s="162">
        <v>2</v>
      </c>
      <c r="L8" s="162">
        <v>8</v>
      </c>
      <c r="M8" s="162">
        <v>12</v>
      </c>
      <c r="N8" s="162">
        <v>1</v>
      </c>
      <c r="O8" s="162">
        <v>2</v>
      </c>
      <c r="P8" s="162">
        <v>3</v>
      </c>
      <c r="Q8" s="162">
        <v>1</v>
      </c>
      <c r="R8" s="162">
        <v>9</v>
      </c>
      <c r="S8" s="162">
        <v>9</v>
      </c>
      <c r="T8" s="162">
        <v>6</v>
      </c>
      <c r="U8" s="162">
        <v>1</v>
      </c>
      <c r="V8" s="162">
        <v>2</v>
      </c>
      <c r="W8" s="162">
        <v>2</v>
      </c>
      <c r="X8" s="162">
        <v>2</v>
      </c>
      <c r="Y8" s="162">
        <v>5</v>
      </c>
      <c r="Z8" s="162">
        <v>22</v>
      </c>
      <c r="AA8" s="162">
        <v>14</v>
      </c>
      <c r="AB8" s="162">
        <v>1</v>
      </c>
      <c r="AC8" s="162">
        <v>2</v>
      </c>
      <c r="AD8" s="162">
        <v>2</v>
      </c>
      <c r="AE8" s="162">
        <v>5</v>
      </c>
      <c r="AF8" s="161"/>
      <c r="AG8" s="64">
        <f t="shared" si="2"/>
        <v>143</v>
      </c>
    </row>
    <row r="9" spans="1:33" ht="18.75" x14ac:dyDescent="0.25">
      <c r="A9" s="301" t="s">
        <v>139</v>
      </c>
      <c r="B9" s="249">
        <v>1</v>
      </c>
      <c r="C9" s="162">
        <v>2</v>
      </c>
      <c r="D9" s="162">
        <v>3</v>
      </c>
      <c r="E9" s="162">
        <v>5</v>
      </c>
      <c r="F9" s="162">
        <v>13</v>
      </c>
      <c r="G9" s="162">
        <v>1</v>
      </c>
      <c r="H9" s="162">
        <v>4</v>
      </c>
      <c r="I9" s="162">
        <v>5</v>
      </c>
      <c r="J9" s="162">
        <v>3</v>
      </c>
      <c r="K9" s="162">
        <v>3</v>
      </c>
      <c r="L9" s="162">
        <v>9</v>
      </c>
      <c r="M9" s="162">
        <v>4</v>
      </c>
      <c r="N9" s="162">
        <v>4</v>
      </c>
      <c r="O9" s="162">
        <v>2</v>
      </c>
      <c r="P9" s="162">
        <v>1</v>
      </c>
      <c r="Q9" s="162"/>
      <c r="R9" s="162">
        <v>5</v>
      </c>
      <c r="S9" s="162">
        <v>8</v>
      </c>
      <c r="T9" s="162">
        <v>13</v>
      </c>
      <c r="U9" s="162">
        <v>2</v>
      </c>
      <c r="V9" s="162"/>
      <c r="W9" s="162">
        <v>4</v>
      </c>
      <c r="X9" s="162">
        <v>2</v>
      </c>
      <c r="Y9" s="162">
        <v>2</v>
      </c>
      <c r="Z9" s="162">
        <v>10</v>
      </c>
      <c r="AA9" s="162">
        <v>11</v>
      </c>
      <c r="AB9" s="162">
        <v>3</v>
      </c>
      <c r="AC9" s="162">
        <v>2</v>
      </c>
      <c r="AD9" s="162">
        <v>3</v>
      </c>
      <c r="AE9" s="162">
        <v>7</v>
      </c>
      <c r="AF9" s="161"/>
      <c r="AG9" s="64">
        <f t="shared" si="2"/>
        <v>132</v>
      </c>
    </row>
    <row r="10" spans="1:33" ht="18.75" x14ac:dyDescent="0.25">
      <c r="A10" s="301" t="s">
        <v>138</v>
      </c>
      <c r="B10" s="249">
        <v>3</v>
      </c>
      <c r="C10" s="162"/>
      <c r="D10" s="162">
        <v>5</v>
      </c>
      <c r="E10" s="162">
        <v>6</v>
      </c>
      <c r="F10" s="162">
        <v>9</v>
      </c>
      <c r="G10" s="162">
        <v>2</v>
      </c>
      <c r="H10" s="162">
        <v>1</v>
      </c>
      <c r="I10" s="162">
        <v>2</v>
      </c>
      <c r="J10" s="162">
        <v>2</v>
      </c>
      <c r="K10" s="162"/>
      <c r="L10" s="162">
        <v>2</v>
      </c>
      <c r="M10" s="162">
        <v>3</v>
      </c>
      <c r="N10" s="162">
        <v>2</v>
      </c>
      <c r="O10" s="162">
        <v>4</v>
      </c>
      <c r="P10" s="162"/>
      <c r="Q10" s="162"/>
      <c r="R10" s="162">
        <v>9</v>
      </c>
      <c r="S10" s="162">
        <v>4</v>
      </c>
      <c r="T10" s="162">
        <v>7</v>
      </c>
      <c r="U10" s="162">
        <v>7</v>
      </c>
      <c r="V10" s="162">
        <v>3</v>
      </c>
      <c r="W10" s="162">
        <v>1</v>
      </c>
      <c r="X10" s="162">
        <v>3</v>
      </c>
      <c r="Y10" s="162">
        <v>2</v>
      </c>
      <c r="Z10" s="162">
        <v>10</v>
      </c>
      <c r="AA10" s="162">
        <v>6</v>
      </c>
      <c r="AB10" s="162">
        <v>5</v>
      </c>
      <c r="AC10" s="162">
        <v>1</v>
      </c>
      <c r="AD10" s="162">
        <v>3</v>
      </c>
      <c r="AE10" s="162">
        <v>2</v>
      </c>
      <c r="AF10" s="161"/>
      <c r="AG10" s="64">
        <f t="shared" si="2"/>
        <v>104</v>
      </c>
    </row>
    <row r="11" spans="1:33" ht="18.75" x14ac:dyDescent="0.25">
      <c r="A11" s="301" t="s">
        <v>137</v>
      </c>
      <c r="B11" s="249">
        <v>3</v>
      </c>
      <c r="C11" s="162">
        <v>5</v>
      </c>
      <c r="D11" s="162">
        <v>4</v>
      </c>
      <c r="E11" s="162">
        <v>13</v>
      </c>
      <c r="F11" s="162">
        <v>6</v>
      </c>
      <c r="G11" s="162">
        <v>3</v>
      </c>
      <c r="H11" s="162">
        <v>4</v>
      </c>
      <c r="I11" s="162">
        <v>2</v>
      </c>
      <c r="J11" s="162">
        <v>1</v>
      </c>
      <c r="K11" s="162">
        <v>2</v>
      </c>
      <c r="L11" s="162">
        <v>23</v>
      </c>
      <c r="M11" s="162">
        <v>8</v>
      </c>
      <c r="N11" s="162">
        <v>3</v>
      </c>
      <c r="O11" s="162">
        <v>2</v>
      </c>
      <c r="P11" s="162">
        <v>4</v>
      </c>
      <c r="Q11" s="162"/>
      <c r="R11" s="162">
        <v>3</v>
      </c>
      <c r="S11" s="162">
        <v>4</v>
      </c>
      <c r="T11" s="162">
        <v>11</v>
      </c>
      <c r="U11" s="162">
        <v>3</v>
      </c>
      <c r="V11" s="162">
        <v>8</v>
      </c>
      <c r="W11" s="162">
        <v>1</v>
      </c>
      <c r="X11" s="162">
        <v>6</v>
      </c>
      <c r="Y11" s="162">
        <v>3</v>
      </c>
      <c r="Z11" s="162">
        <v>11</v>
      </c>
      <c r="AA11" s="162">
        <v>14</v>
      </c>
      <c r="AB11" s="162">
        <v>5</v>
      </c>
      <c r="AC11" s="162">
        <v>4</v>
      </c>
      <c r="AD11" s="162">
        <v>4</v>
      </c>
      <c r="AE11" s="162">
        <v>1</v>
      </c>
      <c r="AF11" s="161"/>
      <c r="AG11" s="64">
        <f t="shared" si="2"/>
        <v>161</v>
      </c>
    </row>
    <row r="12" spans="1:33" ht="18.75" x14ac:dyDescent="0.25">
      <c r="A12" s="301" t="s">
        <v>136</v>
      </c>
      <c r="B12" s="249">
        <v>1</v>
      </c>
      <c r="C12" s="162">
        <v>1</v>
      </c>
      <c r="D12" s="162">
        <v>9</v>
      </c>
      <c r="E12" s="162">
        <v>10</v>
      </c>
      <c r="F12" s="162">
        <v>14</v>
      </c>
      <c r="G12" s="162">
        <v>3</v>
      </c>
      <c r="H12" s="162">
        <v>8</v>
      </c>
      <c r="I12" s="162">
        <v>2</v>
      </c>
      <c r="J12" s="162">
        <v>4</v>
      </c>
      <c r="K12" s="162">
        <v>3</v>
      </c>
      <c r="L12" s="162">
        <v>2</v>
      </c>
      <c r="M12" s="162">
        <v>12</v>
      </c>
      <c r="N12" s="162">
        <v>6</v>
      </c>
      <c r="O12" s="162">
        <v>5</v>
      </c>
      <c r="P12" s="162">
        <v>1</v>
      </c>
      <c r="Q12" s="162">
        <v>2</v>
      </c>
      <c r="R12" s="162">
        <v>13</v>
      </c>
      <c r="S12" s="162">
        <v>3</v>
      </c>
      <c r="T12" s="162">
        <v>4</v>
      </c>
      <c r="U12" s="162">
        <v>6</v>
      </c>
      <c r="V12" s="162">
        <v>7</v>
      </c>
      <c r="W12" s="162">
        <v>4</v>
      </c>
      <c r="X12" s="162">
        <v>4</v>
      </c>
      <c r="Y12" s="162">
        <v>6</v>
      </c>
      <c r="Z12" s="162">
        <v>14</v>
      </c>
      <c r="AA12" s="162">
        <v>12</v>
      </c>
      <c r="AB12" s="162">
        <v>4</v>
      </c>
      <c r="AC12" s="162">
        <v>3</v>
      </c>
      <c r="AD12" s="162">
        <v>7</v>
      </c>
      <c r="AE12" s="162">
        <v>6</v>
      </c>
      <c r="AF12" s="161"/>
      <c r="AG12" s="64">
        <f t="shared" si="2"/>
        <v>176</v>
      </c>
    </row>
    <row r="13" spans="1:33" ht="18.75" x14ac:dyDescent="0.25">
      <c r="A13" s="301" t="s">
        <v>135</v>
      </c>
      <c r="B13" s="249">
        <v>44</v>
      </c>
      <c r="C13" s="162">
        <v>42</v>
      </c>
      <c r="D13" s="162">
        <v>32</v>
      </c>
      <c r="E13" s="162">
        <v>13</v>
      </c>
      <c r="F13" s="162">
        <v>11</v>
      </c>
      <c r="G13" s="162">
        <v>39</v>
      </c>
      <c r="H13" s="162">
        <v>46</v>
      </c>
      <c r="I13" s="162">
        <v>41</v>
      </c>
      <c r="J13" s="162">
        <v>30</v>
      </c>
      <c r="K13" s="162">
        <v>31</v>
      </c>
      <c r="L13" s="162"/>
      <c r="M13" s="162">
        <v>10</v>
      </c>
      <c r="N13" s="162">
        <v>48</v>
      </c>
      <c r="O13" s="162">
        <v>36</v>
      </c>
      <c r="P13" s="162">
        <v>27</v>
      </c>
      <c r="Q13" s="162">
        <v>29</v>
      </c>
      <c r="R13" s="162">
        <v>10</v>
      </c>
      <c r="S13" s="162">
        <v>11</v>
      </c>
      <c r="T13" s="162">
        <v>9</v>
      </c>
      <c r="U13" s="162">
        <v>57</v>
      </c>
      <c r="V13" s="162">
        <v>50</v>
      </c>
      <c r="W13" s="162">
        <v>42</v>
      </c>
      <c r="X13" s="162">
        <v>36</v>
      </c>
      <c r="Y13" s="162">
        <v>35</v>
      </c>
      <c r="Z13" s="162">
        <v>16</v>
      </c>
      <c r="AA13" s="162">
        <v>9</v>
      </c>
      <c r="AB13" s="162">
        <v>44</v>
      </c>
      <c r="AC13" s="162">
        <v>55</v>
      </c>
      <c r="AD13" s="162">
        <v>29</v>
      </c>
      <c r="AE13" s="162">
        <v>35</v>
      </c>
      <c r="AF13" s="161"/>
      <c r="AG13" s="64">
        <f t="shared" si="2"/>
        <v>917</v>
      </c>
    </row>
    <row r="14" spans="1:33" ht="18.75" x14ac:dyDescent="0.25">
      <c r="A14" s="301" t="s">
        <v>134</v>
      </c>
      <c r="B14" s="249">
        <v>16</v>
      </c>
      <c r="C14" s="162">
        <v>11</v>
      </c>
      <c r="D14" s="162">
        <v>13</v>
      </c>
      <c r="E14" s="162">
        <v>12</v>
      </c>
      <c r="F14" s="162">
        <v>8</v>
      </c>
      <c r="G14" s="162">
        <v>12</v>
      </c>
      <c r="H14" s="162">
        <v>9</v>
      </c>
      <c r="I14" s="162">
        <v>16</v>
      </c>
      <c r="J14" s="162">
        <v>12</v>
      </c>
      <c r="K14" s="162">
        <v>11</v>
      </c>
      <c r="L14" s="162"/>
      <c r="M14" s="162">
        <v>5</v>
      </c>
      <c r="N14" s="162">
        <v>15</v>
      </c>
      <c r="O14" s="162">
        <v>13</v>
      </c>
      <c r="P14" s="162">
        <v>18</v>
      </c>
      <c r="Q14" s="162">
        <v>12</v>
      </c>
      <c r="R14" s="162">
        <v>11</v>
      </c>
      <c r="S14" s="162">
        <v>4</v>
      </c>
      <c r="T14" s="162">
        <v>9</v>
      </c>
      <c r="U14" s="162">
        <v>20</v>
      </c>
      <c r="V14" s="162">
        <v>7</v>
      </c>
      <c r="W14" s="162">
        <v>14</v>
      </c>
      <c r="X14" s="162">
        <v>14</v>
      </c>
      <c r="Y14" s="162">
        <v>17</v>
      </c>
      <c r="Z14" s="162">
        <v>18</v>
      </c>
      <c r="AA14" s="162">
        <v>18</v>
      </c>
      <c r="AB14" s="162">
        <v>24</v>
      </c>
      <c r="AC14" s="162">
        <v>14</v>
      </c>
      <c r="AD14" s="162">
        <v>14</v>
      </c>
      <c r="AE14" s="162">
        <v>12</v>
      </c>
      <c r="AF14" s="161"/>
      <c r="AG14" s="64">
        <f t="shared" si="2"/>
        <v>379</v>
      </c>
    </row>
    <row r="15" spans="1:33" ht="18.75" x14ac:dyDescent="0.25">
      <c r="A15" s="301" t="s">
        <v>133</v>
      </c>
      <c r="B15" s="249">
        <v>16</v>
      </c>
      <c r="C15" s="162">
        <v>11</v>
      </c>
      <c r="D15" s="162">
        <v>9</v>
      </c>
      <c r="E15" s="162">
        <v>3</v>
      </c>
      <c r="F15" s="162">
        <v>9</v>
      </c>
      <c r="G15" s="162">
        <v>17</v>
      </c>
      <c r="H15" s="162">
        <v>9</v>
      </c>
      <c r="I15" s="162">
        <v>11</v>
      </c>
      <c r="J15" s="162">
        <v>5</v>
      </c>
      <c r="K15" s="162">
        <v>11</v>
      </c>
      <c r="L15" s="162"/>
      <c r="M15" s="162">
        <v>4</v>
      </c>
      <c r="N15" s="162">
        <v>18</v>
      </c>
      <c r="O15" s="162">
        <v>13</v>
      </c>
      <c r="P15" s="162">
        <v>14</v>
      </c>
      <c r="Q15" s="162">
        <v>9</v>
      </c>
      <c r="R15" s="162">
        <v>14</v>
      </c>
      <c r="S15" s="162">
        <v>11</v>
      </c>
      <c r="T15" s="162">
        <v>12</v>
      </c>
      <c r="U15" s="162">
        <v>11</v>
      </c>
      <c r="V15" s="162">
        <v>21</v>
      </c>
      <c r="W15" s="162">
        <v>7</v>
      </c>
      <c r="X15" s="162">
        <v>6</v>
      </c>
      <c r="Y15" s="162">
        <v>15</v>
      </c>
      <c r="Z15" s="162">
        <v>8</v>
      </c>
      <c r="AA15" s="162">
        <v>6</v>
      </c>
      <c r="AB15" s="162">
        <v>16</v>
      </c>
      <c r="AC15" s="162">
        <v>5</v>
      </c>
      <c r="AD15" s="162">
        <v>7</v>
      </c>
      <c r="AE15" s="162">
        <v>15</v>
      </c>
      <c r="AF15" s="161"/>
      <c r="AG15" s="64">
        <f t="shared" si="2"/>
        <v>313</v>
      </c>
    </row>
    <row r="16" spans="1:33" ht="18.75" x14ac:dyDescent="0.25">
      <c r="A16" s="301" t="s">
        <v>132</v>
      </c>
      <c r="B16" s="249">
        <v>10</v>
      </c>
      <c r="C16" s="162">
        <v>10</v>
      </c>
      <c r="D16" s="162">
        <v>8</v>
      </c>
      <c r="E16" s="162">
        <v>4</v>
      </c>
      <c r="F16" s="162">
        <v>5</v>
      </c>
      <c r="G16" s="162">
        <v>13</v>
      </c>
      <c r="H16" s="162">
        <v>10</v>
      </c>
      <c r="I16" s="162">
        <v>17</v>
      </c>
      <c r="J16" s="162">
        <v>8</v>
      </c>
      <c r="K16" s="162">
        <v>8</v>
      </c>
      <c r="L16" s="162"/>
      <c r="M16" s="162">
        <v>6</v>
      </c>
      <c r="N16" s="162">
        <v>7</v>
      </c>
      <c r="O16" s="162">
        <v>6</v>
      </c>
      <c r="P16" s="162">
        <v>10</v>
      </c>
      <c r="Q16" s="162">
        <v>13</v>
      </c>
      <c r="R16" s="162">
        <v>4</v>
      </c>
      <c r="S16" s="162">
        <v>5</v>
      </c>
      <c r="T16" s="162">
        <v>10</v>
      </c>
      <c r="U16" s="162">
        <v>11</v>
      </c>
      <c r="V16" s="162">
        <v>16</v>
      </c>
      <c r="W16" s="162">
        <v>12</v>
      </c>
      <c r="X16" s="162">
        <v>17</v>
      </c>
      <c r="Y16" s="162">
        <v>9</v>
      </c>
      <c r="Z16" s="162">
        <v>8</v>
      </c>
      <c r="AA16" s="162">
        <v>11</v>
      </c>
      <c r="AB16" s="162">
        <v>17</v>
      </c>
      <c r="AC16" s="162">
        <v>18</v>
      </c>
      <c r="AD16" s="162">
        <v>11</v>
      </c>
      <c r="AE16" s="162">
        <v>5</v>
      </c>
      <c r="AF16" s="161"/>
      <c r="AG16" s="64">
        <f t="shared" si="2"/>
        <v>289</v>
      </c>
    </row>
    <row r="17" spans="1:33" ht="18.75" x14ac:dyDescent="0.25">
      <c r="A17" s="301" t="s">
        <v>131</v>
      </c>
      <c r="B17" s="249">
        <v>11</v>
      </c>
      <c r="C17" s="162">
        <v>9</v>
      </c>
      <c r="D17" s="162">
        <v>8</v>
      </c>
      <c r="E17" s="162">
        <v>9</v>
      </c>
      <c r="F17" s="162">
        <v>6</v>
      </c>
      <c r="G17" s="162">
        <v>8</v>
      </c>
      <c r="H17" s="162">
        <v>11</v>
      </c>
      <c r="I17" s="162">
        <v>9</v>
      </c>
      <c r="J17" s="162">
        <v>9</v>
      </c>
      <c r="K17" s="162">
        <v>12</v>
      </c>
      <c r="L17" s="162"/>
      <c r="M17" s="162">
        <v>2</v>
      </c>
      <c r="N17" s="162">
        <v>12</v>
      </c>
      <c r="O17" s="162">
        <v>8</v>
      </c>
      <c r="P17" s="162">
        <v>8</v>
      </c>
      <c r="Q17" s="162">
        <v>13</v>
      </c>
      <c r="R17" s="162">
        <v>9</v>
      </c>
      <c r="S17" s="162">
        <v>13</v>
      </c>
      <c r="T17" s="162">
        <v>7</v>
      </c>
      <c r="U17" s="162">
        <v>20</v>
      </c>
      <c r="V17" s="162">
        <v>11</v>
      </c>
      <c r="W17" s="162">
        <v>12</v>
      </c>
      <c r="X17" s="162">
        <v>12</v>
      </c>
      <c r="Y17" s="162">
        <v>12</v>
      </c>
      <c r="Z17" s="162">
        <v>8</v>
      </c>
      <c r="AA17" s="162">
        <v>8</v>
      </c>
      <c r="AB17" s="162">
        <v>6</v>
      </c>
      <c r="AC17" s="162">
        <v>11</v>
      </c>
      <c r="AD17" s="162">
        <v>11</v>
      </c>
      <c r="AE17" s="162">
        <v>13</v>
      </c>
      <c r="AF17" s="161"/>
      <c r="AG17" s="64">
        <f t="shared" si="2"/>
        <v>288</v>
      </c>
    </row>
    <row r="18" spans="1:33" ht="18.75" x14ac:dyDescent="0.25">
      <c r="A18" s="301" t="s">
        <v>130</v>
      </c>
      <c r="B18" s="249">
        <v>3</v>
      </c>
      <c r="C18" s="162">
        <v>10</v>
      </c>
      <c r="D18" s="162">
        <v>7</v>
      </c>
      <c r="E18" s="162">
        <v>9</v>
      </c>
      <c r="F18" s="162">
        <v>5</v>
      </c>
      <c r="G18" s="162">
        <v>6</v>
      </c>
      <c r="H18" s="162">
        <v>9</v>
      </c>
      <c r="I18" s="162">
        <v>10</v>
      </c>
      <c r="J18" s="162">
        <v>6</v>
      </c>
      <c r="K18" s="162">
        <v>10</v>
      </c>
      <c r="L18" s="162"/>
      <c r="M18" s="162">
        <v>6</v>
      </c>
      <c r="N18" s="162">
        <v>7</v>
      </c>
      <c r="O18" s="162">
        <v>9</v>
      </c>
      <c r="P18" s="162">
        <v>12</v>
      </c>
      <c r="Q18" s="162">
        <v>4</v>
      </c>
      <c r="R18" s="162">
        <v>6</v>
      </c>
      <c r="S18" s="162">
        <v>6</v>
      </c>
      <c r="T18" s="162">
        <v>4</v>
      </c>
      <c r="U18" s="162">
        <v>13</v>
      </c>
      <c r="V18" s="162">
        <v>8</v>
      </c>
      <c r="W18" s="162">
        <v>10</v>
      </c>
      <c r="X18" s="162">
        <v>9</v>
      </c>
      <c r="Y18" s="162">
        <v>6</v>
      </c>
      <c r="Z18" s="162">
        <v>9</v>
      </c>
      <c r="AA18" s="162">
        <v>8</v>
      </c>
      <c r="AB18" s="162">
        <v>9</v>
      </c>
      <c r="AC18" s="162">
        <v>7</v>
      </c>
      <c r="AD18" s="162">
        <v>6</v>
      </c>
      <c r="AE18" s="162">
        <v>9</v>
      </c>
      <c r="AF18" s="161"/>
      <c r="AG18" s="64">
        <f t="shared" si="2"/>
        <v>223</v>
      </c>
    </row>
    <row r="19" spans="1:33" ht="18.75" x14ac:dyDescent="0.25">
      <c r="A19" s="301" t="s">
        <v>129</v>
      </c>
      <c r="B19" s="249">
        <v>13</v>
      </c>
      <c r="C19" s="162">
        <v>4</v>
      </c>
      <c r="D19" s="162">
        <v>3</v>
      </c>
      <c r="E19" s="162">
        <v>4</v>
      </c>
      <c r="F19" s="162">
        <v>1</v>
      </c>
      <c r="G19" s="162">
        <v>7</v>
      </c>
      <c r="H19" s="162">
        <v>4</v>
      </c>
      <c r="I19" s="162">
        <v>5</v>
      </c>
      <c r="J19" s="162">
        <v>4</v>
      </c>
      <c r="K19" s="162">
        <v>4</v>
      </c>
      <c r="L19" s="162">
        <v>5</v>
      </c>
      <c r="M19" s="162">
        <v>5</v>
      </c>
      <c r="N19" s="162">
        <v>5</v>
      </c>
      <c r="O19" s="162">
        <v>2</v>
      </c>
      <c r="P19" s="162">
        <v>8</v>
      </c>
      <c r="Q19" s="162">
        <v>4</v>
      </c>
      <c r="R19" s="162">
        <v>5</v>
      </c>
      <c r="S19" s="162">
        <v>3</v>
      </c>
      <c r="T19" s="162">
        <v>5</v>
      </c>
      <c r="U19" s="162">
        <v>4</v>
      </c>
      <c r="V19" s="162">
        <v>9</v>
      </c>
      <c r="W19" s="162">
        <v>5</v>
      </c>
      <c r="X19" s="162">
        <v>7</v>
      </c>
      <c r="Y19" s="162">
        <v>7</v>
      </c>
      <c r="Z19" s="162">
        <v>2</v>
      </c>
      <c r="AA19" s="162">
        <v>7</v>
      </c>
      <c r="AB19" s="162">
        <v>7</v>
      </c>
      <c r="AC19" s="162">
        <v>9</v>
      </c>
      <c r="AD19" s="162">
        <v>5</v>
      </c>
      <c r="AE19" s="162">
        <v>4</v>
      </c>
      <c r="AF19" s="161"/>
      <c r="AG19" s="64">
        <f t="shared" si="2"/>
        <v>157</v>
      </c>
    </row>
    <row r="20" spans="1:33" ht="18.75" x14ac:dyDescent="0.25">
      <c r="A20" s="301" t="s">
        <v>128</v>
      </c>
      <c r="B20" s="249">
        <v>1</v>
      </c>
      <c r="C20" s="162">
        <v>2</v>
      </c>
      <c r="D20" s="162">
        <v>3</v>
      </c>
      <c r="E20" s="162"/>
      <c r="F20" s="162">
        <v>3</v>
      </c>
      <c r="G20" s="162">
        <v>1</v>
      </c>
      <c r="H20" s="162">
        <v>2</v>
      </c>
      <c r="I20" s="162"/>
      <c r="J20" s="162">
        <v>3</v>
      </c>
      <c r="K20" s="162">
        <v>1</v>
      </c>
      <c r="L20" s="162">
        <v>1</v>
      </c>
      <c r="M20" s="162">
        <v>2</v>
      </c>
      <c r="N20" s="162">
        <v>5</v>
      </c>
      <c r="O20" s="162">
        <v>1</v>
      </c>
      <c r="P20" s="162">
        <v>3</v>
      </c>
      <c r="Q20" s="162">
        <v>6</v>
      </c>
      <c r="R20" s="162">
        <v>2</v>
      </c>
      <c r="S20" s="162">
        <v>1</v>
      </c>
      <c r="T20" s="162">
        <v>4</v>
      </c>
      <c r="U20" s="162">
        <v>5</v>
      </c>
      <c r="V20" s="162">
        <v>1</v>
      </c>
      <c r="W20" s="162">
        <v>2</v>
      </c>
      <c r="X20" s="162"/>
      <c r="Y20" s="162">
        <v>4</v>
      </c>
      <c r="Z20" s="162">
        <v>2</v>
      </c>
      <c r="AA20" s="162">
        <v>2</v>
      </c>
      <c r="AB20" s="162">
        <v>5</v>
      </c>
      <c r="AC20" s="162">
        <v>5</v>
      </c>
      <c r="AD20" s="162">
        <v>1</v>
      </c>
      <c r="AE20" s="162">
        <v>1</v>
      </c>
      <c r="AF20" s="161"/>
      <c r="AG20" s="64">
        <f t="shared" si="2"/>
        <v>69</v>
      </c>
    </row>
    <row r="21" spans="1:33" ht="18.75" x14ac:dyDescent="0.25">
      <c r="A21" s="301" t="s">
        <v>127</v>
      </c>
      <c r="B21" s="249"/>
      <c r="C21" s="162">
        <v>2</v>
      </c>
      <c r="D21" s="162">
        <v>4</v>
      </c>
      <c r="E21" s="162">
        <v>1</v>
      </c>
      <c r="F21" s="162">
        <v>2</v>
      </c>
      <c r="G21" s="162">
        <v>3</v>
      </c>
      <c r="H21" s="162">
        <v>3</v>
      </c>
      <c r="I21" s="162">
        <v>3</v>
      </c>
      <c r="J21" s="162">
        <v>2</v>
      </c>
      <c r="K21" s="162">
        <v>1</v>
      </c>
      <c r="L21" s="162">
        <v>3</v>
      </c>
      <c r="M21" s="162">
        <v>1</v>
      </c>
      <c r="N21" s="162">
        <v>2</v>
      </c>
      <c r="O21" s="162"/>
      <c r="P21" s="162">
        <v>3</v>
      </c>
      <c r="Q21" s="162">
        <v>2</v>
      </c>
      <c r="R21" s="162">
        <v>2</v>
      </c>
      <c r="S21" s="162">
        <v>2</v>
      </c>
      <c r="T21" s="162">
        <v>1</v>
      </c>
      <c r="U21" s="162"/>
      <c r="V21" s="162">
        <v>3</v>
      </c>
      <c r="W21" s="162">
        <v>1</v>
      </c>
      <c r="X21" s="162">
        <v>4</v>
      </c>
      <c r="Y21" s="162">
        <v>1</v>
      </c>
      <c r="Z21" s="162">
        <v>5</v>
      </c>
      <c r="AA21" s="162">
        <v>2</v>
      </c>
      <c r="AB21" s="162"/>
      <c r="AC21" s="162">
        <v>1</v>
      </c>
      <c r="AD21" s="162">
        <v>3</v>
      </c>
      <c r="AE21" s="162">
        <v>2</v>
      </c>
      <c r="AF21" s="161"/>
      <c r="AG21" s="64">
        <f t="shared" si="2"/>
        <v>59</v>
      </c>
    </row>
    <row r="22" spans="1:33" ht="18.75" x14ac:dyDescent="0.25">
      <c r="A22" s="301" t="s">
        <v>126</v>
      </c>
      <c r="B22" s="249">
        <v>1</v>
      </c>
      <c r="C22" s="162">
        <v>1</v>
      </c>
      <c r="D22" s="162">
        <v>4</v>
      </c>
      <c r="E22" s="162"/>
      <c r="F22" s="162">
        <v>1</v>
      </c>
      <c r="G22" s="162">
        <v>1</v>
      </c>
      <c r="H22" s="162">
        <v>2</v>
      </c>
      <c r="I22" s="162"/>
      <c r="J22" s="162"/>
      <c r="K22" s="162">
        <v>1</v>
      </c>
      <c r="L22" s="162"/>
      <c r="M22" s="162"/>
      <c r="N22" s="162">
        <v>1</v>
      </c>
      <c r="O22" s="162"/>
      <c r="P22" s="162">
        <v>4</v>
      </c>
      <c r="Q22" s="162">
        <v>2</v>
      </c>
      <c r="R22" s="162">
        <v>2</v>
      </c>
      <c r="S22" s="162"/>
      <c r="T22" s="162">
        <v>2</v>
      </c>
      <c r="U22" s="162"/>
      <c r="V22" s="162">
        <v>3</v>
      </c>
      <c r="W22" s="162">
        <v>2</v>
      </c>
      <c r="X22" s="162">
        <v>2</v>
      </c>
      <c r="Y22" s="162">
        <v>2</v>
      </c>
      <c r="Z22" s="162">
        <v>1</v>
      </c>
      <c r="AA22" s="162">
        <v>3</v>
      </c>
      <c r="AB22" s="162">
        <v>1</v>
      </c>
      <c r="AC22" s="162">
        <v>1</v>
      </c>
      <c r="AD22" s="162">
        <v>4</v>
      </c>
      <c r="AE22" s="162">
        <v>1</v>
      </c>
      <c r="AF22" s="161"/>
      <c r="AG22" s="64">
        <f t="shared" si="2"/>
        <v>42</v>
      </c>
    </row>
    <row r="23" spans="1:33" ht="18.75" x14ac:dyDescent="0.25">
      <c r="A23" s="301" t="s">
        <v>125</v>
      </c>
      <c r="B23" s="249"/>
      <c r="C23" s="162">
        <v>3</v>
      </c>
      <c r="D23" s="162">
        <v>2</v>
      </c>
      <c r="E23" s="162">
        <v>1</v>
      </c>
      <c r="F23" s="162">
        <v>1</v>
      </c>
      <c r="G23" s="162">
        <v>2</v>
      </c>
      <c r="H23" s="162">
        <v>1</v>
      </c>
      <c r="I23" s="162"/>
      <c r="J23" s="162"/>
      <c r="K23" s="162"/>
      <c r="L23" s="162">
        <v>1</v>
      </c>
      <c r="M23" s="162">
        <v>1</v>
      </c>
      <c r="N23" s="162">
        <v>2</v>
      </c>
      <c r="O23" s="162">
        <v>1</v>
      </c>
      <c r="P23" s="162">
        <v>1</v>
      </c>
      <c r="Q23" s="162">
        <v>1</v>
      </c>
      <c r="R23" s="162"/>
      <c r="S23" s="162">
        <v>1</v>
      </c>
      <c r="T23" s="162">
        <v>3</v>
      </c>
      <c r="U23" s="162">
        <v>3</v>
      </c>
      <c r="V23" s="162">
        <v>1</v>
      </c>
      <c r="W23" s="162"/>
      <c r="X23" s="162">
        <v>3</v>
      </c>
      <c r="Y23" s="162"/>
      <c r="Z23" s="162">
        <v>3</v>
      </c>
      <c r="AA23" s="162">
        <v>3</v>
      </c>
      <c r="AB23" s="162">
        <v>3</v>
      </c>
      <c r="AC23" s="162">
        <v>1</v>
      </c>
      <c r="AD23" s="162">
        <v>1</v>
      </c>
      <c r="AE23" s="162">
        <v>1</v>
      </c>
      <c r="AF23" s="161"/>
      <c r="AG23" s="64">
        <f t="shared" si="2"/>
        <v>40</v>
      </c>
    </row>
    <row r="24" spans="1:33" ht="18.75" x14ac:dyDescent="0.25">
      <c r="A24" s="301" t="s">
        <v>124</v>
      </c>
      <c r="B24" s="249">
        <v>2</v>
      </c>
      <c r="C24" s="162">
        <v>1</v>
      </c>
      <c r="D24" s="162"/>
      <c r="E24" s="162">
        <v>4</v>
      </c>
      <c r="F24" s="162"/>
      <c r="G24" s="162"/>
      <c r="H24" s="162"/>
      <c r="I24" s="162"/>
      <c r="J24" s="162"/>
      <c r="K24" s="162"/>
      <c r="L24" s="162"/>
      <c r="M24" s="162">
        <v>1</v>
      </c>
      <c r="N24" s="162"/>
      <c r="O24" s="162">
        <v>1</v>
      </c>
      <c r="P24" s="162">
        <v>1</v>
      </c>
      <c r="Q24" s="162">
        <v>2</v>
      </c>
      <c r="R24" s="162">
        <v>2</v>
      </c>
      <c r="S24" s="162">
        <v>1</v>
      </c>
      <c r="T24" s="162"/>
      <c r="U24" s="162"/>
      <c r="V24" s="162"/>
      <c r="W24" s="162">
        <v>1</v>
      </c>
      <c r="X24" s="162">
        <v>1</v>
      </c>
      <c r="Y24" s="162"/>
      <c r="Z24" s="162">
        <v>1</v>
      </c>
      <c r="AA24" s="162"/>
      <c r="AB24" s="162">
        <v>1</v>
      </c>
      <c r="AC24" s="162"/>
      <c r="AD24" s="162"/>
      <c r="AE24" s="162">
        <v>1</v>
      </c>
      <c r="AF24" s="161"/>
      <c r="AG24" s="64">
        <f t="shared" si="2"/>
        <v>20</v>
      </c>
    </row>
    <row r="25" spans="1:33" ht="18.75" x14ac:dyDescent="0.25">
      <c r="A25" s="301" t="s">
        <v>123</v>
      </c>
      <c r="B25" s="249"/>
      <c r="C25" s="162"/>
      <c r="D25" s="162"/>
      <c r="E25" s="162">
        <v>2</v>
      </c>
      <c r="F25" s="162"/>
      <c r="G25" s="162">
        <v>2</v>
      </c>
      <c r="H25" s="162"/>
      <c r="I25" s="162"/>
      <c r="J25" s="162"/>
      <c r="K25" s="162">
        <v>2</v>
      </c>
      <c r="L25" s="162"/>
      <c r="M25" s="162">
        <v>1</v>
      </c>
      <c r="N25" s="162"/>
      <c r="O25" s="162">
        <v>1</v>
      </c>
      <c r="P25" s="162">
        <v>2</v>
      </c>
      <c r="Q25" s="162">
        <v>1</v>
      </c>
      <c r="R25" s="162">
        <v>2</v>
      </c>
      <c r="S25" s="162">
        <v>1</v>
      </c>
      <c r="T25" s="162"/>
      <c r="U25" s="162">
        <v>1</v>
      </c>
      <c r="V25" s="162"/>
      <c r="W25" s="162"/>
      <c r="X25" s="162"/>
      <c r="Y25" s="162"/>
      <c r="Z25" s="162">
        <v>2</v>
      </c>
      <c r="AA25" s="162"/>
      <c r="AB25" s="162"/>
      <c r="AC25" s="162"/>
      <c r="AD25" s="162">
        <v>1</v>
      </c>
      <c r="AE25" s="162"/>
      <c r="AF25" s="161"/>
      <c r="AG25" s="64">
        <f t="shared" si="2"/>
        <v>18</v>
      </c>
    </row>
    <row r="26" spans="1:33" ht="18.75" x14ac:dyDescent="0.25">
      <c r="A26" s="301" t="s">
        <v>122</v>
      </c>
      <c r="B26" s="249">
        <v>2</v>
      </c>
      <c r="C26" s="162"/>
      <c r="D26" s="162">
        <v>1</v>
      </c>
      <c r="E26" s="162">
        <v>2</v>
      </c>
      <c r="F26" s="162">
        <v>1</v>
      </c>
      <c r="G26" s="162"/>
      <c r="H26" s="162"/>
      <c r="I26" s="162">
        <v>4</v>
      </c>
      <c r="J26" s="162"/>
      <c r="K26" s="162">
        <v>1</v>
      </c>
      <c r="L26" s="162"/>
      <c r="M26" s="162"/>
      <c r="N26" s="162">
        <v>2</v>
      </c>
      <c r="O26" s="162">
        <v>1</v>
      </c>
      <c r="P26" s="162"/>
      <c r="Q26" s="162"/>
      <c r="R26" s="162"/>
      <c r="S26" s="162">
        <v>1</v>
      </c>
      <c r="T26" s="162"/>
      <c r="U26" s="162">
        <v>1</v>
      </c>
      <c r="V26" s="162"/>
      <c r="W26" s="162">
        <v>1</v>
      </c>
      <c r="X26" s="162">
        <v>1</v>
      </c>
      <c r="Y26" s="162"/>
      <c r="Z26" s="162"/>
      <c r="AA26" s="162"/>
      <c r="AB26" s="162">
        <v>2</v>
      </c>
      <c r="AC26" s="162"/>
      <c r="AD26" s="162"/>
      <c r="AE26" s="162"/>
      <c r="AF26" s="161"/>
      <c r="AG26" s="64">
        <f t="shared" si="2"/>
        <v>20</v>
      </c>
    </row>
    <row r="27" spans="1:33" ht="19.5" thickBot="1" x14ac:dyDescent="0.3">
      <c r="A27" s="302" t="s">
        <v>121</v>
      </c>
      <c r="B27" s="250"/>
      <c r="C27" s="212"/>
      <c r="D27" s="212">
        <v>1</v>
      </c>
      <c r="E27" s="212">
        <v>1</v>
      </c>
      <c r="F27" s="212"/>
      <c r="G27" s="212"/>
      <c r="H27" s="212"/>
      <c r="I27" s="212"/>
      <c r="J27" s="212"/>
      <c r="K27" s="212"/>
      <c r="L27" s="212">
        <v>1</v>
      </c>
      <c r="M27" s="212"/>
      <c r="N27" s="212">
        <v>1</v>
      </c>
      <c r="O27" s="212"/>
      <c r="P27" s="212"/>
      <c r="Q27" s="212">
        <v>2</v>
      </c>
      <c r="R27" s="212"/>
      <c r="S27" s="212"/>
      <c r="T27" s="212"/>
      <c r="U27" s="212"/>
      <c r="V27" s="212"/>
      <c r="W27" s="212">
        <v>1</v>
      </c>
      <c r="X27" s="212"/>
      <c r="Y27" s="212"/>
      <c r="Z27" s="212">
        <v>1</v>
      </c>
      <c r="AA27" s="212">
        <v>1</v>
      </c>
      <c r="AB27" s="212"/>
      <c r="AC27" s="212"/>
      <c r="AD27" s="212"/>
      <c r="AE27" s="212"/>
      <c r="AF27" s="211"/>
      <c r="AG27" s="64">
        <f t="shared" si="2"/>
        <v>9</v>
      </c>
    </row>
    <row r="28" spans="1:33" ht="18.75" x14ac:dyDescent="0.25">
      <c r="A28" s="303" t="s">
        <v>146</v>
      </c>
      <c r="B28" s="251">
        <f t="shared" ref="B28:AF28" si="3">SUM(B29:B52)</f>
        <v>129</v>
      </c>
      <c r="C28" s="209">
        <f t="shared" si="3"/>
        <v>118</v>
      </c>
      <c r="D28" s="209">
        <f t="shared" si="3"/>
        <v>125</v>
      </c>
      <c r="E28" s="209">
        <f t="shared" si="3"/>
        <v>140</v>
      </c>
      <c r="F28" s="209">
        <f t="shared" si="3"/>
        <v>122</v>
      </c>
      <c r="G28" s="209">
        <f t="shared" si="3"/>
        <v>125</v>
      </c>
      <c r="H28" s="209">
        <f t="shared" si="3"/>
        <v>129</v>
      </c>
      <c r="I28" s="209">
        <f t="shared" si="3"/>
        <v>140</v>
      </c>
      <c r="J28" s="209">
        <f t="shared" si="3"/>
        <v>93</v>
      </c>
      <c r="K28" s="209">
        <f t="shared" si="3"/>
        <v>103</v>
      </c>
      <c r="L28" s="209">
        <f t="shared" si="3"/>
        <v>72</v>
      </c>
      <c r="M28" s="209">
        <f t="shared" si="3"/>
        <v>111</v>
      </c>
      <c r="N28" s="209">
        <f t="shared" si="3"/>
        <v>144</v>
      </c>
      <c r="O28" s="209">
        <f t="shared" si="3"/>
        <v>106</v>
      </c>
      <c r="P28" s="209">
        <f t="shared" si="3"/>
        <v>123</v>
      </c>
      <c r="Q28" s="209">
        <f t="shared" si="3"/>
        <v>108</v>
      </c>
      <c r="R28" s="209">
        <f t="shared" si="3"/>
        <v>151</v>
      </c>
      <c r="S28" s="209">
        <f t="shared" si="3"/>
        <v>109</v>
      </c>
      <c r="T28" s="209">
        <f t="shared" si="3"/>
        <v>119</v>
      </c>
      <c r="U28" s="209">
        <f t="shared" si="3"/>
        <v>156</v>
      </c>
      <c r="V28" s="209">
        <f t="shared" si="3"/>
        <v>155</v>
      </c>
      <c r="W28" s="209">
        <f t="shared" si="3"/>
        <v>127</v>
      </c>
      <c r="X28" s="209">
        <f t="shared" si="3"/>
        <v>131</v>
      </c>
      <c r="Y28" s="209">
        <f t="shared" si="3"/>
        <v>131</v>
      </c>
      <c r="Z28" s="209">
        <f t="shared" si="3"/>
        <v>177</v>
      </c>
      <c r="AA28" s="209">
        <f t="shared" si="3"/>
        <v>161</v>
      </c>
      <c r="AB28" s="209">
        <f t="shared" si="3"/>
        <v>160</v>
      </c>
      <c r="AC28" s="209">
        <f t="shared" si="3"/>
        <v>144</v>
      </c>
      <c r="AD28" s="209">
        <f t="shared" si="3"/>
        <v>117</v>
      </c>
      <c r="AE28" s="209">
        <f t="shared" si="3"/>
        <v>119</v>
      </c>
      <c r="AF28" s="209">
        <f t="shared" si="3"/>
        <v>0</v>
      </c>
      <c r="AG28" s="164">
        <f t="shared" si="2"/>
        <v>3845</v>
      </c>
    </row>
    <row r="29" spans="1:33" ht="18.75" x14ac:dyDescent="0.25">
      <c r="A29" s="301" t="s">
        <v>144</v>
      </c>
      <c r="B29" s="249">
        <v>1</v>
      </c>
      <c r="C29" s="162">
        <v>3</v>
      </c>
      <c r="D29" s="162">
        <v>4</v>
      </c>
      <c r="E29" s="162">
        <v>3</v>
      </c>
      <c r="F29" s="162">
        <v>1</v>
      </c>
      <c r="G29" s="162"/>
      <c r="H29" s="162"/>
      <c r="I29" s="162">
        <v>1</v>
      </c>
      <c r="J29" s="162"/>
      <c r="K29" s="162"/>
      <c r="L29" s="162"/>
      <c r="M29" s="162">
        <v>1</v>
      </c>
      <c r="N29" s="162"/>
      <c r="O29" s="162"/>
      <c r="P29" s="162">
        <v>2</v>
      </c>
      <c r="Q29" s="162">
        <v>2</v>
      </c>
      <c r="R29" s="162">
        <v>10</v>
      </c>
      <c r="S29" s="162">
        <v>1</v>
      </c>
      <c r="T29" s="162">
        <v>2</v>
      </c>
      <c r="U29" s="162"/>
      <c r="V29" s="162">
        <v>3</v>
      </c>
      <c r="W29" s="162">
        <v>2</v>
      </c>
      <c r="X29" s="162"/>
      <c r="Y29" s="162"/>
      <c r="Z29" s="162">
        <v>3</v>
      </c>
      <c r="AA29" s="162">
        <v>3</v>
      </c>
      <c r="AB29" s="162">
        <v>3</v>
      </c>
      <c r="AC29" s="162"/>
      <c r="AD29" s="162"/>
      <c r="AE29" s="162">
        <v>1</v>
      </c>
      <c r="AF29" s="161"/>
      <c r="AG29" s="64">
        <f t="shared" si="2"/>
        <v>46</v>
      </c>
    </row>
    <row r="30" spans="1:33" ht="18.75" x14ac:dyDescent="0.25">
      <c r="A30" s="301" t="s">
        <v>143</v>
      </c>
      <c r="B30" s="249">
        <v>3</v>
      </c>
      <c r="C30" s="162">
        <v>2</v>
      </c>
      <c r="D30" s="162">
        <v>1</v>
      </c>
      <c r="E30" s="162">
        <v>7</v>
      </c>
      <c r="F30" s="162">
        <v>1</v>
      </c>
      <c r="G30" s="162">
        <v>4</v>
      </c>
      <c r="H30" s="162">
        <v>1</v>
      </c>
      <c r="I30" s="162">
        <v>8</v>
      </c>
      <c r="J30" s="162">
        <v>2</v>
      </c>
      <c r="K30" s="162"/>
      <c r="L30" s="162">
        <v>5</v>
      </c>
      <c r="M30" s="162">
        <v>3</v>
      </c>
      <c r="N30" s="162">
        <v>1</v>
      </c>
      <c r="O30" s="162">
        <v>1</v>
      </c>
      <c r="P30" s="162">
        <v>1</v>
      </c>
      <c r="Q30" s="162">
        <v>2</v>
      </c>
      <c r="R30" s="162">
        <v>6</v>
      </c>
      <c r="S30" s="162">
        <v>2</v>
      </c>
      <c r="T30" s="162">
        <v>1</v>
      </c>
      <c r="U30" s="162">
        <v>4</v>
      </c>
      <c r="V30" s="162">
        <v>6</v>
      </c>
      <c r="W30" s="162">
        <v>4</v>
      </c>
      <c r="X30" s="162">
        <v>5</v>
      </c>
      <c r="Y30" s="162">
        <v>2</v>
      </c>
      <c r="Z30" s="162">
        <v>4</v>
      </c>
      <c r="AA30" s="162">
        <v>5</v>
      </c>
      <c r="AB30" s="162">
        <v>6</v>
      </c>
      <c r="AC30" s="162">
        <v>4</v>
      </c>
      <c r="AD30" s="162">
        <v>2</v>
      </c>
      <c r="AE30" s="162">
        <v>1</v>
      </c>
      <c r="AF30" s="161"/>
      <c r="AG30" s="64">
        <f t="shared" si="2"/>
        <v>94</v>
      </c>
    </row>
    <row r="31" spans="1:33" ht="18.75" x14ac:dyDescent="0.25">
      <c r="A31" s="301" t="s">
        <v>142</v>
      </c>
      <c r="B31" s="249">
        <v>3</v>
      </c>
      <c r="C31" s="162">
        <v>4</v>
      </c>
      <c r="D31" s="162">
        <v>3</v>
      </c>
      <c r="E31" s="162">
        <v>6</v>
      </c>
      <c r="F31" s="162">
        <v>5</v>
      </c>
      <c r="G31" s="162">
        <v>3</v>
      </c>
      <c r="H31" s="162">
        <v>3</v>
      </c>
      <c r="I31" s="162">
        <v>6</v>
      </c>
      <c r="J31" s="162">
        <v>3</v>
      </c>
      <c r="K31" s="162">
        <v>1</v>
      </c>
      <c r="L31" s="162">
        <v>6</v>
      </c>
      <c r="M31" s="162">
        <v>10</v>
      </c>
      <c r="N31" s="162">
        <v>4</v>
      </c>
      <c r="O31" s="162">
        <v>1</v>
      </c>
      <c r="P31" s="162">
        <v>4</v>
      </c>
      <c r="Q31" s="162">
        <v>2</v>
      </c>
      <c r="R31" s="162">
        <v>12</v>
      </c>
      <c r="S31" s="162">
        <v>12</v>
      </c>
      <c r="T31" s="162">
        <v>3</v>
      </c>
      <c r="U31" s="162">
        <v>6</v>
      </c>
      <c r="V31" s="162"/>
      <c r="W31" s="162"/>
      <c r="X31" s="162">
        <v>1</v>
      </c>
      <c r="Y31" s="162">
        <v>3</v>
      </c>
      <c r="Z31" s="162">
        <v>6</v>
      </c>
      <c r="AA31" s="162">
        <v>9</v>
      </c>
      <c r="AB31" s="162">
        <v>5</v>
      </c>
      <c r="AC31" s="162">
        <v>3</v>
      </c>
      <c r="AD31" s="162">
        <v>2</v>
      </c>
      <c r="AE31" s="162">
        <v>2</v>
      </c>
      <c r="AF31" s="161"/>
      <c r="AG31" s="64">
        <f t="shared" si="2"/>
        <v>128</v>
      </c>
    </row>
    <row r="32" spans="1:33" ht="18.75" x14ac:dyDescent="0.25">
      <c r="A32" s="301" t="s">
        <v>141</v>
      </c>
      <c r="B32" s="249">
        <v>2</v>
      </c>
      <c r="C32" s="162">
        <v>2</v>
      </c>
      <c r="D32" s="162">
        <v>4</v>
      </c>
      <c r="E32" s="162">
        <v>9</v>
      </c>
      <c r="F32" s="162">
        <v>10</v>
      </c>
      <c r="G32" s="162">
        <v>2</v>
      </c>
      <c r="H32" s="162">
        <v>3</v>
      </c>
      <c r="I32" s="162">
        <v>2</v>
      </c>
      <c r="J32" s="162">
        <v>1</v>
      </c>
      <c r="K32" s="162"/>
      <c r="L32" s="162">
        <v>6</v>
      </c>
      <c r="M32" s="162">
        <v>10</v>
      </c>
      <c r="N32" s="162">
        <v>5</v>
      </c>
      <c r="O32" s="162">
        <v>1</v>
      </c>
      <c r="P32" s="162"/>
      <c r="Q32" s="162">
        <v>4</v>
      </c>
      <c r="R32" s="162">
        <v>9</v>
      </c>
      <c r="S32" s="162">
        <v>7</v>
      </c>
      <c r="T32" s="162">
        <v>11</v>
      </c>
      <c r="U32" s="162">
        <v>2</v>
      </c>
      <c r="V32" s="162">
        <v>7</v>
      </c>
      <c r="W32" s="162">
        <v>2</v>
      </c>
      <c r="X32" s="162">
        <v>6</v>
      </c>
      <c r="Y32" s="162">
        <v>3</v>
      </c>
      <c r="Z32" s="162">
        <v>10</v>
      </c>
      <c r="AA32" s="162">
        <v>6</v>
      </c>
      <c r="AB32" s="162">
        <v>4</v>
      </c>
      <c r="AC32" s="162">
        <v>5</v>
      </c>
      <c r="AD32" s="162">
        <v>1</v>
      </c>
      <c r="AE32" s="162">
        <v>1</v>
      </c>
      <c r="AF32" s="161"/>
      <c r="AG32" s="64">
        <f t="shared" si="2"/>
        <v>135</v>
      </c>
    </row>
    <row r="33" spans="1:33" ht="18.75" x14ac:dyDescent="0.25">
      <c r="A33" s="301" t="s">
        <v>140</v>
      </c>
      <c r="B33" s="249">
        <v>4</v>
      </c>
      <c r="C33" s="162">
        <v>3</v>
      </c>
      <c r="D33" s="162"/>
      <c r="E33" s="162">
        <v>8</v>
      </c>
      <c r="F33" s="162">
        <v>6</v>
      </c>
      <c r="G33" s="162">
        <v>3</v>
      </c>
      <c r="H33" s="162">
        <v>3</v>
      </c>
      <c r="I33" s="162">
        <v>3</v>
      </c>
      <c r="J33" s="162">
        <v>1</v>
      </c>
      <c r="K33" s="162">
        <v>3</v>
      </c>
      <c r="L33" s="162">
        <v>8</v>
      </c>
      <c r="M33" s="162">
        <v>12</v>
      </c>
      <c r="N33" s="162">
        <v>2</v>
      </c>
      <c r="O33" s="162">
        <v>2</v>
      </c>
      <c r="P33" s="162">
        <v>1</v>
      </c>
      <c r="Q33" s="162">
        <v>1</v>
      </c>
      <c r="R33" s="162">
        <v>10</v>
      </c>
      <c r="S33" s="162">
        <v>5</v>
      </c>
      <c r="T33" s="162">
        <v>5</v>
      </c>
      <c r="U33" s="162"/>
      <c r="V33" s="162">
        <v>2</v>
      </c>
      <c r="W33" s="162">
        <v>4</v>
      </c>
      <c r="X33" s="162">
        <v>3</v>
      </c>
      <c r="Y33" s="162">
        <v>2</v>
      </c>
      <c r="Z33" s="162">
        <v>14</v>
      </c>
      <c r="AA33" s="162">
        <v>9</v>
      </c>
      <c r="AB33" s="162"/>
      <c r="AC33" s="162">
        <v>1</v>
      </c>
      <c r="AD33" s="162">
        <v>2</v>
      </c>
      <c r="AE33" s="162">
        <v>3</v>
      </c>
      <c r="AF33" s="161"/>
      <c r="AG33" s="64">
        <f t="shared" si="2"/>
        <v>120</v>
      </c>
    </row>
    <row r="34" spans="1:33" ht="18.75" x14ac:dyDescent="0.25">
      <c r="A34" s="301" t="s">
        <v>139</v>
      </c>
      <c r="B34" s="249">
        <v>1</v>
      </c>
      <c r="C34" s="162">
        <v>1</v>
      </c>
      <c r="D34" s="162"/>
      <c r="E34" s="162">
        <v>12</v>
      </c>
      <c r="F34" s="162">
        <v>8</v>
      </c>
      <c r="G34" s="162"/>
      <c r="H34" s="162">
        <v>4</v>
      </c>
      <c r="I34" s="162">
        <v>1</v>
      </c>
      <c r="J34" s="162">
        <v>1</v>
      </c>
      <c r="K34" s="162">
        <v>1</v>
      </c>
      <c r="L34" s="162">
        <v>6</v>
      </c>
      <c r="M34" s="162">
        <v>7</v>
      </c>
      <c r="N34" s="162"/>
      <c r="O34" s="162">
        <v>2</v>
      </c>
      <c r="P34" s="162">
        <v>2</v>
      </c>
      <c r="Q34" s="162">
        <v>1</v>
      </c>
      <c r="R34" s="162">
        <v>9</v>
      </c>
      <c r="S34" s="162">
        <v>7</v>
      </c>
      <c r="T34" s="162">
        <v>10</v>
      </c>
      <c r="U34" s="162">
        <v>1</v>
      </c>
      <c r="V34" s="162"/>
      <c r="W34" s="162">
        <v>1</v>
      </c>
      <c r="X34" s="162">
        <v>3</v>
      </c>
      <c r="Y34" s="162">
        <v>2</v>
      </c>
      <c r="Z34" s="162">
        <v>16</v>
      </c>
      <c r="AA34" s="162">
        <v>12</v>
      </c>
      <c r="AB34" s="162"/>
      <c r="AC34" s="162">
        <v>3</v>
      </c>
      <c r="AD34" s="162">
        <v>4</v>
      </c>
      <c r="AE34" s="162">
        <v>6</v>
      </c>
      <c r="AF34" s="161"/>
      <c r="AG34" s="64">
        <f t="shared" si="2"/>
        <v>121</v>
      </c>
    </row>
    <row r="35" spans="1:33" ht="18.75" x14ac:dyDescent="0.25">
      <c r="A35" s="301" t="s">
        <v>138</v>
      </c>
      <c r="B35" s="249"/>
      <c r="C35" s="162">
        <v>1</v>
      </c>
      <c r="D35" s="162">
        <v>5</v>
      </c>
      <c r="E35" s="162">
        <v>7</v>
      </c>
      <c r="F35" s="162">
        <v>14</v>
      </c>
      <c r="G35" s="162">
        <v>2</v>
      </c>
      <c r="H35" s="162">
        <v>2</v>
      </c>
      <c r="I35" s="162">
        <v>3</v>
      </c>
      <c r="J35" s="162">
        <v>4</v>
      </c>
      <c r="K35" s="162">
        <v>3</v>
      </c>
      <c r="L35" s="162"/>
      <c r="M35" s="162">
        <v>2</v>
      </c>
      <c r="N35" s="162">
        <v>4</v>
      </c>
      <c r="O35" s="162">
        <v>4</v>
      </c>
      <c r="P35" s="162">
        <v>1</v>
      </c>
      <c r="Q35" s="162"/>
      <c r="R35" s="162">
        <v>4</v>
      </c>
      <c r="S35" s="162">
        <v>7</v>
      </c>
      <c r="T35" s="162">
        <v>2</v>
      </c>
      <c r="U35" s="162">
        <v>2</v>
      </c>
      <c r="V35" s="162">
        <v>3</v>
      </c>
      <c r="W35" s="162">
        <v>3</v>
      </c>
      <c r="X35" s="162"/>
      <c r="Y35" s="162">
        <v>4</v>
      </c>
      <c r="Z35" s="162">
        <v>7</v>
      </c>
      <c r="AA35" s="162">
        <v>12</v>
      </c>
      <c r="AB35" s="162">
        <v>5</v>
      </c>
      <c r="AC35" s="162">
        <v>1</v>
      </c>
      <c r="AD35" s="162">
        <v>1</v>
      </c>
      <c r="AE35" s="162">
        <v>6</v>
      </c>
      <c r="AF35" s="161"/>
      <c r="AG35" s="64">
        <f t="shared" si="2"/>
        <v>109</v>
      </c>
    </row>
    <row r="36" spans="1:33" ht="18.75" x14ac:dyDescent="0.25">
      <c r="A36" s="301" t="s">
        <v>137</v>
      </c>
      <c r="B36" s="249">
        <v>4</v>
      </c>
      <c r="C36" s="162">
        <v>1</v>
      </c>
      <c r="D36" s="162">
        <v>4</v>
      </c>
      <c r="E36" s="162">
        <v>7</v>
      </c>
      <c r="F36" s="162">
        <v>7</v>
      </c>
      <c r="G36" s="162">
        <v>2</v>
      </c>
      <c r="H36" s="162">
        <v>2</v>
      </c>
      <c r="I36" s="162">
        <v>3</v>
      </c>
      <c r="J36" s="162">
        <v>1</v>
      </c>
      <c r="K36" s="162"/>
      <c r="L36" s="162">
        <v>12</v>
      </c>
      <c r="M36" s="162">
        <v>7</v>
      </c>
      <c r="N36" s="162">
        <v>4</v>
      </c>
      <c r="O36" s="162">
        <v>1</v>
      </c>
      <c r="P36" s="162">
        <v>2</v>
      </c>
      <c r="Q36" s="162"/>
      <c r="R36" s="162">
        <v>6</v>
      </c>
      <c r="S36" s="162">
        <v>5</v>
      </c>
      <c r="T36" s="162">
        <v>10</v>
      </c>
      <c r="U36" s="162">
        <v>6</v>
      </c>
      <c r="V36" s="162">
        <v>5</v>
      </c>
      <c r="W36" s="162">
        <v>1</v>
      </c>
      <c r="X36" s="162">
        <v>4</v>
      </c>
      <c r="Y36" s="162">
        <v>2</v>
      </c>
      <c r="Z36" s="162">
        <v>12</v>
      </c>
      <c r="AA36" s="162">
        <v>7</v>
      </c>
      <c r="AB36" s="162">
        <v>4</v>
      </c>
      <c r="AC36" s="162">
        <v>3</v>
      </c>
      <c r="AD36" s="162">
        <v>4</v>
      </c>
      <c r="AE36" s="162"/>
      <c r="AF36" s="161"/>
      <c r="AG36" s="64">
        <f t="shared" si="2"/>
        <v>126</v>
      </c>
    </row>
    <row r="37" spans="1:33" ht="18.75" x14ac:dyDescent="0.25">
      <c r="A37" s="301" t="s">
        <v>136</v>
      </c>
      <c r="B37" s="249">
        <v>2</v>
      </c>
      <c r="C37" s="162">
        <v>5</v>
      </c>
      <c r="D37" s="162">
        <v>5</v>
      </c>
      <c r="E37" s="162">
        <v>10</v>
      </c>
      <c r="F37" s="162">
        <v>9</v>
      </c>
      <c r="G37" s="162">
        <v>2</v>
      </c>
      <c r="H37" s="162">
        <v>5</v>
      </c>
      <c r="I37" s="162">
        <v>2</v>
      </c>
      <c r="J37" s="162">
        <v>3</v>
      </c>
      <c r="K37" s="162">
        <v>3</v>
      </c>
      <c r="L37" s="162">
        <v>13</v>
      </c>
      <c r="M37" s="162">
        <v>10</v>
      </c>
      <c r="N37" s="162">
        <v>2</v>
      </c>
      <c r="O37" s="162">
        <v>5</v>
      </c>
      <c r="P37" s="162">
        <v>2</v>
      </c>
      <c r="Q37" s="162">
        <v>1</v>
      </c>
      <c r="R37" s="162">
        <v>13</v>
      </c>
      <c r="S37" s="162">
        <v>4</v>
      </c>
      <c r="T37" s="162">
        <v>8</v>
      </c>
      <c r="U37" s="162">
        <v>5</v>
      </c>
      <c r="V37" s="162">
        <v>3</v>
      </c>
      <c r="W37" s="162">
        <v>3</v>
      </c>
      <c r="X37" s="162">
        <v>6</v>
      </c>
      <c r="Y37" s="162">
        <v>6</v>
      </c>
      <c r="Z37" s="162">
        <v>16</v>
      </c>
      <c r="AA37" s="162">
        <v>15</v>
      </c>
      <c r="AB37" s="162">
        <v>4</v>
      </c>
      <c r="AC37" s="162">
        <v>2</v>
      </c>
      <c r="AD37" s="162">
        <v>5</v>
      </c>
      <c r="AE37" s="162">
        <v>2</v>
      </c>
      <c r="AF37" s="161"/>
      <c r="AG37" s="64">
        <f t="shared" si="2"/>
        <v>171</v>
      </c>
    </row>
    <row r="38" spans="1:33" ht="18.75" x14ac:dyDescent="0.25">
      <c r="A38" s="301" t="s">
        <v>135</v>
      </c>
      <c r="B38" s="249">
        <v>5</v>
      </c>
      <c r="C38" s="162">
        <v>6</v>
      </c>
      <c r="D38" s="162">
        <v>9</v>
      </c>
      <c r="E38" s="162">
        <v>11</v>
      </c>
      <c r="F38" s="162">
        <v>11</v>
      </c>
      <c r="G38" s="162">
        <v>2</v>
      </c>
      <c r="H38" s="162">
        <v>6</v>
      </c>
      <c r="I38" s="162">
        <v>6</v>
      </c>
      <c r="J38" s="162">
        <v>5</v>
      </c>
      <c r="K38" s="162">
        <v>5</v>
      </c>
      <c r="L38" s="162">
        <v>1</v>
      </c>
      <c r="M38" s="162">
        <v>13</v>
      </c>
      <c r="N38" s="162">
        <v>4</v>
      </c>
      <c r="O38" s="162">
        <v>1</v>
      </c>
      <c r="P38" s="162">
        <v>3</v>
      </c>
      <c r="Q38" s="162">
        <v>5</v>
      </c>
      <c r="R38" s="162">
        <v>6</v>
      </c>
      <c r="S38" s="162">
        <v>7</v>
      </c>
      <c r="T38" s="162">
        <v>10</v>
      </c>
      <c r="U38" s="162">
        <v>8</v>
      </c>
      <c r="V38" s="162">
        <v>8</v>
      </c>
      <c r="W38" s="162">
        <v>6</v>
      </c>
      <c r="X38" s="162">
        <v>3</v>
      </c>
      <c r="Y38" s="162">
        <v>3</v>
      </c>
      <c r="Z38" s="162">
        <v>14</v>
      </c>
      <c r="AA38" s="162">
        <v>17</v>
      </c>
      <c r="AB38" s="162">
        <v>7</v>
      </c>
      <c r="AC38" s="162">
        <v>5</v>
      </c>
      <c r="AD38" s="162">
        <v>8</v>
      </c>
      <c r="AE38" s="162">
        <v>2</v>
      </c>
      <c r="AF38" s="161"/>
      <c r="AG38" s="64">
        <f t="shared" si="2"/>
        <v>197</v>
      </c>
    </row>
    <row r="39" spans="1:33" ht="18.75" x14ac:dyDescent="0.25">
      <c r="A39" s="301" t="s">
        <v>134</v>
      </c>
      <c r="B39" s="249">
        <v>15</v>
      </c>
      <c r="C39" s="162">
        <v>15</v>
      </c>
      <c r="D39" s="162">
        <v>26</v>
      </c>
      <c r="E39" s="162">
        <v>10</v>
      </c>
      <c r="F39" s="162">
        <v>14</v>
      </c>
      <c r="G39" s="162">
        <v>17</v>
      </c>
      <c r="H39" s="162">
        <v>23</v>
      </c>
      <c r="I39" s="162">
        <v>15</v>
      </c>
      <c r="J39" s="162">
        <v>16</v>
      </c>
      <c r="K39" s="162">
        <v>21</v>
      </c>
      <c r="L39" s="162"/>
      <c r="M39" s="162">
        <v>5</v>
      </c>
      <c r="N39" s="162">
        <v>22</v>
      </c>
      <c r="O39" s="162">
        <v>14</v>
      </c>
      <c r="P39" s="162">
        <v>20</v>
      </c>
      <c r="Q39" s="162">
        <v>21</v>
      </c>
      <c r="R39" s="162">
        <v>11</v>
      </c>
      <c r="S39" s="162">
        <v>7</v>
      </c>
      <c r="T39" s="162">
        <v>6</v>
      </c>
      <c r="U39" s="162">
        <v>16</v>
      </c>
      <c r="V39" s="162">
        <v>26</v>
      </c>
      <c r="W39" s="162">
        <v>19</v>
      </c>
      <c r="X39" s="162">
        <v>11</v>
      </c>
      <c r="Y39" s="162">
        <v>21</v>
      </c>
      <c r="Z39" s="162">
        <v>20</v>
      </c>
      <c r="AA39" s="162">
        <v>6</v>
      </c>
      <c r="AB39" s="162">
        <v>20</v>
      </c>
      <c r="AC39" s="162">
        <v>22</v>
      </c>
      <c r="AD39" s="162">
        <v>19</v>
      </c>
      <c r="AE39" s="162">
        <v>17</v>
      </c>
      <c r="AF39" s="161"/>
      <c r="AG39" s="64">
        <f t="shared" si="2"/>
        <v>475</v>
      </c>
    </row>
    <row r="40" spans="1:33" ht="18.75" x14ac:dyDescent="0.25">
      <c r="A40" s="301" t="s">
        <v>133</v>
      </c>
      <c r="B40" s="249">
        <v>20</v>
      </c>
      <c r="C40" s="162">
        <v>17</v>
      </c>
      <c r="D40" s="162">
        <v>20</v>
      </c>
      <c r="E40" s="162">
        <v>11</v>
      </c>
      <c r="F40" s="162">
        <v>8</v>
      </c>
      <c r="G40" s="162">
        <v>26</v>
      </c>
      <c r="H40" s="162">
        <v>14</v>
      </c>
      <c r="I40" s="162">
        <v>19</v>
      </c>
      <c r="J40" s="162">
        <v>20</v>
      </c>
      <c r="K40" s="162">
        <v>19</v>
      </c>
      <c r="L40" s="162"/>
      <c r="M40" s="162">
        <v>5</v>
      </c>
      <c r="N40" s="162">
        <v>31</v>
      </c>
      <c r="O40" s="162">
        <v>20</v>
      </c>
      <c r="P40" s="162">
        <v>17</v>
      </c>
      <c r="Q40" s="162">
        <v>16</v>
      </c>
      <c r="R40" s="162">
        <v>14</v>
      </c>
      <c r="S40" s="162">
        <v>7</v>
      </c>
      <c r="T40" s="162">
        <v>13</v>
      </c>
      <c r="U40" s="162">
        <v>22</v>
      </c>
      <c r="V40" s="162">
        <v>26</v>
      </c>
      <c r="W40" s="162">
        <v>18</v>
      </c>
      <c r="X40" s="162">
        <v>13</v>
      </c>
      <c r="Y40" s="162">
        <v>19</v>
      </c>
      <c r="Z40" s="162">
        <v>9</v>
      </c>
      <c r="AA40" s="162">
        <v>11</v>
      </c>
      <c r="AB40" s="162">
        <v>21</v>
      </c>
      <c r="AC40" s="162">
        <v>24</v>
      </c>
      <c r="AD40" s="162">
        <v>21</v>
      </c>
      <c r="AE40" s="162">
        <v>19</v>
      </c>
      <c r="AF40" s="161"/>
      <c r="AG40" s="64">
        <f t="shared" si="2"/>
        <v>500</v>
      </c>
    </row>
    <row r="41" spans="1:33" ht="18.75" x14ac:dyDescent="0.25">
      <c r="A41" s="301" t="s">
        <v>132</v>
      </c>
      <c r="B41" s="249">
        <v>17</v>
      </c>
      <c r="C41" s="162">
        <v>14</v>
      </c>
      <c r="D41" s="162">
        <v>8</v>
      </c>
      <c r="E41" s="162">
        <v>6</v>
      </c>
      <c r="F41" s="162">
        <v>3</v>
      </c>
      <c r="G41" s="162">
        <v>21</v>
      </c>
      <c r="H41" s="162">
        <v>19</v>
      </c>
      <c r="I41" s="162">
        <v>18</v>
      </c>
      <c r="J41" s="162">
        <v>8</v>
      </c>
      <c r="K41" s="162">
        <v>15</v>
      </c>
      <c r="L41" s="162"/>
      <c r="M41" s="162">
        <v>4</v>
      </c>
      <c r="N41" s="162">
        <v>22</v>
      </c>
      <c r="O41" s="162">
        <v>19</v>
      </c>
      <c r="P41" s="162">
        <v>18</v>
      </c>
      <c r="Q41" s="162">
        <v>10</v>
      </c>
      <c r="R41" s="162">
        <v>11</v>
      </c>
      <c r="S41" s="162">
        <v>6</v>
      </c>
      <c r="T41" s="162">
        <v>8</v>
      </c>
      <c r="U41" s="162">
        <v>18</v>
      </c>
      <c r="V41" s="162">
        <v>23</v>
      </c>
      <c r="W41" s="162">
        <v>20</v>
      </c>
      <c r="X41" s="162">
        <v>16</v>
      </c>
      <c r="Y41" s="162">
        <v>24</v>
      </c>
      <c r="Z41" s="162">
        <v>8</v>
      </c>
      <c r="AA41" s="162">
        <v>13</v>
      </c>
      <c r="AB41" s="162">
        <v>28</v>
      </c>
      <c r="AC41" s="162">
        <v>23</v>
      </c>
      <c r="AD41" s="162">
        <v>9</v>
      </c>
      <c r="AE41" s="162">
        <v>16</v>
      </c>
      <c r="AF41" s="161"/>
      <c r="AG41" s="64">
        <f t="shared" si="2"/>
        <v>425</v>
      </c>
    </row>
    <row r="42" spans="1:33" ht="18.75" x14ac:dyDescent="0.25">
      <c r="A42" s="301" t="s">
        <v>131</v>
      </c>
      <c r="B42" s="249">
        <v>16</v>
      </c>
      <c r="C42" s="162">
        <v>13</v>
      </c>
      <c r="D42" s="162">
        <v>11</v>
      </c>
      <c r="E42" s="162">
        <v>8</v>
      </c>
      <c r="F42" s="162">
        <v>9</v>
      </c>
      <c r="G42" s="162">
        <v>14</v>
      </c>
      <c r="H42" s="162">
        <v>14</v>
      </c>
      <c r="I42" s="162">
        <v>19</v>
      </c>
      <c r="J42" s="162">
        <v>4</v>
      </c>
      <c r="K42" s="162">
        <v>4</v>
      </c>
      <c r="L42" s="162"/>
      <c r="M42" s="162">
        <v>5</v>
      </c>
      <c r="N42" s="162">
        <v>14</v>
      </c>
      <c r="O42" s="162">
        <v>14</v>
      </c>
      <c r="P42" s="162">
        <v>12</v>
      </c>
      <c r="Q42" s="162">
        <v>14</v>
      </c>
      <c r="R42" s="162">
        <v>5</v>
      </c>
      <c r="S42" s="162">
        <v>11</v>
      </c>
      <c r="T42" s="162">
        <v>10</v>
      </c>
      <c r="U42" s="162">
        <v>20</v>
      </c>
      <c r="V42" s="162">
        <v>15</v>
      </c>
      <c r="W42" s="162">
        <v>15</v>
      </c>
      <c r="X42" s="162">
        <v>16</v>
      </c>
      <c r="Y42" s="162">
        <v>14</v>
      </c>
      <c r="Z42" s="162">
        <v>10</v>
      </c>
      <c r="AA42" s="162">
        <v>8</v>
      </c>
      <c r="AB42" s="162">
        <v>20</v>
      </c>
      <c r="AC42" s="162">
        <v>17</v>
      </c>
      <c r="AD42" s="162">
        <v>12</v>
      </c>
      <c r="AE42" s="162">
        <v>16</v>
      </c>
      <c r="AF42" s="161"/>
      <c r="AG42" s="64">
        <f t="shared" si="2"/>
        <v>360</v>
      </c>
    </row>
    <row r="43" spans="1:33" ht="18.75" x14ac:dyDescent="0.25">
      <c r="A43" s="301" t="s">
        <v>130</v>
      </c>
      <c r="B43" s="249">
        <v>14</v>
      </c>
      <c r="C43" s="162">
        <v>12</v>
      </c>
      <c r="D43" s="162">
        <v>5</v>
      </c>
      <c r="E43" s="162">
        <v>3</v>
      </c>
      <c r="F43" s="162">
        <v>5</v>
      </c>
      <c r="G43" s="162">
        <v>8</v>
      </c>
      <c r="H43" s="162">
        <v>15</v>
      </c>
      <c r="I43" s="162">
        <v>8</v>
      </c>
      <c r="J43" s="162">
        <v>12</v>
      </c>
      <c r="K43" s="162">
        <v>16</v>
      </c>
      <c r="L43" s="162"/>
      <c r="M43" s="162">
        <v>2</v>
      </c>
      <c r="N43" s="162">
        <v>8</v>
      </c>
      <c r="O43" s="162">
        <v>12</v>
      </c>
      <c r="P43" s="162">
        <v>10</v>
      </c>
      <c r="Q43" s="162">
        <v>9</v>
      </c>
      <c r="R43" s="162">
        <v>7</v>
      </c>
      <c r="S43" s="162">
        <v>10</v>
      </c>
      <c r="T43" s="162">
        <v>3</v>
      </c>
      <c r="U43" s="162">
        <v>21</v>
      </c>
      <c r="V43" s="162">
        <v>9</v>
      </c>
      <c r="W43" s="162">
        <v>10</v>
      </c>
      <c r="X43" s="162">
        <v>10</v>
      </c>
      <c r="Y43" s="162">
        <v>12</v>
      </c>
      <c r="Z43" s="162">
        <v>9</v>
      </c>
      <c r="AA43" s="162">
        <v>6</v>
      </c>
      <c r="AB43" s="162">
        <v>12</v>
      </c>
      <c r="AC43" s="162">
        <v>11</v>
      </c>
      <c r="AD43" s="162">
        <v>8</v>
      </c>
      <c r="AE43" s="162">
        <v>13</v>
      </c>
      <c r="AF43" s="161"/>
      <c r="AG43" s="64">
        <f t="shared" si="2"/>
        <v>280</v>
      </c>
    </row>
    <row r="44" spans="1:33" ht="18.75" x14ac:dyDescent="0.25">
      <c r="A44" s="301" t="s">
        <v>129</v>
      </c>
      <c r="B44" s="249">
        <v>5</v>
      </c>
      <c r="C44" s="162">
        <v>1</v>
      </c>
      <c r="D44" s="162">
        <v>7</v>
      </c>
      <c r="E44" s="162">
        <v>6</v>
      </c>
      <c r="F44" s="162">
        <v>3</v>
      </c>
      <c r="G44" s="162">
        <v>5</v>
      </c>
      <c r="H44" s="162">
        <v>4</v>
      </c>
      <c r="I44" s="162">
        <v>11</v>
      </c>
      <c r="J44" s="162">
        <v>5</v>
      </c>
      <c r="K44" s="162">
        <v>4</v>
      </c>
      <c r="L44" s="162">
        <v>8</v>
      </c>
      <c r="M44" s="162">
        <v>7</v>
      </c>
      <c r="N44" s="162">
        <v>7</v>
      </c>
      <c r="O44" s="162">
        <v>2</v>
      </c>
      <c r="P44" s="162">
        <v>5</v>
      </c>
      <c r="Q44" s="162">
        <v>3</v>
      </c>
      <c r="R44" s="162">
        <v>4</v>
      </c>
      <c r="S44" s="162">
        <v>2</v>
      </c>
      <c r="T44" s="162">
        <v>6</v>
      </c>
      <c r="U44" s="162">
        <v>5</v>
      </c>
      <c r="V44" s="162">
        <v>5</v>
      </c>
      <c r="W44" s="162">
        <v>7</v>
      </c>
      <c r="X44" s="162">
        <v>12</v>
      </c>
      <c r="Y44" s="162">
        <v>4</v>
      </c>
      <c r="Z44" s="162">
        <v>5</v>
      </c>
      <c r="AA44" s="162">
        <v>9</v>
      </c>
      <c r="AB44" s="162">
        <v>4</v>
      </c>
      <c r="AC44" s="162">
        <v>9</v>
      </c>
      <c r="AD44" s="162">
        <v>5</v>
      </c>
      <c r="AE44" s="162">
        <v>6</v>
      </c>
      <c r="AF44" s="161"/>
      <c r="AG44" s="64">
        <f t="shared" si="2"/>
        <v>166</v>
      </c>
    </row>
    <row r="45" spans="1:33" ht="18.75" x14ac:dyDescent="0.25">
      <c r="A45" s="301" t="s">
        <v>128</v>
      </c>
      <c r="B45" s="249">
        <v>9</v>
      </c>
      <c r="C45" s="162">
        <v>3</v>
      </c>
      <c r="D45" s="162">
        <v>2</v>
      </c>
      <c r="E45" s="162"/>
      <c r="F45" s="162">
        <v>2</v>
      </c>
      <c r="G45" s="162">
        <v>6</v>
      </c>
      <c r="H45" s="162">
        <v>3</v>
      </c>
      <c r="I45" s="162">
        <v>8</v>
      </c>
      <c r="J45" s="162">
        <v>3</v>
      </c>
      <c r="K45" s="162">
        <v>2</v>
      </c>
      <c r="L45" s="162">
        <v>1</v>
      </c>
      <c r="M45" s="162">
        <v>3</v>
      </c>
      <c r="N45" s="162">
        <v>3</v>
      </c>
      <c r="O45" s="162">
        <v>3</v>
      </c>
      <c r="P45" s="162">
        <v>9</v>
      </c>
      <c r="Q45" s="162">
        <v>4</v>
      </c>
      <c r="R45" s="162">
        <v>5</v>
      </c>
      <c r="S45" s="162">
        <v>3</v>
      </c>
      <c r="T45" s="162">
        <v>4</v>
      </c>
      <c r="U45" s="162">
        <v>11</v>
      </c>
      <c r="V45" s="162">
        <v>5</v>
      </c>
      <c r="W45" s="162">
        <v>6</v>
      </c>
      <c r="X45" s="162">
        <v>8</v>
      </c>
      <c r="Y45" s="162">
        <v>5</v>
      </c>
      <c r="Z45" s="162">
        <v>2</v>
      </c>
      <c r="AA45" s="162">
        <v>3</v>
      </c>
      <c r="AB45" s="162">
        <v>8</v>
      </c>
      <c r="AC45" s="162">
        <v>5</v>
      </c>
      <c r="AD45" s="162">
        <v>5</v>
      </c>
      <c r="AE45" s="162">
        <v>3</v>
      </c>
      <c r="AF45" s="161"/>
      <c r="AG45" s="64">
        <f t="shared" si="2"/>
        <v>134</v>
      </c>
    </row>
    <row r="46" spans="1:33" ht="18.75" x14ac:dyDescent="0.25">
      <c r="A46" s="301" t="s">
        <v>127</v>
      </c>
      <c r="B46" s="249">
        <v>3</v>
      </c>
      <c r="C46" s="162">
        <v>4</v>
      </c>
      <c r="D46" s="162">
        <v>3</v>
      </c>
      <c r="E46" s="162">
        <v>6</v>
      </c>
      <c r="F46" s="162">
        <v>3</v>
      </c>
      <c r="G46" s="162">
        <v>2</v>
      </c>
      <c r="H46" s="162">
        <v>3</v>
      </c>
      <c r="I46" s="162">
        <v>2</v>
      </c>
      <c r="J46" s="162">
        <v>3</v>
      </c>
      <c r="K46" s="162">
        <v>2</v>
      </c>
      <c r="L46" s="162">
        <v>4</v>
      </c>
      <c r="M46" s="162">
        <v>1</v>
      </c>
      <c r="N46" s="162">
        <v>4</v>
      </c>
      <c r="O46" s="162"/>
      <c r="P46" s="162">
        <v>5</v>
      </c>
      <c r="Q46" s="162">
        <v>6</v>
      </c>
      <c r="R46" s="162">
        <v>3</v>
      </c>
      <c r="S46" s="162">
        <v>2</v>
      </c>
      <c r="T46" s="162">
        <v>2</v>
      </c>
      <c r="U46" s="162">
        <v>4</v>
      </c>
      <c r="V46" s="162">
        <v>2</v>
      </c>
      <c r="W46" s="162"/>
      <c r="X46" s="162">
        <v>5</v>
      </c>
      <c r="Y46" s="162">
        <v>3</v>
      </c>
      <c r="Z46" s="162">
        <v>3</v>
      </c>
      <c r="AA46" s="162">
        <v>1</v>
      </c>
      <c r="AB46" s="162">
        <v>3</v>
      </c>
      <c r="AC46" s="162">
        <v>5</v>
      </c>
      <c r="AD46" s="162"/>
      <c r="AE46" s="162">
        <v>2</v>
      </c>
      <c r="AF46" s="161"/>
      <c r="AG46" s="64">
        <f t="shared" si="2"/>
        <v>86</v>
      </c>
    </row>
    <row r="47" spans="1:33" ht="18.75" x14ac:dyDescent="0.25">
      <c r="A47" s="301" t="s">
        <v>126</v>
      </c>
      <c r="B47" s="249">
        <v>1</v>
      </c>
      <c r="C47" s="162">
        <v>7</v>
      </c>
      <c r="D47" s="162">
        <v>4</v>
      </c>
      <c r="E47" s="162"/>
      <c r="F47" s="162">
        <v>1</v>
      </c>
      <c r="G47" s="162">
        <v>2</v>
      </c>
      <c r="H47" s="162">
        <v>3</v>
      </c>
      <c r="I47" s="162">
        <v>1</v>
      </c>
      <c r="J47" s="162">
        <v>1</v>
      </c>
      <c r="K47" s="162">
        <v>1</v>
      </c>
      <c r="L47" s="162"/>
      <c r="M47" s="162">
        <v>1</v>
      </c>
      <c r="N47" s="162">
        <v>2</v>
      </c>
      <c r="O47" s="162"/>
      <c r="P47" s="162">
        <v>1</v>
      </c>
      <c r="Q47" s="162">
        <v>2</v>
      </c>
      <c r="R47" s="162">
        <v>2</v>
      </c>
      <c r="S47" s="162"/>
      <c r="T47" s="162">
        <v>2</v>
      </c>
      <c r="U47" s="162"/>
      <c r="V47" s="162">
        <v>5</v>
      </c>
      <c r="W47" s="162">
        <v>3</v>
      </c>
      <c r="X47" s="162">
        <v>4</v>
      </c>
      <c r="Y47" s="162">
        <v>1</v>
      </c>
      <c r="Z47" s="162">
        <v>3</v>
      </c>
      <c r="AA47" s="162">
        <v>5</v>
      </c>
      <c r="AB47" s="162">
        <v>1</v>
      </c>
      <c r="AC47" s="162"/>
      <c r="AD47" s="162">
        <v>7</v>
      </c>
      <c r="AE47" s="162">
        <v>1</v>
      </c>
      <c r="AF47" s="161"/>
      <c r="AG47" s="64">
        <f t="shared" si="2"/>
        <v>61</v>
      </c>
    </row>
    <row r="48" spans="1:33" ht="18.75" x14ac:dyDescent="0.25">
      <c r="A48" s="301" t="s">
        <v>125</v>
      </c>
      <c r="B48" s="249"/>
      <c r="C48" s="162">
        <v>2</v>
      </c>
      <c r="D48" s="162">
        <v>3</v>
      </c>
      <c r="E48" s="162">
        <v>1</v>
      </c>
      <c r="F48" s="162">
        <v>1</v>
      </c>
      <c r="G48" s="162">
        <v>2</v>
      </c>
      <c r="H48" s="162">
        <v>1</v>
      </c>
      <c r="I48" s="162"/>
      <c r="J48" s="162"/>
      <c r="K48" s="162"/>
      <c r="L48" s="162">
        <v>1</v>
      </c>
      <c r="M48" s="162">
        <v>1</v>
      </c>
      <c r="N48" s="162">
        <v>1</v>
      </c>
      <c r="O48" s="162">
        <v>1</v>
      </c>
      <c r="P48" s="162">
        <v>5</v>
      </c>
      <c r="Q48" s="162">
        <v>1</v>
      </c>
      <c r="R48" s="162"/>
      <c r="S48" s="162">
        <v>1</v>
      </c>
      <c r="T48" s="162">
        <v>2</v>
      </c>
      <c r="U48" s="162">
        <v>3</v>
      </c>
      <c r="V48" s="162">
        <v>2</v>
      </c>
      <c r="W48" s="162"/>
      <c r="X48" s="162">
        <v>3</v>
      </c>
      <c r="Y48" s="162">
        <v>1</v>
      </c>
      <c r="Z48" s="162">
        <v>3</v>
      </c>
      <c r="AA48" s="162">
        <v>3</v>
      </c>
      <c r="AB48" s="162">
        <v>3</v>
      </c>
      <c r="AC48" s="162"/>
      <c r="AD48" s="162"/>
      <c r="AE48" s="162">
        <v>1</v>
      </c>
      <c r="AF48" s="161"/>
      <c r="AG48" s="64">
        <f t="shared" si="2"/>
        <v>42</v>
      </c>
    </row>
    <row r="49" spans="1:33" ht="18.75" x14ac:dyDescent="0.25">
      <c r="A49" s="301" t="s">
        <v>124</v>
      </c>
      <c r="B49" s="249">
        <v>2</v>
      </c>
      <c r="C49" s="162">
        <v>2</v>
      </c>
      <c r="D49" s="162"/>
      <c r="E49" s="162">
        <v>3</v>
      </c>
      <c r="F49" s="162"/>
      <c r="G49" s="162"/>
      <c r="H49" s="162">
        <v>1</v>
      </c>
      <c r="I49" s="162"/>
      <c r="J49" s="162"/>
      <c r="K49" s="162"/>
      <c r="L49" s="162"/>
      <c r="M49" s="162">
        <v>1</v>
      </c>
      <c r="N49" s="162">
        <v>1</v>
      </c>
      <c r="O49" s="162">
        <v>1</v>
      </c>
      <c r="P49" s="162">
        <v>1</v>
      </c>
      <c r="Q49" s="162">
        <v>2</v>
      </c>
      <c r="R49" s="162">
        <v>2</v>
      </c>
      <c r="S49" s="162">
        <v>1</v>
      </c>
      <c r="T49" s="162">
        <v>1</v>
      </c>
      <c r="U49" s="162"/>
      <c r="V49" s="162"/>
      <c r="W49" s="162">
        <v>1</v>
      </c>
      <c r="X49" s="162">
        <v>1</v>
      </c>
      <c r="Y49" s="162"/>
      <c r="Z49" s="162">
        <v>1</v>
      </c>
      <c r="AA49" s="162"/>
      <c r="AB49" s="162">
        <v>1</v>
      </c>
      <c r="AC49" s="162">
        <v>1</v>
      </c>
      <c r="AD49" s="162">
        <v>1</v>
      </c>
      <c r="AE49" s="162">
        <v>1</v>
      </c>
      <c r="AF49" s="161"/>
      <c r="AG49" s="64">
        <f t="shared" si="2"/>
        <v>25</v>
      </c>
    </row>
    <row r="50" spans="1:33" ht="18.75" x14ac:dyDescent="0.25">
      <c r="A50" s="301" t="s">
        <v>123</v>
      </c>
      <c r="B50" s="249"/>
      <c r="C50" s="162"/>
      <c r="D50" s="162"/>
      <c r="E50" s="162">
        <v>3</v>
      </c>
      <c r="F50" s="162"/>
      <c r="G50" s="162">
        <v>2</v>
      </c>
      <c r="H50" s="162"/>
      <c r="I50" s="162"/>
      <c r="J50" s="162"/>
      <c r="K50" s="162">
        <v>1</v>
      </c>
      <c r="L50" s="162"/>
      <c r="M50" s="162">
        <v>1</v>
      </c>
      <c r="N50" s="162"/>
      <c r="O50" s="162">
        <v>1</v>
      </c>
      <c r="P50" s="162">
        <v>2</v>
      </c>
      <c r="Q50" s="162"/>
      <c r="R50" s="162">
        <v>2</v>
      </c>
      <c r="S50" s="162">
        <v>1</v>
      </c>
      <c r="T50" s="162"/>
      <c r="U50" s="162">
        <v>1</v>
      </c>
      <c r="V50" s="162"/>
      <c r="W50" s="162"/>
      <c r="X50" s="162"/>
      <c r="Y50" s="162"/>
      <c r="Z50" s="162">
        <v>1</v>
      </c>
      <c r="AA50" s="162"/>
      <c r="AB50" s="162"/>
      <c r="AC50" s="162"/>
      <c r="AD50" s="162"/>
      <c r="AE50" s="162"/>
      <c r="AF50" s="161"/>
      <c r="AG50" s="64">
        <f t="shared" si="2"/>
        <v>15</v>
      </c>
    </row>
    <row r="51" spans="1:33" ht="18.75" x14ac:dyDescent="0.25">
      <c r="A51" s="301" t="s">
        <v>122</v>
      </c>
      <c r="B51" s="249">
        <v>1</v>
      </c>
      <c r="C51" s="162"/>
      <c r="D51" s="162">
        <v>1</v>
      </c>
      <c r="E51" s="162">
        <v>1</v>
      </c>
      <c r="F51" s="162">
        <v>1</v>
      </c>
      <c r="G51" s="162"/>
      <c r="H51" s="162"/>
      <c r="I51" s="162">
        <v>2</v>
      </c>
      <c r="J51" s="162"/>
      <c r="K51" s="162">
        <v>2</v>
      </c>
      <c r="L51" s="162"/>
      <c r="M51" s="162"/>
      <c r="N51" s="162">
        <v>1</v>
      </c>
      <c r="O51" s="162">
        <v>1</v>
      </c>
      <c r="P51" s="162"/>
      <c r="Q51" s="162">
        <v>1</v>
      </c>
      <c r="R51" s="162"/>
      <c r="S51" s="162">
        <v>1</v>
      </c>
      <c r="T51" s="162"/>
      <c r="U51" s="162"/>
      <c r="V51" s="162"/>
      <c r="W51" s="162"/>
      <c r="X51" s="162">
        <v>1</v>
      </c>
      <c r="Y51" s="162"/>
      <c r="Z51" s="162">
        <v>1</v>
      </c>
      <c r="AA51" s="162"/>
      <c r="AB51" s="162"/>
      <c r="AC51" s="162"/>
      <c r="AD51" s="162">
        <v>1</v>
      </c>
      <c r="AE51" s="162"/>
      <c r="AF51" s="161"/>
      <c r="AG51" s="64">
        <f t="shared" si="2"/>
        <v>15</v>
      </c>
    </row>
    <row r="52" spans="1:33" ht="19.5" thickBot="1" x14ac:dyDescent="0.3">
      <c r="A52" s="304" t="s">
        <v>121</v>
      </c>
      <c r="B52" s="252">
        <v>1</v>
      </c>
      <c r="C52" s="181"/>
      <c r="D52" s="181"/>
      <c r="E52" s="181">
        <v>2</v>
      </c>
      <c r="F52" s="181"/>
      <c r="G52" s="181"/>
      <c r="H52" s="181"/>
      <c r="I52" s="181">
        <v>2</v>
      </c>
      <c r="J52" s="181"/>
      <c r="K52" s="181"/>
      <c r="L52" s="181">
        <v>1</v>
      </c>
      <c r="M52" s="181"/>
      <c r="N52" s="181">
        <v>2</v>
      </c>
      <c r="O52" s="181"/>
      <c r="P52" s="181"/>
      <c r="Q52" s="181">
        <v>1</v>
      </c>
      <c r="R52" s="181"/>
      <c r="S52" s="181"/>
      <c r="T52" s="181"/>
      <c r="U52" s="181">
        <v>1</v>
      </c>
      <c r="V52" s="181"/>
      <c r="W52" s="181">
        <v>2</v>
      </c>
      <c r="X52" s="181"/>
      <c r="Y52" s="181"/>
      <c r="Z52" s="181"/>
      <c r="AA52" s="181">
        <v>1</v>
      </c>
      <c r="AB52" s="181">
        <v>1</v>
      </c>
      <c r="AC52" s="181"/>
      <c r="AD52" s="181"/>
      <c r="AE52" s="181"/>
      <c r="AF52" s="180"/>
      <c r="AG52" s="160">
        <f t="shared" si="2"/>
        <v>14</v>
      </c>
    </row>
    <row r="53" spans="1:33" ht="19.5" thickBot="1" x14ac:dyDescent="0.3">
      <c r="A53" s="299" t="s">
        <v>145</v>
      </c>
      <c r="B53" s="247">
        <f t="shared" ref="B53:AF53" si="4">SUM(B54:B77)</f>
        <v>11</v>
      </c>
      <c r="C53" s="120">
        <f t="shared" si="4"/>
        <v>12</v>
      </c>
      <c r="D53" s="120">
        <f t="shared" si="4"/>
        <v>5</v>
      </c>
      <c r="E53" s="120">
        <f t="shared" si="4"/>
        <v>2</v>
      </c>
      <c r="F53" s="120">
        <f t="shared" si="4"/>
        <v>0</v>
      </c>
      <c r="G53" s="120">
        <f t="shared" si="4"/>
        <v>7</v>
      </c>
      <c r="H53" s="120">
        <f t="shared" si="4"/>
        <v>5</v>
      </c>
      <c r="I53" s="120">
        <f t="shared" si="4"/>
        <v>7</v>
      </c>
      <c r="J53" s="120">
        <f t="shared" si="4"/>
        <v>3</v>
      </c>
      <c r="K53" s="120">
        <f t="shared" si="4"/>
        <v>3</v>
      </c>
      <c r="L53" s="120">
        <f t="shared" si="4"/>
        <v>6</v>
      </c>
      <c r="M53" s="120">
        <f t="shared" si="4"/>
        <v>0</v>
      </c>
      <c r="N53" s="120">
        <f t="shared" si="4"/>
        <v>9</v>
      </c>
      <c r="O53" s="120">
        <f t="shared" si="4"/>
        <v>6</v>
      </c>
      <c r="P53" s="120">
        <f t="shared" si="4"/>
        <v>5</v>
      </c>
      <c r="Q53" s="120">
        <f t="shared" si="4"/>
        <v>6</v>
      </c>
      <c r="R53" s="120">
        <f t="shared" si="4"/>
        <v>0</v>
      </c>
      <c r="S53" s="120">
        <f t="shared" si="4"/>
        <v>2</v>
      </c>
      <c r="T53" s="120">
        <f t="shared" si="4"/>
        <v>5</v>
      </c>
      <c r="U53" s="120">
        <f t="shared" si="4"/>
        <v>21</v>
      </c>
      <c r="V53" s="120">
        <f t="shared" si="4"/>
        <v>11</v>
      </c>
      <c r="W53" s="120">
        <f t="shared" si="4"/>
        <v>6</v>
      </c>
      <c r="X53" s="120">
        <f t="shared" si="4"/>
        <v>13</v>
      </c>
      <c r="Y53" s="120">
        <f t="shared" si="4"/>
        <v>3</v>
      </c>
      <c r="Z53" s="120">
        <f t="shared" si="4"/>
        <v>2</v>
      </c>
      <c r="AA53" s="120">
        <f t="shared" si="4"/>
        <v>4</v>
      </c>
      <c r="AB53" s="120">
        <f t="shared" si="4"/>
        <v>11</v>
      </c>
      <c r="AC53" s="120">
        <f t="shared" si="4"/>
        <v>7</v>
      </c>
      <c r="AD53" s="120">
        <f t="shared" si="4"/>
        <v>1</v>
      </c>
      <c r="AE53" s="120">
        <f t="shared" si="4"/>
        <v>8</v>
      </c>
      <c r="AF53" s="120">
        <f t="shared" si="4"/>
        <v>0</v>
      </c>
      <c r="AG53" s="157">
        <f t="shared" si="2"/>
        <v>181</v>
      </c>
    </row>
    <row r="54" spans="1:33" ht="18.75" x14ac:dyDescent="0.25">
      <c r="A54" s="300" t="s">
        <v>144</v>
      </c>
      <c r="B54" s="248"/>
      <c r="C54" s="199">
        <v>1</v>
      </c>
      <c r="D54" s="162"/>
      <c r="E54" s="199"/>
      <c r="F54" s="199"/>
      <c r="G54" s="162"/>
      <c r="H54" s="199"/>
      <c r="I54" s="199"/>
      <c r="J54" s="199"/>
      <c r="K54" s="199"/>
      <c r="L54" s="199"/>
      <c r="M54" s="199"/>
      <c r="N54" s="199"/>
      <c r="O54" s="199"/>
      <c r="P54" s="199"/>
      <c r="Q54" s="199"/>
      <c r="R54" s="199"/>
      <c r="S54" s="199"/>
      <c r="T54" s="199"/>
      <c r="U54" s="199"/>
      <c r="V54" s="199"/>
      <c r="W54" s="199"/>
      <c r="X54" s="199"/>
      <c r="Y54" s="199"/>
      <c r="Z54" s="199"/>
      <c r="AA54" s="199"/>
      <c r="AB54" s="199"/>
      <c r="AC54" s="199"/>
      <c r="AD54" s="199"/>
      <c r="AE54" s="199"/>
      <c r="AF54" s="206"/>
      <c r="AG54" s="134">
        <f t="shared" si="2"/>
        <v>1</v>
      </c>
    </row>
    <row r="55" spans="1:33" ht="18.75" x14ac:dyDescent="0.25">
      <c r="A55" s="301" t="s">
        <v>143</v>
      </c>
      <c r="B55" s="249"/>
      <c r="C55" s="162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Y55" s="162"/>
      <c r="Z55" s="162"/>
      <c r="AA55" s="162"/>
      <c r="AB55" s="162"/>
      <c r="AC55" s="162"/>
      <c r="AD55" s="162"/>
      <c r="AE55" s="162"/>
      <c r="AF55" s="161"/>
      <c r="AG55" s="64">
        <f t="shared" si="2"/>
        <v>0</v>
      </c>
    </row>
    <row r="56" spans="1:33" ht="18.75" x14ac:dyDescent="0.25">
      <c r="A56" s="301" t="s">
        <v>142</v>
      </c>
      <c r="B56" s="249"/>
      <c r="C56" s="162"/>
      <c r="D56" s="162"/>
      <c r="E56" s="162"/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Y56" s="162"/>
      <c r="Z56" s="162"/>
      <c r="AA56" s="162"/>
      <c r="AB56" s="162"/>
      <c r="AC56" s="162"/>
      <c r="AD56" s="162"/>
      <c r="AE56" s="162"/>
      <c r="AF56" s="161"/>
      <c r="AG56" s="64">
        <f t="shared" si="2"/>
        <v>0</v>
      </c>
    </row>
    <row r="57" spans="1:33" ht="18.75" x14ac:dyDescent="0.25">
      <c r="A57" s="301" t="s">
        <v>141</v>
      </c>
      <c r="B57" s="249"/>
      <c r="C57" s="162">
        <v>1</v>
      </c>
      <c r="D57" s="162"/>
      <c r="E57" s="162"/>
      <c r="F57" s="162"/>
      <c r="G57" s="162"/>
      <c r="H57" s="162"/>
      <c r="I57" s="162"/>
      <c r="J57" s="162"/>
      <c r="K57" s="162"/>
      <c r="L57" s="162"/>
      <c r="M57" s="162"/>
      <c r="N57" s="162">
        <v>1</v>
      </c>
      <c r="O57" s="162"/>
      <c r="P57" s="162"/>
      <c r="Q57" s="162"/>
      <c r="R57" s="162"/>
      <c r="S57" s="162"/>
      <c r="T57" s="162"/>
      <c r="U57" s="162"/>
      <c r="V57" s="162"/>
      <c r="W57" s="162"/>
      <c r="X57" s="162"/>
      <c r="Y57" s="162"/>
      <c r="Z57" s="162"/>
      <c r="AA57" s="162"/>
      <c r="AB57" s="162"/>
      <c r="AC57" s="162"/>
      <c r="AD57" s="162"/>
      <c r="AE57" s="162"/>
      <c r="AF57" s="161"/>
      <c r="AG57" s="64">
        <f t="shared" si="2"/>
        <v>2</v>
      </c>
    </row>
    <row r="58" spans="1:33" ht="18.75" x14ac:dyDescent="0.25">
      <c r="A58" s="301" t="s">
        <v>140</v>
      </c>
      <c r="B58" s="249"/>
      <c r="C58" s="162"/>
      <c r="D58" s="162">
        <v>1</v>
      </c>
      <c r="E58" s="162">
        <v>1</v>
      </c>
      <c r="F58" s="162"/>
      <c r="G58" s="162"/>
      <c r="H58" s="162"/>
      <c r="I58" s="162"/>
      <c r="J58" s="162"/>
      <c r="K58" s="162"/>
      <c r="L58" s="162"/>
      <c r="M58" s="162"/>
      <c r="N58" s="162"/>
      <c r="O58" s="162">
        <v>1</v>
      </c>
      <c r="P58" s="162">
        <v>1</v>
      </c>
      <c r="Q58" s="162"/>
      <c r="R58" s="162"/>
      <c r="S58" s="162"/>
      <c r="T58" s="162"/>
      <c r="U58" s="162"/>
      <c r="V58" s="162"/>
      <c r="W58" s="162"/>
      <c r="X58" s="162"/>
      <c r="Y58" s="162"/>
      <c r="Z58" s="162">
        <v>1</v>
      </c>
      <c r="AA58" s="162"/>
      <c r="AB58" s="162"/>
      <c r="AC58" s="162"/>
      <c r="AD58" s="162"/>
      <c r="AE58" s="162"/>
      <c r="AF58" s="161"/>
      <c r="AG58" s="64">
        <f t="shared" si="2"/>
        <v>5</v>
      </c>
    </row>
    <row r="59" spans="1:33" ht="18.75" x14ac:dyDescent="0.25">
      <c r="A59" s="301" t="s">
        <v>139</v>
      </c>
      <c r="B59" s="249"/>
      <c r="C59" s="162"/>
      <c r="D59" s="162"/>
      <c r="E59" s="162"/>
      <c r="F59" s="162"/>
      <c r="G59" s="162"/>
      <c r="H59" s="162"/>
      <c r="I59" s="162"/>
      <c r="J59" s="162"/>
      <c r="K59" s="162"/>
      <c r="L59" s="162">
        <v>1</v>
      </c>
      <c r="M59" s="162"/>
      <c r="N59" s="162">
        <v>1</v>
      </c>
      <c r="O59" s="162"/>
      <c r="P59" s="162"/>
      <c r="Q59" s="162"/>
      <c r="R59" s="162"/>
      <c r="S59" s="162"/>
      <c r="T59" s="162">
        <v>2</v>
      </c>
      <c r="U59" s="162">
        <v>1</v>
      </c>
      <c r="V59" s="162"/>
      <c r="W59" s="162">
        <v>1</v>
      </c>
      <c r="X59" s="162"/>
      <c r="Y59" s="162"/>
      <c r="Z59" s="162">
        <v>1</v>
      </c>
      <c r="AA59" s="162">
        <v>1</v>
      </c>
      <c r="AB59" s="162"/>
      <c r="AC59" s="162"/>
      <c r="AD59" s="162"/>
      <c r="AE59" s="162">
        <v>1</v>
      </c>
      <c r="AF59" s="161"/>
      <c r="AG59" s="64">
        <f t="shared" si="2"/>
        <v>9</v>
      </c>
    </row>
    <row r="60" spans="1:33" ht="18.75" x14ac:dyDescent="0.25">
      <c r="A60" s="301" t="s">
        <v>138</v>
      </c>
      <c r="B60" s="249"/>
      <c r="C60" s="162"/>
      <c r="D60" s="162">
        <v>1</v>
      </c>
      <c r="E60" s="162"/>
      <c r="F60" s="162"/>
      <c r="G60" s="162"/>
      <c r="H60" s="162"/>
      <c r="I60" s="162"/>
      <c r="J60" s="162"/>
      <c r="K60" s="162"/>
      <c r="L60" s="162"/>
      <c r="M60" s="162"/>
      <c r="N60" s="162"/>
      <c r="O60" s="162"/>
      <c r="P60" s="162"/>
      <c r="Q60" s="162"/>
      <c r="R60" s="162"/>
      <c r="S60" s="162"/>
      <c r="T60" s="162"/>
      <c r="U60" s="162">
        <v>1</v>
      </c>
      <c r="V60" s="162"/>
      <c r="W60" s="162"/>
      <c r="X60" s="162">
        <v>2</v>
      </c>
      <c r="Y60" s="162"/>
      <c r="Z60" s="162"/>
      <c r="AA60" s="162"/>
      <c r="AB60" s="162">
        <v>1</v>
      </c>
      <c r="AC60" s="162"/>
      <c r="AD60" s="162"/>
      <c r="AE60" s="162"/>
      <c r="AF60" s="161"/>
      <c r="AG60" s="64">
        <f t="shared" si="2"/>
        <v>5</v>
      </c>
    </row>
    <row r="61" spans="1:33" ht="18.75" x14ac:dyDescent="0.25">
      <c r="A61" s="301" t="s">
        <v>137</v>
      </c>
      <c r="B61" s="249"/>
      <c r="C61" s="162"/>
      <c r="D61" s="162"/>
      <c r="E61" s="162"/>
      <c r="F61" s="162"/>
      <c r="G61" s="162"/>
      <c r="H61" s="162"/>
      <c r="I61" s="162">
        <v>1</v>
      </c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Y61" s="162"/>
      <c r="Z61" s="162"/>
      <c r="AA61" s="162"/>
      <c r="AB61" s="162"/>
      <c r="AC61" s="162"/>
      <c r="AD61" s="162"/>
      <c r="AE61" s="162"/>
      <c r="AF61" s="161"/>
      <c r="AG61" s="64">
        <f t="shared" si="2"/>
        <v>1</v>
      </c>
    </row>
    <row r="62" spans="1:33" ht="18.75" x14ac:dyDescent="0.25">
      <c r="A62" s="301" t="s">
        <v>136</v>
      </c>
      <c r="B62" s="249"/>
      <c r="C62" s="162"/>
      <c r="D62" s="162"/>
      <c r="E62" s="162"/>
      <c r="F62" s="162"/>
      <c r="G62" s="162"/>
      <c r="H62" s="162"/>
      <c r="I62" s="162"/>
      <c r="J62" s="162"/>
      <c r="K62" s="162"/>
      <c r="L62" s="162">
        <v>2</v>
      </c>
      <c r="M62" s="162"/>
      <c r="N62" s="162"/>
      <c r="O62" s="162"/>
      <c r="P62" s="162"/>
      <c r="Q62" s="162"/>
      <c r="R62" s="162"/>
      <c r="S62" s="162">
        <v>1</v>
      </c>
      <c r="T62" s="162"/>
      <c r="U62" s="162"/>
      <c r="V62" s="162"/>
      <c r="W62" s="162"/>
      <c r="X62" s="162"/>
      <c r="Y62" s="162"/>
      <c r="Z62" s="162"/>
      <c r="AA62" s="162"/>
      <c r="AB62" s="162"/>
      <c r="AC62" s="162"/>
      <c r="AD62" s="162"/>
      <c r="AE62" s="162"/>
      <c r="AF62" s="161"/>
      <c r="AG62" s="64">
        <f t="shared" si="2"/>
        <v>3</v>
      </c>
    </row>
    <row r="63" spans="1:33" ht="18.75" x14ac:dyDescent="0.25">
      <c r="A63" s="301" t="s">
        <v>135</v>
      </c>
      <c r="B63" s="249">
        <v>1</v>
      </c>
      <c r="C63" s="162"/>
      <c r="D63" s="162"/>
      <c r="E63" s="162"/>
      <c r="F63" s="162"/>
      <c r="G63" s="162">
        <v>1</v>
      </c>
      <c r="H63" s="162">
        <v>1</v>
      </c>
      <c r="I63" s="162"/>
      <c r="J63" s="162">
        <v>1</v>
      </c>
      <c r="K63" s="162"/>
      <c r="L63" s="162"/>
      <c r="M63" s="162"/>
      <c r="N63" s="162">
        <v>1</v>
      </c>
      <c r="O63" s="162">
        <v>1</v>
      </c>
      <c r="P63" s="162"/>
      <c r="Q63" s="162">
        <v>2</v>
      </c>
      <c r="R63" s="162"/>
      <c r="S63" s="162"/>
      <c r="T63" s="162"/>
      <c r="U63" s="162"/>
      <c r="V63" s="162">
        <v>1</v>
      </c>
      <c r="W63" s="162"/>
      <c r="X63" s="162">
        <v>1</v>
      </c>
      <c r="Y63" s="162"/>
      <c r="Z63" s="162"/>
      <c r="AA63" s="162"/>
      <c r="AB63" s="162"/>
      <c r="AC63" s="162"/>
      <c r="AD63" s="162"/>
      <c r="AE63" s="162">
        <v>2</v>
      </c>
      <c r="AF63" s="161"/>
      <c r="AG63" s="64">
        <f t="shared" si="2"/>
        <v>12</v>
      </c>
    </row>
    <row r="64" spans="1:33" ht="18.75" x14ac:dyDescent="0.25">
      <c r="A64" s="301" t="s">
        <v>134</v>
      </c>
      <c r="B64" s="249"/>
      <c r="C64" s="162">
        <v>1</v>
      </c>
      <c r="D64" s="162">
        <v>1</v>
      </c>
      <c r="E64" s="162"/>
      <c r="F64" s="162"/>
      <c r="G64" s="162">
        <v>1</v>
      </c>
      <c r="H64" s="162"/>
      <c r="I64" s="162"/>
      <c r="J64" s="162"/>
      <c r="K64" s="162"/>
      <c r="L64" s="162"/>
      <c r="M64" s="162"/>
      <c r="N64" s="162"/>
      <c r="O64" s="162">
        <v>4</v>
      </c>
      <c r="P64" s="162">
        <v>1</v>
      </c>
      <c r="Q64" s="162">
        <v>2</v>
      </c>
      <c r="R64" s="162"/>
      <c r="S64" s="162"/>
      <c r="T64" s="162"/>
      <c r="U64" s="162">
        <v>1</v>
      </c>
      <c r="V64" s="162">
        <v>2</v>
      </c>
      <c r="W64" s="162">
        <v>1</v>
      </c>
      <c r="X64" s="162"/>
      <c r="Y64" s="162"/>
      <c r="Z64" s="162"/>
      <c r="AA64" s="162"/>
      <c r="AB64" s="162">
        <v>2</v>
      </c>
      <c r="AC64" s="162"/>
      <c r="AD64" s="162"/>
      <c r="AE64" s="162"/>
      <c r="AF64" s="161"/>
      <c r="AG64" s="64">
        <f t="shared" si="2"/>
        <v>16</v>
      </c>
    </row>
    <row r="65" spans="1:33" ht="18.75" x14ac:dyDescent="0.25">
      <c r="A65" s="301" t="s">
        <v>133</v>
      </c>
      <c r="B65" s="249">
        <v>1</v>
      </c>
      <c r="C65" s="162">
        <v>1</v>
      </c>
      <c r="D65" s="162">
        <v>1</v>
      </c>
      <c r="E65" s="162"/>
      <c r="F65" s="162"/>
      <c r="G65" s="162">
        <v>4</v>
      </c>
      <c r="H65" s="162"/>
      <c r="I65" s="162">
        <v>1</v>
      </c>
      <c r="J65" s="162">
        <v>1</v>
      </c>
      <c r="K65" s="162">
        <v>2</v>
      </c>
      <c r="L65" s="162"/>
      <c r="M65" s="162"/>
      <c r="N65" s="162">
        <v>2</v>
      </c>
      <c r="O65" s="162"/>
      <c r="P65" s="162"/>
      <c r="Q65" s="162">
        <v>1</v>
      </c>
      <c r="R65" s="162"/>
      <c r="S65" s="162"/>
      <c r="T65" s="162"/>
      <c r="U65" s="162">
        <v>7</v>
      </c>
      <c r="V65" s="162">
        <v>5</v>
      </c>
      <c r="W65" s="162">
        <v>1</v>
      </c>
      <c r="X65" s="162"/>
      <c r="Y65" s="162">
        <v>2</v>
      </c>
      <c r="Z65" s="162"/>
      <c r="AA65" s="162"/>
      <c r="AB65" s="162">
        <v>4</v>
      </c>
      <c r="AC65" s="162"/>
      <c r="AD65" s="162">
        <v>1</v>
      </c>
      <c r="AE65" s="162">
        <v>2</v>
      </c>
      <c r="AF65" s="161"/>
      <c r="AG65" s="64">
        <f t="shared" si="2"/>
        <v>36</v>
      </c>
    </row>
    <row r="66" spans="1:33" ht="18.75" x14ac:dyDescent="0.25">
      <c r="A66" s="301" t="s">
        <v>132</v>
      </c>
      <c r="B66" s="249"/>
      <c r="C66" s="162"/>
      <c r="D66" s="162"/>
      <c r="E66" s="162"/>
      <c r="F66" s="162"/>
      <c r="G66" s="162"/>
      <c r="H66" s="162">
        <v>2</v>
      </c>
      <c r="I66" s="162">
        <v>2</v>
      </c>
      <c r="J66" s="162">
        <v>1</v>
      </c>
      <c r="K66" s="162"/>
      <c r="L66" s="162"/>
      <c r="M66" s="162"/>
      <c r="N66" s="162">
        <v>2</v>
      </c>
      <c r="O66" s="162"/>
      <c r="P66" s="162">
        <v>1</v>
      </c>
      <c r="Q66" s="162"/>
      <c r="R66" s="162"/>
      <c r="S66" s="162"/>
      <c r="T66" s="162"/>
      <c r="U66" s="162">
        <v>6</v>
      </c>
      <c r="V66" s="162">
        <v>1</v>
      </c>
      <c r="W66" s="162">
        <v>2</v>
      </c>
      <c r="X66" s="162"/>
      <c r="Y66" s="162"/>
      <c r="Z66" s="162"/>
      <c r="AA66" s="162">
        <v>1</v>
      </c>
      <c r="AB66" s="162">
        <v>1</v>
      </c>
      <c r="AC66" s="162">
        <v>3</v>
      </c>
      <c r="AD66" s="162"/>
      <c r="AE66" s="162">
        <v>2</v>
      </c>
      <c r="AF66" s="161"/>
      <c r="AG66" s="64">
        <f t="shared" si="2"/>
        <v>24</v>
      </c>
    </row>
    <row r="67" spans="1:33" ht="18.75" x14ac:dyDescent="0.25">
      <c r="A67" s="301" t="s">
        <v>131</v>
      </c>
      <c r="B67" s="249">
        <v>7</v>
      </c>
      <c r="C67" s="162">
        <v>3</v>
      </c>
      <c r="D67" s="162"/>
      <c r="E67" s="162"/>
      <c r="F67" s="162"/>
      <c r="G67" s="162">
        <v>1</v>
      </c>
      <c r="H67" s="162"/>
      <c r="I67" s="162"/>
      <c r="J67" s="162"/>
      <c r="K67" s="162"/>
      <c r="L67" s="162"/>
      <c r="M67" s="162"/>
      <c r="N67" s="162">
        <v>1</v>
      </c>
      <c r="O67" s="162"/>
      <c r="P67" s="162">
        <v>1</v>
      </c>
      <c r="Q67" s="162"/>
      <c r="R67" s="162"/>
      <c r="S67" s="162"/>
      <c r="T67" s="162"/>
      <c r="U67" s="162">
        <v>5</v>
      </c>
      <c r="V67" s="162"/>
      <c r="W67" s="162"/>
      <c r="X67" s="162">
        <v>2</v>
      </c>
      <c r="Y67" s="162"/>
      <c r="Z67" s="162"/>
      <c r="AA67" s="162">
        <v>1</v>
      </c>
      <c r="AB67" s="162"/>
      <c r="AC67" s="162">
        <v>1</v>
      </c>
      <c r="AD67" s="162"/>
      <c r="AE67" s="162">
        <v>1</v>
      </c>
      <c r="AF67" s="161"/>
      <c r="AG67" s="64">
        <f t="shared" ref="AG67:AG98" si="5">SUM(B67:AF67)</f>
        <v>23</v>
      </c>
    </row>
    <row r="68" spans="1:33" ht="18.75" x14ac:dyDescent="0.25">
      <c r="A68" s="301" t="s">
        <v>130</v>
      </c>
      <c r="B68" s="249">
        <v>2</v>
      </c>
      <c r="C68" s="162"/>
      <c r="D68" s="162"/>
      <c r="E68" s="162"/>
      <c r="F68" s="162"/>
      <c r="G68" s="162"/>
      <c r="H68" s="162">
        <v>1</v>
      </c>
      <c r="I68" s="162">
        <v>1</v>
      </c>
      <c r="J68" s="162"/>
      <c r="K68" s="162"/>
      <c r="L68" s="162"/>
      <c r="M68" s="162"/>
      <c r="N68" s="162">
        <v>1</v>
      </c>
      <c r="O68" s="162"/>
      <c r="P68" s="162"/>
      <c r="Q68" s="162"/>
      <c r="R68" s="162"/>
      <c r="S68" s="162">
        <v>1</v>
      </c>
      <c r="T68" s="162"/>
      <c r="U68" s="162"/>
      <c r="V68" s="162"/>
      <c r="W68" s="162">
        <v>1</v>
      </c>
      <c r="X68" s="162">
        <v>1</v>
      </c>
      <c r="Y68" s="162"/>
      <c r="Z68" s="162"/>
      <c r="AA68" s="162"/>
      <c r="AB68" s="162"/>
      <c r="AC68" s="162">
        <v>1</v>
      </c>
      <c r="AD68" s="162"/>
      <c r="AE68" s="162"/>
      <c r="AF68" s="161"/>
      <c r="AG68" s="64">
        <f t="shared" si="5"/>
        <v>9</v>
      </c>
    </row>
    <row r="69" spans="1:33" ht="18.75" x14ac:dyDescent="0.25">
      <c r="A69" s="301" t="s">
        <v>129</v>
      </c>
      <c r="B69" s="249"/>
      <c r="C69" s="162"/>
      <c r="D69" s="162"/>
      <c r="E69" s="162"/>
      <c r="F69" s="162"/>
      <c r="G69" s="162"/>
      <c r="H69" s="162">
        <v>1</v>
      </c>
      <c r="I69" s="162"/>
      <c r="J69" s="162"/>
      <c r="K69" s="162">
        <v>1</v>
      </c>
      <c r="L69" s="162">
        <v>3</v>
      </c>
      <c r="M69" s="162"/>
      <c r="N69" s="162"/>
      <c r="O69" s="162"/>
      <c r="P69" s="162"/>
      <c r="Q69" s="162"/>
      <c r="R69" s="162"/>
      <c r="S69" s="162"/>
      <c r="T69" s="162">
        <v>2</v>
      </c>
      <c r="U69" s="162"/>
      <c r="V69" s="162"/>
      <c r="W69" s="162"/>
      <c r="X69" s="162">
        <v>5</v>
      </c>
      <c r="Y69" s="162"/>
      <c r="Z69" s="162"/>
      <c r="AA69" s="162"/>
      <c r="AB69" s="162"/>
      <c r="AC69" s="162"/>
      <c r="AD69" s="162"/>
      <c r="AE69" s="162"/>
      <c r="AF69" s="161"/>
      <c r="AG69" s="64">
        <f t="shared" si="5"/>
        <v>12</v>
      </c>
    </row>
    <row r="70" spans="1:33" ht="18.75" x14ac:dyDescent="0.25">
      <c r="A70" s="301" t="s">
        <v>128</v>
      </c>
      <c r="B70" s="248"/>
      <c r="C70" s="199">
        <v>1</v>
      </c>
      <c r="D70" s="162"/>
      <c r="E70" s="199"/>
      <c r="F70" s="199"/>
      <c r="G70" s="162"/>
      <c r="H70" s="199"/>
      <c r="I70" s="162"/>
      <c r="J70" s="199"/>
      <c r="K70" s="199"/>
      <c r="L70" s="199"/>
      <c r="M70" s="199"/>
      <c r="N70" s="199"/>
      <c r="O70" s="199"/>
      <c r="P70" s="199">
        <v>1</v>
      </c>
      <c r="Q70" s="199"/>
      <c r="R70" s="199"/>
      <c r="S70" s="199"/>
      <c r="T70" s="199">
        <v>1</v>
      </c>
      <c r="U70" s="199"/>
      <c r="V70" s="199"/>
      <c r="W70" s="199"/>
      <c r="X70" s="199">
        <v>1</v>
      </c>
      <c r="Y70" s="199"/>
      <c r="Z70" s="199"/>
      <c r="AA70" s="199"/>
      <c r="AB70" s="199">
        <v>1</v>
      </c>
      <c r="AC70" s="199"/>
      <c r="AD70" s="199"/>
      <c r="AE70" s="199"/>
      <c r="AF70" s="206"/>
      <c r="AG70" s="64">
        <f t="shared" si="5"/>
        <v>5</v>
      </c>
    </row>
    <row r="71" spans="1:33" ht="18.75" x14ac:dyDescent="0.25">
      <c r="A71" s="301" t="s">
        <v>127</v>
      </c>
      <c r="B71" s="248"/>
      <c r="C71" s="199">
        <v>3</v>
      </c>
      <c r="D71" s="162">
        <v>1</v>
      </c>
      <c r="E71" s="199"/>
      <c r="F71" s="199"/>
      <c r="G71" s="162"/>
      <c r="H71" s="199"/>
      <c r="I71" s="162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>
        <v>1</v>
      </c>
      <c r="W71" s="199"/>
      <c r="X71" s="199">
        <v>1</v>
      </c>
      <c r="Y71" s="199">
        <v>1</v>
      </c>
      <c r="Z71" s="199"/>
      <c r="AA71" s="199"/>
      <c r="AB71" s="199">
        <v>1</v>
      </c>
      <c r="AC71" s="199">
        <v>1</v>
      </c>
      <c r="AD71" s="199"/>
      <c r="AE71" s="199"/>
      <c r="AF71" s="206"/>
      <c r="AG71" s="64">
        <f t="shared" si="5"/>
        <v>9</v>
      </c>
    </row>
    <row r="72" spans="1:33" ht="18.75" x14ac:dyDescent="0.25">
      <c r="A72" s="301" t="s">
        <v>126</v>
      </c>
      <c r="B72" s="248"/>
      <c r="C72" s="199">
        <v>1</v>
      </c>
      <c r="D72" s="162"/>
      <c r="E72" s="199"/>
      <c r="F72" s="199"/>
      <c r="G72" s="162"/>
      <c r="H72" s="199"/>
      <c r="I72" s="162">
        <v>2</v>
      </c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199"/>
      <c r="X72" s="199"/>
      <c r="Y72" s="199"/>
      <c r="Z72" s="199"/>
      <c r="AA72" s="199">
        <v>1</v>
      </c>
      <c r="AB72" s="199"/>
      <c r="AC72" s="199"/>
      <c r="AD72" s="199"/>
      <c r="AE72" s="199"/>
      <c r="AF72" s="206"/>
      <c r="AG72" s="64">
        <f t="shared" si="5"/>
        <v>4</v>
      </c>
    </row>
    <row r="73" spans="1:33" ht="18.75" x14ac:dyDescent="0.25">
      <c r="A73" s="301" t="s">
        <v>125</v>
      </c>
      <c r="B73" s="248"/>
      <c r="C73" s="199"/>
      <c r="D73" s="162"/>
      <c r="E73" s="199"/>
      <c r="F73" s="199"/>
      <c r="G73" s="162"/>
      <c r="H73" s="199"/>
      <c r="I73" s="162"/>
      <c r="J73" s="199"/>
      <c r="K73" s="199"/>
      <c r="L73" s="199"/>
      <c r="M73" s="199"/>
      <c r="N73" s="199"/>
      <c r="O73" s="199"/>
      <c r="P73" s="199"/>
      <c r="Q73" s="199"/>
      <c r="R73" s="199"/>
      <c r="S73" s="199"/>
      <c r="T73" s="199"/>
      <c r="U73" s="199"/>
      <c r="V73" s="199">
        <v>1</v>
      </c>
      <c r="W73" s="199"/>
      <c r="X73" s="199"/>
      <c r="Y73" s="199"/>
      <c r="Z73" s="199"/>
      <c r="AA73" s="199"/>
      <c r="AB73" s="199"/>
      <c r="AC73" s="199">
        <v>1</v>
      </c>
      <c r="AD73" s="199"/>
      <c r="AE73" s="199"/>
      <c r="AF73" s="206"/>
      <c r="AG73" s="64">
        <f t="shared" si="5"/>
        <v>2</v>
      </c>
    </row>
    <row r="74" spans="1:33" ht="18.75" x14ac:dyDescent="0.25">
      <c r="A74" s="301" t="s">
        <v>124</v>
      </c>
      <c r="B74" s="248"/>
      <c r="C74" s="199"/>
      <c r="D74" s="162"/>
      <c r="E74" s="199"/>
      <c r="F74" s="199"/>
      <c r="G74" s="162"/>
      <c r="H74" s="199"/>
      <c r="I74" s="162"/>
      <c r="J74" s="199"/>
      <c r="K74" s="199"/>
      <c r="L74" s="199"/>
      <c r="M74" s="199"/>
      <c r="N74" s="199"/>
      <c r="O74" s="199"/>
      <c r="P74" s="199"/>
      <c r="Q74" s="199"/>
      <c r="R74" s="199"/>
      <c r="S74" s="199"/>
      <c r="T74" s="199"/>
      <c r="U74" s="199"/>
      <c r="V74" s="199"/>
      <c r="W74" s="199"/>
      <c r="X74" s="199"/>
      <c r="Y74" s="199"/>
      <c r="Z74" s="199"/>
      <c r="AA74" s="199"/>
      <c r="AB74" s="199"/>
      <c r="AC74" s="199"/>
      <c r="AD74" s="199"/>
      <c r="AE74" s="199"/>
      <c r="AF74" s="206"/>
      <c r="AG74" s="64">
        <f t="shared" si="5"/>
        <v>0</v>
      </c>
    </row>
    <row r="75" spans="1:33" ht="18.75" x14ac:dyDescent="0.25">
      <c r="A75" s="301" t="s">
        <v>123</v>
      </c>
      <c r="B75" s="248"/>
      <c r="C75" s="199"/>
      <c r="D75" s="162"/>
      <c r="E75" s="199"/>
      <c r="F75" s="199"/>
      <c r="G75" s="162"/>
      <c r="H75" s="199"/>
      <c r="I75" s="162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9"/>
      <c r="Y75" s="199"/>
      <c r="Z75" s="199"/>
      <c r="AA75" s="199"/>
      <c r="AB75" s="199"/>
      <c r="AC75" s="199"/>
      <c r="AD75" s="199"/>
      <c r="AE75" s="199"/>
      <c r="AF75" s="206"/>
      <c r="AG75" s="64">
        <f t="shared" si="5"/>
        <v>0</v>
      </c>
    </row>
    <row r="76" spans="1:33" ht="18.75" x14ac:dyDescent="0.25">
      <c r="A76" s="301" t="s">
        <v>122</v>
      </c>
      <c r="B76" s="248"/>
      <c r="C76" s="199"/>
      <c r="D76" s="162"/>
      <c r="E76" s="199"/>
      <c r="F76" s="199"/>
      <c r="G76" s="162"/>
      <c r="H76" s="199"/>
      <c r="I76" s="162"/>
      <c r="J76" s="199"/>
      <c r="K76" s="199"/>
      <c r="L76" s="199"/>
      <c r="M76" s="199"/>
      <c r="N76" s="199"/>
      <c r="O76" s="199"/>
      <c r="P76" s="199"/>
      <c r="Q76" s="199"/>
      <c r="R76" s="199"/>
      <c r="S76" s="199"/>
      <c r="T76" s="199"/>
      <c r="U76" s="199"/>
      <c r="V76" s="199"/>
      <c r="W76" s="199"/>
      <c r="X76" s="199"/>
      <c r="Y76" s="199"/>
      <c r="Z76" s="199"/>
      <c r="AA76" s="199"/>
      <c r="AB76" s="199"/>
      <c r="AC76" s="199"/>
      <c r="AD76" s="199"/>
      <c r="AE76" s="199"/>
      <c r="AF76" s="206"/>
      <c r="AG76" s="64">
        <f t="shared" si="5"/>
        <v>0</v>
      </c>
    </row>
    <row r="77" spans="1:33" ht="19.5" thickBot="1" x14ac:dyDescent="0.3">
      <c r="A77" s="305" t="s">
        <v>121</v>
      </c>
      <c r="B77" s="253"/>
      <c r="C77" s="184"/>
      <c r="D77" s="181"/>
      <c r="E77" s="184">
        <v>1</v>
      </c>
      <c r="F77" s="184"/>
      <c r="G77" s="181"/>
      <c r="H77" s="184"/>
      <c r="I77" s="181"/>
      <c r="J77" s="184"/>
      <c r="K77" s="184"/>
      <c r="L77" s="184"/>
      <c r="M77" s="184"/>
      <c r="N77" s="184"/>
      <c r="O77" s="184"/>
      <c r="P77" s="184"/>
      <c r="Q77" s="184">
        <v>1</v>
      </c>
      <c r="R77" s="184"/>
      <c r="S77" s="184"/>
      <c r="T77" s="184"/>
      <c r="U77" s="184"/>
      <c r="V77" s="184"/>
      <c r="W77" s="184"/>
      <c r="X77" s="184"/>
      <c r="Y77" s="184"/>
      <c r="Z77" s="184"/>
      <c r="AA77" s="184"/>
      <c r="AB77" s="184">
        <v>1</v>
      </c>
      <c r="AC77" s="184"/>
      <c r="AD77" s="184"/>
      <c r="AE77" s="184"/>
      <c r="AF77" s="183"/>
      <c r="AG77" s="160">
        <f t="shared" si="5"/>
        <v>3</v>
      </c>
    </row>
    <row r="78" spans="1:33" ht="19.5" hidden="1" customHeight="1" thickBot="1" x14ac:dyDescent="0.3">
      <c r="A78" s="306" t="s">
        <v>120</v>
      </c>
      <c r="B78" s="254">
        <f t="shared" ref="B78:AF78" si="6">SUM(B79:B80)</f>
        <v>140</v>
      </c>
      <c r="C78" s="204">
        <f t="shared" si="6"/>
        <v>130</v>
      </c>
      <c r="D78" s="204">
        <f t="shared" si="6"/>
        <v>130</v>
      </c>
      <c r="E78" s="201">
        <f t="shared" si="6"/>
        <v>142</v>
      </c>
      <c r="F78" s="201">
        <f t="shared" si="6"/>
        <v>122</v>
      </c>
      <c r="G78" s="201">
        <f t="shared" si="6"/>
        <v>132</v>
      </c>
      <c r="H78" s="201">
        <f t="shared" si="6"/>
        <v>134</v>
      </c>
      <c r="I78" s="201">
        <f t="shared" si="6"/>
        <v>147</v>
      </c>
      <c r="J78" s="201">
        <f t="shared" si="6"/>
        <v>96</v>
      </c>
      <c r="K78" s="201">
        <f t="shared" si="6"/>
        <v>106</v>
      </c>
      <c r="L78" s="201">
        <f t="shared" si="6"/>
        <v>78</v>
      </c>
      <c r="M78" s="201">
        <f t="shared" si="6"/>
        <v>111</v>
      </c>
      <c r="N78" s="201">
        <f t="shared" si="6"/>
        <v>153</v>
      </c>
      <c r="O78" s="201">
        <f t="shared" si="6"/>
        <v>112</v>
      </c>
      <c r="P78" s="201">
        <f t="shared" si="6"/>
        <v>128</v>
      </c>
      <c r="Q78" s="201">
        <f t="shared" si="6"/>
        <v>114</v>
      </c>
      <c r="R78" s="201">
        <f t="shared" si="6"/>
        <v>151</v>
      </c>
      <c r="S78" s="201">
        <f t="shared" si="6"/>
        <v>111</v>
      </c>
      <c r="T78" s="201">
        <f t="shared" si="6"/>
        <v>124</v>
      </c>
      <c r="U78" s="201">
        <f t="shared" si="6"/>
        <v>177</v>
      </c>
      <c r="V78" s="201">
        <f t="shared" si="6"/>
        <v>166</v>
      </c>
      <c r="W78" s="201">
        <f t="shared" si="6"/>
        <v>133</v>
      </c>
      <c r="X78" s="201">
        <f t="shared" si="6"/>
        <v>144</v>
      </c>
      <c r="Y78" s="201">
        <f t="shared" si="6"/>
        <v>134</v>
      </c>
      <c r="Z78" s="201">
        <f t="shared" si="6"/>
        <v>179</v>
      </c>
      <c r="AA78" s="201">
        <f t="shared" si="6"/>
        <v>165</v>
      </c>
      <c r="AB78" s="201">
        <f t="shared" si="6"/>
        <v>171</v>
      </c>
      <c r="AC78" s="201">
        <f t="shared" si="6"/>
        <v>151</v>
      </c>
      <c r="AD78" s="201">
        <f t="shared" si="6"/>
        <v>118</v>
      </c>
      <c r="AE78" s="201">
        <f t="shared" si="6"/>
        <v>127</v>
      </c>
      <c r="AF78" s="203">
        <f t="shared" si="6"/>
        <v>0</v>
      </c>
      <c r="AG78" s="157">
        <f t="shared" si="5"/>
        <v>4026</v>
      </c>
    </row>
    <row r="79" spans="1:33" ht="19.5" hidden="1" customHeight="1" thickBot="1" x14ac:dyDescent="0.3">
      <c r="A79" s="307" t="s">
        <v>118</v>
      </c>
      <c r="B79" s="248">
        <f t="shared" ref="B79:AF79" si="7">SUM(B4:B27)-B80</f>
        <v>140</v>
      </c>
      <c r="C79" s="199">
        <f t="shared" si="7"/>
        <v>130</v>
      </c>
      <c r="D79" s="199">
        <f t="shared" si="7"/>
        <v>130</v>
      </c>
      <c r="E79" s="199">
        <f t="shared" si="7"/>
        <v>142</v>
      </c>
      <c r="F79" s="199">
        <f t="shared" si="7"/>
        <v>53</v>
      </c>
      <c r="G79" s="199">
        <f t="shared" si="7"/>
        <v>111</v>
      </c>
      <c r="H79" s="199">
        <f t="shared" si="7"/>
        <v>106</v>
      </c>
      <c r="I79" s="199">
        <f t="shared" si="7"/>
        <v>147</v>
      </c>
      <c r="J79" s="199">
        <f t="shared" si="7"/>
        <v>96</v>
      </c>
      <c r="K79" s="199">
        <f t="shared" si="7"/>
        <v>106</v>
      </c>
      <c r="L79" s="199">
        <f t="shared" si="7"/>
        <v>78</v>
      </c>
      <c r="M79" s="199">
        <f t="shared" si="7"/>
        <v>44</v>
      </c>
      <c r="N79" s="199">
        <f t="shared" si="7"/>
        <v>125</v>
      </c>
      <c r="O79" s="199">
        <f t="shared" si="7"/>
        <v>92</v>
      </c>
      <c r="P79" s="199">
        <f t="shared" si="7"/>
        <v>128</v>
      </c>
      <c r="Q79" s="199">
        <f t="shared" si="7"/>
        <v>114</v>
      </c>
      <c r="R79" s="199">
        <f t="shared" si="7"/>
        <v>69</v>
      </c>
      <c r="S79" s="199">
        <f t="shared" si="7"/>
        <v>60</v>
      </c>
      <c r="T79" s="199">
        <f t="shared" si="7"/>
        <v>66</v>
      </c>
      <c r="U79" s="199">
        <f t="shared" si="7"/>
        <v>146</v>
      </c>
      <c r="V79" s="199">
        <f t="shared" si="7"/>
        <v>130</v>
      </c>
      <c r="W79" s="199">
        <f t="shared" si="7"/>
        <v>133</v>
      </c>
      <c r="X79" s="199">
        <f t="shared" si="7"/>
        <v>144</v>
      </c>
      <c r="Y79" s="199">
        <f t="shared" si="7"/>
        <v>108</v>
      </c>
      <c r="Z79" s="199">
        <f t="shared" si="7"/>
        <v>179</v>
      </c>
      <c r="AA79" s="199">
        <f t="shared" si="7"/>
        <v>78</v>
      </c>
      <c r="AB79" s="199">
        <f t="shared" si="7"/>
        <v>135</v>
      </c>
      <c r="AC79" s="199">
        <f t="shared" si="7"/>
        <v>127</v>
      </c>
      <c r="AD79" s="199">
        <f t="shared" si="7"/>
        <v>118</v>
      </c>
      <c r="AE79" s="199">
        <f t="shared" si="7"/>
        <v>127</v>
      </c>
      <c r="AF79" s="199">
        <f t="shared" si="7"/>
        <v>0</v>
      </c>
      <c r="AG79" s="134">
        <f t="shared" si="5"/>
        <v>3362</v>
      </c>
    </row>
    <row r="80" spans="1:33" ht="19.5" hidden="1" customHeight="1" thickBot="1" x14ac:dyDescent="0.3">
      <c r="A80" s="308" t="s">
        <v>119</v>
      </c>
      <c r="B80" s="255"/>
      <c r="C80" s="169"/>
      <c r="D80" s="181">
        <v>0</v>
      </c>
      <c r="E80" s="181">
        <v>0</v>
      </c>
      <c r="F80" s="181">
        <f>SUM(F4:F12)</f>
        <v>69</v>
      </c>
      <c r="G80" s="181">
        <f>SUM(G4:G12)</f>
        <v>21</v>
      </c>
      <c r="H80" s="181">
        <f>SUM(H4:H12)</f>
        <v>28</v>
      </c>
      <c r="I80" s="169"/>
      <c r="J80" s="169"/>
      <c r="K80" s="181">
        <v>0</v>
      </c>
      <c r="L80" s="181">
        <v>0</v>
      </c>
      <c r="M80" s="181">
        <f>SUM(M4:M12)</f>
        <v>67</v>
      </c>
      <c r="N80" s="181">
        <f>SUM(N4:N12)</f>
        <v>28</v>
      </c>
      <c r="O80" s="181">
        <f>SUM(O4:O12)</f>
        <v>20</v>
      </c>
      <c r="P80" s="169"/>
      <c r="Q80" s="169"/>
      <c r="R80" s="181">
        <f>SUM(R4:R12)</f>
        <v>82</v>
      </c>
      <c r="S80" s="181">
        <f>SUM(S4:S12)</f>
        <v>51</v>
      </c>
      <c r="T80" s="181">
        <f>SUM(T4:T12)</f>
        <v>58</v>
      </c>
      <c r="U80" s="181">
        <f>SUM(U4:U12)</f>
        <v>31</v>
      </c>
      <c r="V80" s="181">
        <f>SUM(V4:V12)</f>
        <v>36</v>
      </c>
      <c r="W80" s="169"/>
      <c r="X80" s="169"/>
      <c r="Y80" s="181">
        <f>SUM(Y4:Y12)</f>
        <v>26</v>
      </c>
      <c r="Z80" s="169"/>
      <c r="AA80" s="181">
        <f>SUM(AA4:AA12)</f>
        <v>87</v>
      </c>
      <c r="AB80" s="181">
        <f>SUM(AB4:AB12)</f>
        <v>36</v>
      </c>
      <c r="AC80" s="181">
        <f>SUM(AC4:AC12)</f>
        <v>24</v>
      </c>
      <c r="AD80" s="169"/>
      <c r="AE80" s="169"/>
      <c r="AF80" s="181">
        <f>SUM(AF4:AF12)</f>
        <v>0</v>
      </c>
      <c r="AG80" s="160">
        <f t="shared" si="5"/>
        <v>664</v>
      </c>
    </row>
    <row r="81" spans="1:35" ht="19.5" thickBot="1" x14ac:dyDescent="0.3">
      <c r="A81" s="306" t="s">
        <v>84</v>
      </c>
      <c r="B81" s="256">
        <f t="shared" ref="B81:AF81" si="8">SUM(B82:B83)</f>
        <v>11</v>
      </c>
      <c r="C81" s="201">
        <f t="shared" si="8"/>
        <v>12</v>
      </c>
      <c r="D81" s="201">
        <f t="shared" si="8"/>
        <v>5</v>
      </c>
      <c r="E81" s="201">
        <f t="shared" si="8"/>
        <v>2</v>
      </c>
      <c r="F81" s="201">
        <f t="shared" si="8"/>
        <v>0</v>
      </c>
      <c r="G81" s="201">
        <f t="shared" si="8"/>
        <v>7</v>
      </c>
      <c r="H81" s="201">
        <f t="shared" si="8"/>
        <v>5</v>
      </c>
      <c r="I81" s="201">
        <f t="shared" si="8"/>
        <v>7</v>
      </c>
      <c r="J81" s="201">
        <f t="shared" si="8"/>
        <v>3</v>
      </c>
      <c r="K81" s="201">
        <f t="shared" si="8"/>
        <v>3</v>
      </c>
      <c r="L81" s="201">
        <f t="shared" si="8"/>
        <v>6</v>
      </c>
      <c r="M81" s="201">
        <f t="shared" si="8"/>
        <v>0</v>
      </c>
      <c r="N81" s="201">
        <f t="shared" si="8"/>
        <v>9</v>
      </c>
      <c r="O81" s="201">
        <f t="shared" si="8"/>
        <v>6</v>
      </c>
      <c r="P81" s="201">
        <f t="shared" si="8"/>
        <v>5</v>
      </c>
      <c r="Q81" s="201">
        <f t="shared" si="8"/>
        <v>6</v>
      </c>
      <c r="R81" s="201">
        <f t="shared" si="8"/>
        <v>0</v>
      </c>
      <c r="S81" s="201">
        <f t="shared" si="8"/>
        <v>2</v>
      </c>
      <c r="T81" s="201">
        <f t="shared" si="8"/>
        <v>5</v>
      </c>
      <c r="U81" s="201">
        <f t="shared" si="8"/>
        <v>21</v>
      </c>
      <c r="V81" s="201">
        <f t="shared" si="8"/>
        <v>11</v>
      </c>
      <c r="W81" s="201">
        <f t="shared" si="8"/>
        <v>6</v>
      </c>
      <c r="X81" s="201">
        <f t="shared" si="8"/>
        <v>13</v>
      </c>
      <c r="Y81" s="201">
        <f t="shared" si="8"/>
        <v>3</v>
      </c>
      <c r="Z81" s="201">
        <f t="shared" si="8"/>
        <v>2</v>
      </c>
      <c r="AA81" s="201">
        <f t="shared" si="8"/>
        <v>4</v>
      </c>
      <c r="AB81" s="201">
        <f t="shared" si="8"/>
        <v>11</v>
      </c>
      <c r="AC81" s="201">
        <f t="shared" si="8"/>
        <v>7</v>
      </c>
      <c r="AD81" s="201">
        <f t="shared" si="8"/>
        <v>1</v>
      </c>
      <c r="AE81" s="201">
        <f t="shared" si="8"/>
        <v>8</v>
      </c>
      <c r="AF81" s="201">
        <f t="shared" si="8"/>
        <v>0</v>
      </c>
      <c r="AG81" s="157">
        <f t="shared" si="5"/>
        <v>181</v>
      </c>
      <c r="AH81" s="53" t="str">
        <f>IF(AG81&lt;&gt;AG53,"*","")</f>
        <v/>
      </c>
    </row>
    <row r="82" spans="1:35" ht="18.75" x14ac:dyDescent="0.25">
      <c r="A82" s="307" t="s">
        <v>119</v>
      </c>
      <c r="B82" s="248">
        <f t="shared" ref="B82:AF82" si="9">SUM(B54:B62)</f>
        <v>0</v>
      </c>
      <c r="C82" s="199">
        <f t="shared" si="9"/>
        <v>2</v>
      </c>
      <c r="D82" s="199">
        <f t="shared" si="9"/>
        <v>2</v>
      </c>
      <c r="E82" s="218"/>
      <c r="F82" s="218"/>
      <c r="G82" s="199">
        <f t="shared" si="9"/>
        <v>0</v>
      </c>
      <c r="H82" s="199">
        <f t="shared" si="9"/>
        <v>0</v>
      </c>
      <c r="I82" s="199">
        <f t="shared" si="9"/>
        <v>1</v>
      </c>
      <c r="J82" s="199">
        <f t="shared" si="9"/>
        <v>0</v>
      </c>
      <c r="K82" s="199">
        <f t="shared" si="9"/>
        <v>0</v>
      </c>
      <c r="L82" s="218"/>
      <c r="M82" s="218"/>
      <c r="N82" s="199">
        <f t="shared" si="9"/>
        <v>2</v>
      </c>
      <c r="O82" s="199">
        <f t="shared" si="9"/>
        <v>1</v>
      </c>
      <c r="P82" s="199">
        <f t="shared" si="9"/>
        <v>1</v>
      </c>
      <c r="Q82" s="199">
        <f t="shared" si="9"/>
        <v>0</v>
      </c>
      <c r="R82" s="218"/>
      <c r="S82" s="218"/>
      <c r="T82" s="218"/>
      <c r="U82" s="199">
        <f t="shared" si="9"/>
        <v>2</v>
      </c>
      <c r="V82" s="199">
        <f t="shared" si="9"/>
        <v>0</v>
      </c>
      <c r="W82" s="199">
        <f t="shared" si="9"/>
        <v>1</v>
      </c>
      <c r="X82" s="199">
        <f t="shared" si="9"/>
        <v>2</v>
      </c>
      <c r="Y82" s="199">
        <f t="shared" si="9"/>
        <v>0</v>
      </c>
      <c r="Z82" s="218"/>
      <c r="AA82" s="218"/>
      <c r="AB82" s="199">
        <f t="shared" si="9"/>
        <v>1</v>
      </c>
      <c r="AC82" s="199">
        <f t="shared" si="9"/>
        <v>0</v>
      </c>
      <c r="AD82" s="199">
        <f t="shared" si="9"/>
        <v>0</v>
      </c>
      <c r="AE82" s="199">
        <f t="shared" si="9"/>
        <v>1</v>
      </c>
      <c r="AF82" s="199">
        <f t="shared" si="9"/>
        <v>0</v>
      </c>
      <c r="AG82" s="134">
        <f t="shared" si="5"/>
        <v>16</v>
      </c>
    </row>
    <row r="83" spans="1:35" ht="19.5" thickBot="1" x14ac:dyDescent="0.3">
      <c r="A83" s="308" t="s">
        <v>118</v>
      </c>
      <c r="B83" s="252">
        <f t="shared" ref="B83:AF83" si="10">SUM(B54:B77)-B82</f>
        <v>11</v>
      </c>
      <c r="C83" s="181">
        <f t="shared" si="10"/>
        <v>10</v>
      </c>
      <c r="D83" s="181">
        <f t="shared" si="10"/>
        <v>3</v>
      </c>
      <c r="E83" s="181">
        <f t="shared" si="10"/>
        <v>2</v>
      </c>
      <c r="F83" s="181">
        <f t="shared" si="10"/>
        <v>0</v>
      </c>
      <c r="G83" s="181">
        <f t="shared" si="10"/>
        <v>7</v>
      </c>
      <c r="H83" s="181">
        <f t="shared" si="10"/>
        <v>5</v>
      </c>
      <c r="I83" s="181">
        <f t="shared" si="10"/>
        <v>6</v>
      </c>
      <c r="J83" s="181">
        <f t="shared" si="10"/>
        <v>3</v>
      </c>
      <c r="K83" s="181">
        <f t="shared" si="10"/>
        <v>3</v>
      </c>
      <c r="L83" s="181">
        <f t="shared" si="10"/>
        <v>6</v>
      </c>
      <c r="M83" s="181">
        <f t="shared" si="10"/>
        <v>0</v>
      </c>
      <c r="N83" s="181">
        <f t="shared" si="10"/>
        <v>7</v>
      </c>
      <c r="O83" s="181">
        <f t="shared" si="10"/>
        <v>5</v>
      </c>
      <c r="P83" s="181">
        <f t="shared" si="10"/>
        <v>4</v>
      </c>
      <c r="Q83" s="181">
        <f t="shared" si="10"/>
        <v>6</v>
      </c>
      <c r="R83" s="181">
        <f t="shared" si="10"/>
        <v>0</v>
      </c>
      <c r="S83" s="181">
        <f t="shared" si="10"/>
        <v>2</v>
      </c>
      <c r="T83" s="181">
        <f t="shared" si="10"/>
        <v>5</v>
      </c>
      <c r="U83" s="181">
        <f t="shared" si="10"/>
        <v>19</v>
      </c>
      <c r="V83" s="181">
        <f t="shared" si="10"/>
        <v>11</v>
      </c>
      <c r="W83" s="181">
        <f t="shared" si="10"/>
        <v>5</v>
      </c>
      <c r="X83" s="181">
        <f t="shared" si="10"/>
        <v>11</v>
      </c>
      <c r="Y83" s="181">
        <f t="shared" si="10"/>
        <v>3</v>
      </c>
      <c r="Z83" s="181">
        <f t="shared" si="10"/>
        <v>2</v>
      </c>
      <c r="AA83" s="181">
        <f t="shared" si="10"/>
        <v>4</v>
      </c>
      <c r="AB83" s="181">
        <f t="shared" si="10"/>
        <v>10</v>
      </c>
      <c r="AC83" s="181">
        <f t="shared" si="10"/>
        <v>7</v>
      </c>
      <c r="AD83" s="181">
        <f t="shared" si="10"/>
        <v>1</v>
      </c>
      <c r="AE83" s="181">
        <f t="shared" si="10"/>
        <v>7</v>
      </c>
      <c r="AF83" s="181">
        <f t="shared" si="10"/>
        <v>0</v>
      </c>
      <c r="AG83" s="64">
        <f t="shared" si="5"/>
        <v>165</v>
      </c>
    </row>
    <row r="84" spans="1:35" ht="19.5" thickBot="1" x14ac:dyDescent="0.3">
      <c r="A84" s="309" t="s">
        <v>117</v>
      </c>
      <c r="B84" s="257">
        <f t="shared" ref="B84:AF84" si="11">SUM(B85:B86)</f>
        <v>11</v>
      </c>
      <c r="C84" s="158">
        <f t="shared" si="11"/>
        <v>12</v>
      </c>
      <c r="D84" s="158">
        <f t="shared" si="11"/>
        <v>5</v>
      </c>
      <c r="E84" s="158">
        <f t="shared" si="11"/>
        <v>2</v>
      </c>
      <c r="F84" s="158">
        <f t="shared" si="11"/>
        <v>0</v>
      </c>
      <c r="G84" s="158">
        <f t="shared" si="11"/>
        <v>7</v>
      </c>
      <c r="H84" s="158">
        <f t="shared" si="11"/>
        <v>5</v>
      </c>
      <c r="I84" s="158">
        <f t="shared" si="11"/>
        <v>7</v>
      </c>
      <c r="J84" s="158">
        <f t="shared" si="11"/>
        <v>3</v>
      </c>
      <c r="K84" s="158">
        <f t="shared" si="11"/>
        <v>3</v>
      </c>
      <c r="L84" s="158">
        <f t="shared" si="11"/>
        <v>6</v>
      </c>
      <c r="M84" s="158">
        <f t="shared" si="11"/>
        <v>0</v>
      </c>
      <c r="N84" s="158">
        <f t="shared" si="11"/>
        <v>9</v>
      </c>
      <c r="O84" s="158">
        <f t="shared" si="11"/>
        <v>6</v>
      </c>
      <c r="P84" s="158">
        <f t="shared" si="11"/>
        <v>5</v>
      </c>
      <c r="Q84" s="158">
        <f t="shared" si="11"/>
        <v>6</v>
      </c>
      <c r="R84" s="158">
        <f t="shared" si="11"/>
        <v>0</v>
      </c>
      <c r="S84" s="158">
        <f t="shared" si="11"/>
        <v>2</v>
      </c>
      <c r="T84" s="158">
        <f t="shared" si="11"/>
        <v>5</v>
      </c>
      <c r="U84" s="158">
        <f t="shared" si="11"/>
        <v>21</v>
      </c>
      <c r="V84" s="158">
        <f t="shared" si="11"/>
        <v>11</v>
      </c>
      <c r="W84" s="158">
        <f t="shared" si="11"/>
        <v>6</v>
      </c>
      <c r="X84" s="158">
        <f t="shared" si="11"/>
        <v>13</v>
      </c>
      <c r="Y84" s="158">
        <f t="shared" si="11"/>
        <v>3</v>
      </c>
      <c r="Z84" s="158">
        <f t="shared" si="11"/>
        <v>2</v>
      </c>
      <c r="AA84" s="158">
        <f t="shared" si="11"/>
        <v>4</v>
      </c>
      <c r="AB84" s="158">
        <f t="shared" si="11"/>
        <v>11</v>
      </c>
      <c r="AC84" s="158">
        <f t="shared" si="11"/>
        <v>7</v>
      </c>
      <c r="AD84" s="158">
        <f t="shared" si="11"/>
        <v>1</v>
      </c>
      <c r="AE84" s="158">
        <f t="shared" si="11"/>
        <v>8</v>
      </c>
      <c r="AF84" s="158">
        <f t="shared" si="11"/>
        <v>0</v>
      </c>
      <c r="AG84" s="197">
        <f t="shared" si="5"/>
        <v>181</v>
      </c>
      <c r="AH84" s="53" t="str">
        <f>IF(AG84&lt;&gt;AG82+AG83,"*","")</f>
        <v/>
      </c>
      <c r="AI84" s="403" t="s">
        <v>71</v>
      </c>
    </row>
    <row r="85" spans="1:35" ht="18.75" x14ac:dyDescent="0.25">
      <c r="A85" s="310" t="s">
        <v>116</v>
      </c>
      <c r="B85" s="258">
        <v>4</v>
      </c>
      <c r="C85" s="195">
        <v>1</v>
      </c>
      <c r="D85" s="195">
        <v>0</v>
      </c>
      <c r="E85" s="195">
        <v>0</v>
      </c>
      <c r="F85" s="195">
        <v>0</v>
      </c>
      <c r="G85" s="195">
        <v>0</v>
      </c>
      <c r="H85" s="195">
        <v>1</v>
      </c>
      <c r="I85" s="195">
        <v>0</v>
      </c>
      <c r="J85" s="195">
        <v>0</v>
      </c>
      <c r="K85" s="195">
        <v>1</v>
      </c>
      <c r="L85" s="195">
        <v>0</v>
      </c>
      <c r="M85" s="195">
        <v>0</v>
      </c>
      <c r="N85" s="195">
        <v>0</v>
      </c>
      <c r="O85" s="195">
        <v>0</v>
      </c>
      <c r="P85" s="195">
        <v>0</v>
      </c>
      <c r="Q85" s="195">
        <v>1</v>
      </c>
      <c r="R85" s="195">
        <v>0</v>
      </c>
      <c r="S85" s="195">
        <v>1</v>
      </c>
      <c r="T85" s="195">
        <v>0</v>
      </c>
      <c r="U85" s="195">
        <v>1</v>
      </c>
      <c r="V85" s="195">
        <v>1</v>
      </c>
      <c r="W85" s="195">
        <v>0</v>
      </c>
      <c r="X85" s="195">
        <v>2</v>
      </c>
      <c r="Y85" s="195">
        <v>2</v>
      </c>
      <c r="Z85" s="195">
        <v>0</v>
      </c>
      <c r="AA85" s="195">
        <v>1</v>
      </c>
      <c r="AB85" s="195">
        <v>2</v>
      </c>
      <c r="AC85" s="195">
        <v>2</v>
      </c>
      <c r="AD85" s="195">
        <v>0</v>
      </c>
      <c r="AE85" s="195">
        <v>4</v>
      </c>
      <c r="AF85" s="194"/>
      <c r="AG85" s="193">
        <f t="shared" si="5"/>
        <v>24</v>
      </c>
      <c r="AI85" s="404"/>
    </row>
    <row r="86" spans="1:35" ht="19.5" thickBot="1" x14ac:dyDescent="0.3">
      <c r="A86" s="311" t="s">
        <v>115</v>
      </c>
      <c r="B86" s="259">
        <v>7</v>
      </c>
      <c r="C86" s="191">
        <v>11</v>
      </c>
      <c r="D86" s="191">
        <v>5</v>
      </c>
      <c r="E86" s="191">
        <v>2</v>
      </c>
      <c r="F86" s="191">
        <v>0</v>
      </c>
      <c r="G86" s="191">
        <v>7</v>
      </c>
      <c r="H86" s="191">
        <v>4</v>
      </c>
      <c r="I86" s="191">
        <v>7</v>
      </c>
      <c r="J86" s="191">
        <v>3</v>
      </c>
      <c r="K86" s="191">
        <v>2</v>
      </c>
      <c r="L86" s="191">
        <v>6</v>
      </c>
      <c r="M86" s="191">
        <v>0</v>
      </c>
      <c r="N86" s="191">
        <v>9</v>
      </c>
      <c r="O86" s="191">
        <v>6</v>
      </c>
      <c r="P86" s="191">
        <v>5</v>
      </c>
      <c r="Q86" s="191">
        <v>5</v>
      </c>
      <c r="R86" s="191">
        <v>0</v>
      </c>
      <c r="S86" s="191">
        <v>1</v>
      </c>
      <c r="T86" s="191">
        <v>5</v>
      </c>
      <c r="U86" s="191">
        <v>20</v>
      </c>
      <c r="V86" s="191">
        <v>10</v>
      </c>
      <c r="W86" s="191">
        <v>6</v>
      </c>
      <c r="X86" s="191">
        <v>11</v>
      </c>
      <c r="Y86" s="191">
        <v>1</v>
      </c>
      <c r="Z86" s="191">
        <v>2</v>
      </c>
      <c r="AA86" s="191">
        <v>3</v>
      </c>
      <c r="AB86" s="191">
        <v>9</v>
      </c>
      <c r="AC86" s="191">
        <v>5</v>
      </c>
      <c r="AD86" s="191">
        <v>1</v>
      </c>
      <c r="AE86" s="191">
        <v>4</v>
      </c>
      <c r="AF86" s="190"/>
      <c r="AG86" s="189">
        <f t="shared" si="5"/>
        <v>157</v>
      </c>
      <c r="AI86" s="405"/>
    </row>
    <row r="87" spans="1:35" ht="19.5" thickBot="1" x14ac:dyDescent="0.3">
      <c r="A87" s="312" t="s">
        <v>114</v>
      </c>
      <c r="B87" s="260">
        <f t="shared" ref="B87:AF87" si="12">SUM(B88:B92)</f>
        <v>11</v>
      </c>
      <c r="C87" s="187">
        <f t="shared" si="12"/>
        <v>12</v>
      </c>
      <c r="D87" s="187">
        <f t="shared" si="12"/>
        <v>5</v>
      </c>
      <c r="E87" s="187">
        <f t="shared" si="12"/>
        <v>2</v>
      </c>
      <c r="F87" s="187">
        <f t="shared" si="12"/>
        <v>0</v>
      </c>
      <c r="G87" s="187">
        <f t="shared" si="12"/>
        <v>7</v>
      </c>
      <c r="H87" s="187">
        <f t="shared" si="12"/>
        <v>5</v>
      </c>
      <c r="I87" s="187">
        <f t="shared" si="12"/>
        <v>7</v>
      </c>
      <c r="J87" s="187">
        <f t="shared" si="12"/>
        <v>3</v>
      </c>
      <c r="K87" s="187">
        <f t="shared" si="12"/>
        <v>3</v>
      </c>
      <c r="L87" s="187">
        <f t="shared" si="12"/>
        <v>6</v>
      </c>
      <c r="M87" s="187">
        <f t="shared" si="12"/>
        <v>0</v>
      </c>
      <c r="N87" s="187">
        <f t="shared" si="12"/>
        <v>9</v>
      </c>
      <c r="O87" s="187">
        <f t="shared" si="12"/>
        <v>6</v>
      </c>
      <c r="P87" s="187">
        <f t="shared" si="12"/>
        <v>5</v>
      </c>
      <c r="Q87" s="187">
        <f t="shared" si="12"/>
        <v>6</v>
      </c>
      <c r="R87" s="187">
        <f t="shared" si="12"/>
        <v>0</v>
      </c>
      <c r="S87" s="187">
        <f t="shared" si="12"/>
        <v>2</v>
      </c>
      <c r="T87" s="187">
        <f t="shared" si="12"/>
        <v>5</v>
      </c>
      <c r="U87" s="187">
        <f t="shared" si="12"/>
        <v>21</v>
      </c>
      <c r="V87" s="187">
        <f t="shared" si="12"/>
        <v>11</v>
      </c>
      <c r="W87" s="187">
        <f t="shared" si="12"/>
        <v>6</v>
      </c>
      <c r="X87" s="187">
        <f t="shared" si="12"/>
        <v>13</v>
      </c>
      <c r="Y87" s="187">
        <f t="shared" si="12"/>
        <v>3</v>
      </c>
      <c r="Z87" s="187">
        <f t="shared" si="12"/>
        <v>2</v>
      </c>
      <c r="AA87" s="187">
        <f t="shared" si="12"/>
        <v>4</v>
      </c>
      <c r="AB87" s="187">
        <f t="shared" si="12"/>
        <v>11</v>
      </c>
      <c r="AC87" s="187">
        <f t="shared" si="12"/>
        <v>7</v>
      </c>
      <c r="AD87" s="187">
        <f t="shared" si="12"/>
        <v>1</v>
      </c>
      <c r="AE87" s="187">
        <f t="shared" si="12"/>
        <v>8</v>
      </c>
      <c r="AF87" s="187">
        <f t="shared" si="12"/>
        <v>0</v>
      </c>
      <c r="AG87" s="186">
        <f t="shared" si="5"/>
        <v>181</v>
      </c>
      <c r="AH87" s="185" t="str">
        <f>IF(AG87&lt;&gt;AG84,"*","")</f>
        <v/>
      </c>
    </row>
    <row r="88" spans="1:35" ht="18.75" x14ac:dyDescent="0.25">
      <c r="A88" s="313" t="s">
        <v>113</v>
      </c>
      <c r="B88" s="253">
        <v>2</v>
      </c>
      <c r="C88" s="184">
        <v>3</v>
      </c>
      <c r="D88" s="184">
        <v>1</v>
      </c>
      <c r="E88" s="184">
        <v>1</v>
      </c>
      <c r="F88" s="184">
        <v>0</v>
      </c>
      <c r="G88" s="184">
        <v>4</v>
      </c>
      <c r="H88" s="184">
        <v>2</v>
      </c>
      <c r="I88" s="184">
        <v>2</v>
      </c>
      <c r="J88" s="184">
        <v>1</v>
      </c>
      <c r="K88" s="184"/>
      <c r="L88" s="184">
        <v>1</v>
      </c>
      <c r="M88" s="184"/>
      <c r="N88" s="184">
        <v>3</v>
      </c>
      <c r="O88" s="184">
        <v>1</v>
      </c>
      <c r="P88" s="184">
        <v>3</v>
      </c>
      <c r="Q88" s="184">
        <v>3</v>
      </c>
      <c r="R88" s="184"/>
      <c r="S88" s="184">
        <v>1</v>
      </c>
      <c r="T88" s="184">
        <v>2</v>
      </c>
      <c r="U88" s="184">
        <v>12</v>
      </c>
      <c r="V88" s="184">
        <v>4</v>
      </c>
      <c r="W88" s="184">
        <v>3</v>
      </c>
      <c r="X88" s="184">
        <v>5</v>
      </c>
      <c r="Y88" s="184"/>
      <c r="Z88" s="184"/>
      <c r="AA88" s="184"/>
      <c r="AB88" s="184">
        <v>6</v>
      </c>
      <c r="AC88" s="184"/>
      <c r="AD88" s="184"/>
      <c r="AE88" s="184">
        <v>3</v>
      </c>
      <c r="AF88" s="183"/>
      <c r="AG88" s="134">
        <f t="shared" si="5"/>
        <v>63</v>
      </c>
    </row>
    <row r="89" spans="1:35" ht="18.75" x14ac:dyDescent="0.25">
      <c r="A89" s="314" t="s">
        <v>16</v>
      </c>
      <c r="B89" s="252"/>
      <c r="C89" s="181"/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  <c r="AA89" s="181"/>
      <c r="AB89" s="181"/>
      <c r="AC89" s="181"/>
      <c r="AD89" s="181"/>
      <c r="AE89" s="181"/>
      <c r="AF89" s="180"/>
      <c r="AG89" s="64">
        <f t="shared" si="5"/>
        <v>0</v>
      </c>
    </row>
    <row r="90" spans="1:35" ht="18.75" x14ac:dyDescent="0.25">
      <c r="A90" s="314" t="s">
        <v>15</v>
      </c>
      <c r="B90" s="252"/>
      <c r="C90" s="181"/>
      <c r="D90" s="181">
        <v>1</v>
      </c>
      <c r="E90" s="181"/>
      <c r="F90" s="181"/>
      <c r="G90" s="181"/>
      <c r="H90" s="181"/>
      <c r="I90" s="181"/>
      <c r="J90" s="181"/>
      <c r="K90" s="181"/>
      <c r="L90" s="181"/>
      <c r="M90" s="181"/>
      <c r="N90" s="181"/>
      <c r="O90" s="181"/>
      <c r="P90" s="181"/>
      <c r="Q90" s="181">
        <v>1</v>
      </c>
      <c r="R90" s="181"/>
      <c r="S90" s="181"/>
      <c r="T90" s="181"/>
      <c r="U90" s="181"/>
      <c r="V90" s="181">
        <v>1</v>
      </c>
      <c r="W90" s="181"/>
      <c r="X90" s="181"/>
      <c r="Y90" s="181"/>
      <c r="Z90" s="181">
        <v>1</v>
      </c>
      <c r="AA90" s="181">
        <v>1</v>
      </c>
      <c r="AB90" s="181">
        <v>1</v>
      </c>
      <c r="AC90" s="181"/>
      <c r="AD90" s="181"/>
      <c r="AE90" s="181"/>
      <c r="AF90" s="180"/>
      <c r="AG90" s="64">
        <f t="shared" si="5"/>
        <v>6</v>
      </c>
    </row>
    <row r="91" spans="1:35" ht="18.75" x14ac:dyDescent="0.25">
      <c r="A91" s="314" t="s">
        <v>14</v>
      </c>
      <c r="B91" s="252">
        <v>2</v>
      </c>
      <c r="C91" s="181">
        <v>6</v>
      </c>
      <c r="D91" s="181">
        <v>2</v>
      </c>
      <c r="E91" s="181">
        <v>1</v>
      </c>
      <c r="F91" s="181"/>
      <c r="G91" s="181">
        <v>3</v>
      </c>
      <c r="H91" s="181">
        <v>1</v>
      </c>
      <c r="I91" s="181">
        <v>4</v>
      </c>
      <c r="J91" s="181"/>
      <c r="K91" s="181">
        <v>1</v>
      </c>
      <c r="L91" s="181">
        <v>3</v>
      </c>
      <c r="M91" s="181"/>
      <c r="N91" s="181">
        <v>3</v>
      </c>
      <c r="O91" s="181">
        <v>3</v>
      </c>
      <c r="P91" s="181">
        <v>2</v>
      </c>
      <c r="Q91" s="181"/>
      <c r="R91" s="181"/>
      <c r="S91" s="181">
        <v>1</v>
      </c>
      <c r="T91" s="181">
        <v>3</v>
      </c>
      <c r="U91" s="181"/>
      <c r="V91" s="181">
        <v>3</v>
      </c>
      <c r="W91" s="181">
        <v>1</v>
      </c>
      <c r="X91" s="181">
        <v>5</v>
      </c>
      <c r="Y91" s="181">
        <v>2</v>
      </c>
      <c r="Z91" s="181"/>
      <c r="AA91" s="181">
        <v>2</v>
      </c>
      <c r="AB91" s="181">
        <v>3</v>
      </c>
      <c r="AC91" s="181">
        <v>4</v>
      </c>
      <c r="AD91" s="181">
        <v>1</v>
      </c>
      <c r="AE91" s="181">
        <v>2</v>
      </c>
      <c r="AF91" s="180"/>
      <c r="AG91" s="64">
        <f t="shared" si="5"/>
        <v>58</v>
      </c>
    </row>
    <row r="92" spans="1:35" ht="19.5" thickBot="1" x14ac:dyDescent="0.3">
      <c r="A92" s="314" t="s">
        <v>13</v>
      </c>
      <c r="B92" s="252">
        <v>7</v>
      </c>
      <c r="C92" s="181">
        <v>3</v>
      </c>
      <c r="D92" s="181">
        <v>1</v>
      </c>
      <c r="E92" s="181"/>
      <c r="F92" s="181"/>
      <c r="G92" s="181"/>
      <c r="H92" s="181">
        <v>2</v>
      </c>
      <c r="I92" s="181">
        <v>1</v>
      </c>
      <c r="J92" s="181">
        <v>2</v>
      </c>
      <c r="K92" s="181">
        <v>2</v>
      </c>
      <c r="L92" s="181">
        <v>2</v>
      </c>
      <c r="M92" s="181"/>
      <c r="N92" s="181">
        <v>3</v>
      </c>
      <c r="O92" s="181">
        <v>2</v>
      </c>
      <c r="P92" s="181"/>
      <c r="Q92" s="181">
        <v>2</v>
      </c>
      <c r="R92" s="181"/>
      <c r="S92" s="181"/>
      <c r="T92" s="181"/>
      <c r="U92" s="181">
        <v>9</v>
      </c>
      <c r="V92" s="181">
        <v>3</v>
      </c>
      <c r="W92" s="181">
        <v>2</v>
      </c>
      <c r="X92" s="181">
        <v>3</v>
      </c>
      <c r="Y92" s="181">
        <v>1</v>
      </c>
      <c r="Z92" s="181">
        <v>1</v>
      </c>
      <c r="AA92" s="181">
        <v>1</v>
      </c>
      <c r="AB92" s="181">
        <v>1</v>
      </c>
      <c r="AC92" s="181">
        <v>3</v>
      </c>
      <c r="AD92" s="181"/>
      <c r="AE92" s="181">
        <v>3</v>
      </c>
      <c r="AF92" s="180"/>
      <c r="AG92" s="64">
        <f t="shared" si="5"/>
        <v>54</v>
      </c>
    </row>
    <row r="93" spans="1:35" ht="18.75" x14ac:dyDescent="0.25">
      <c r="A93" s="315" t="s">
        <v>112</v>
      </c>
      <c r="B93" s="261">
        <f t="shared" ref="B93:AF93" si="13">+B94+B100</f>
        <v>129</v>
      </c>
      <c r="C93" s="166">
        <f t="shared" si="13"/>
        <v>118</v>
      </c>
      <c r="D93" s="166">
        <f t="shared" si="13"/>
        <v>125</v>
      </c>
      <c r="E93" s="166">
        <f t="shared" si="13"/>
        <v>140</v>
      </c>
      <c r="F93" s="166">
        <f t="shared" si="13"/>
        <v>122</v>
      </c>
      <c r="G93" s="166">
        <f t="shared" si="13"/>
        <v>125</v>
      </c>
      <c r="H93" s="166">
        <f t="shared" si="13"/>
        <v>129</v>
      </c>
      <c r="I93" s="166">
        <f t="shared" si="13"/>
        <v>140</v>
      </c>
      <c r="J93" s="166">
        <f t="shared" si="13"/>
        <v>93</v>
      </c>
      <c r="K93" s="166">
        <f t="shared" si="13"/>
        <v>103</v>
      </c>
      <c r="L93" s="166">
        <f t="shared" si="13"/>
        <v>72</v>
      </c>
      <c r="M93" s="166">
        <f t="shared" si="13"/>
        <v>111</v>
      </c>
      <c r="N93" s="166">
        <f t="shared" si="13"/>
        <v>144</v>
      </c>
      <c r="O93" s="166">
        <f t="shared" si="13"/>
        <v>106</v>
      </c>
      <c r="P93" s="166">
        <f t="shared" si="13"/>
        <v>123</v>
      </c>
      <c r="Q93" s="166">
        <f t="shared" si="13"/>
        <v>108</v>
      </c>
      <c r="R93" s="166">
        <f t="shared" si="13"/>
        <v>151</v>
      </c>
      <c r="S93" s="166">
        <f t="shared" si="13"/>
        <v>109</v>
      </c>
      <c r="T93" s="166">
        <f t="shared" si="13"/>
        <v>119</v>
      </c>
      <c r="U93" s="166">
        <f t="shared" si="13"/>
        <v>156</v>
      </c>
      <c r="V93" s="166">
        <f t="shared" si="13"/>
        <v>155</v>
      </c>
      <c r="W93" s="166">
        <f t="shared" si="13"/>
        <v>127</v>
      </c>
      <c r="X93" s="166">
        <f t="shared" si="13"/>
        <v>131</v>
      </c>
      <c r="Y93" s="166">
        <f t="shared" si="13"/>
        <v>131</v>
      </c>
      <c r="Z93" s="166">
        <f t="shared" si="13"/>
        <v>177</v>
      </c>
      <c r="AA93" s="166">
        <f t="shared" si="13"/>
        <v>161</v>
      </c>
      <c r="AB93" s="166">
        <f t="shared" si="13"/>
        <v>160</v>
      </c>
      <c r="AC93" s="166">
        <f t="shared" si="13"/>
        <v>144</v>
      </c>
      <c r="AD93" s="166">
        <f t="shared" si="13"/>
        <v>117</v>
      </c>
      <c r="AE93" s="166">
        <f t="shared" si="13"/>
        <v>119</v>
      </c>
      <c r="AF93" s="165">
        <f t="shared" si="13"/>
        <v>0</v>
      </c>
      <c r="AG93" s="164">
        <f t="shared" si="5"/>
        <v>3845</v>
      </c>
      <c r="AH93" s="179" t="str">
        <f>IF(AG93&lt;&gt;AG28,"*","")</f>
        <v/>
      </c>
    </row>
    <row r="94" spans="1:35" ht="18.75" x14ac:dyDescent="0.25">
      <c r="A94" s="66" t="s">
        <v>111</v>
      </c>
      <c r="B94" s="262">
        <f t="shared" ref="B94:AF94" si="14">SUM(B95:B99)</f>
        <v>14</v>
      </c>
      <c r="C94" s="68">
        <f t="shared" si="14"/>
        <v>8</v>
      </c>
      <c r="D94" s="68">
        <f t="shared" si="14"/>
        <v>14</v>
      </c>
      <c r="E94" s="68">
        <f t="shared" si="14"/>
        <v>9</v>
      </c>
      <c r="F94" s="68">
        <f t="shared" si="14"/>
        <v>15</v>
      </c>
      <c r="G94" s="68">
        <f t="shared" si="14"/>
        <v>11</v>
      </c>
      <c r="H94" s="68">
        <f t="shared" si="14"/>
        <v>9</v>
      </c>
      <c r="I94" s="68">
        <f t="shared" si="14"/>
        <v>15</v>
      </c>
      <c r="J94" s="68">
        <f t="shared" si="14"/>
        <v>10</v>
      </c>
      <c r="K94" s="68">
        <f t="shared" si="14"/>
        <v>10</v>
      </c>
      <c r="L94" s="68">
        <f t="shared" si="14"/>
        <v>3</v>
      </c>
      <c r="M94" s="68">
        <f t="shared" si="14"/>
        <v>8</v>
      </c>
      <c r="N94" s="68">
        <f t="shared" si="14"/>
        <v>16</v>
      </c>
      <c r="O94" s="68">
        <f t="shared" si="14"/>
        <v>8</v>
      </c>
      <c r="P94" s="68">
        <f t="shared" si="14"/>
        <v>18</v>
      </c>
      <c r="Q94" s="68">
        <f t="shared" si="14"/>
        <v>12</v>
      </c>
      <c r="R94" s="68">
        <f t="shared" si="14"/>
        <v>11</v>
      </c>
      <c r="S94" s="68">
        <f t="shared" si="14"/>
        <v>13</v>
      </c>
      <c r="T94" s="68">
        <f t="shared" si="14"/>
        <v>12</v>
      </c>
      <c r="U94" s="68">
        <f t="shared" si="14"/>
        <v>18</v>
      </c>
      <c r="V94" s="68">
        <f t="shared" si="14"/>
        <v>25</v>
      </c>
      <c r="W94" s="68">
        <f t="shared" si="14"/>
        <v>15</v>
      </c>
      <c r="X94" s="68">
        <f t="shared" si="14"/>
        <v>13</v>
      </c>
      <c r="Y94" s="68">
        <f t="shared" si="14"/>
        <v>24</v>
      </c>
      <c r="Z94" s="68">
        <f t="shared" si="14"/>
        <v>15</v>
      </c>
      <c r="AA94" s="68">
        <f t="shared" si="14"/>
        <v>20</v>
      </c>
      <c r="AB94" s="68">
        <f t="shared" si="14"/>
        <v>16</v>
      </c>
      <c r="AC94" s="68">
        <f t="shared" si="14"/>
        <v>18</v>
      </c>
      <c r="AD94" s="68">
        <f t="shared" si="14"/>
        <v>17</v>
      </c>
      <c r="AE94" s="68">
        <f t="shared" si="14"/>
        <v>12</v>
      </c>
      <c r="AF94" s="67">
        <f t="shared" si="14"/>
        <v>0</v>
      </c>
      <c r="AG94" s="64">
        <f t="shared" si="5"/>
        <v>409</v>
      </c>
    </row>
    <row r="95" spans="1:35" ht="18.75" x14ac:dyDescent="0.25">
      <c r="A95" s="316" t="s">
        <v>110</v>
      </c>
      <c r="B95" s="249">
        <v>1</v>
      </c>
      <c r="C95" s="162"/>
      <c r="D95" s="162"/>
      <c r="E95" s="162"/>
      <c r="F95" s="162"/>
      <c r="G95" s="162"/>
      <c r="H95" s="162"/>
      <c r="I95" s="162"/>
      <c r="J95" s="162"/>
      <c r="K95" s="162"/>
      <c r="L95" s="162"/>
      <c r="M95" s="162">
        <v>2</v>
      </c>
      <c r="N95" s="162">
        <v>2</v>
      </c>
      <c r="O95" s="162"/>
      <c r="P95" s="162"/>
      <c r="Q95" s="162"/>
      <c r="R95" s="162"/>
      <c r="S95" s="162">
        <v>1</v>
      </c>
      <c r="T95" s="162"/>
      <c r="U95" s="162">
        <v>1</v>
      </c>
      <c r="V95" s="162">
        <v>1</v>
      </c>
      <c r="W95" s="162"/>
      <c r="X95" s="162"/>
      <c r="Y95" s="162">
        <v>1</v>
      </c>
      <c r="Z95" s="162"/>
      <c r="AA95" s="162">
        <v>1</v>
      </c>
      <c r="AB95" s="162">
        <v>2</v>
      </c>
      <c r="AC95" s="162">
        <v>1</v>
      </c>
      <c r="AD95" s="162"/>
      <c r="AE95" s="162"/>
      <c r="AF95" s="161"/>
      <c r="AG95" s="64">
        <f t="shared" si="5"/>
        <v>13</v>
      </c>
    </row>
    <row r="96" spans="1:35" ht="18.75" x14ac:dyDescent="0.25">
      <c r="A96" s="317" t="s">
        <v>109</v>
      </c>
      <c r="B96" s="249">
        <v>2</v>
      </c>
      <c r="C96" s="162"/>
      <c r="D96" s="162">
        <v>1</v>
      </c>
      <c r="E96" s="162">
        <v>2</v>
      </c>
      <c r="F96" s="162">
        <v>1</v>
      </c>
      <c r="G96" s="162"/>
      <c r="H96" s="162"/>
      <c r="I96" s="162">
        <v>3</v>
      </c>
      <c r="J96" s="162">
        <v>1</v>
      </c>
      <c r="K96" s="162"/>
      <c r="L96" s="162"/>
      <c r="M96" s="162"/>
      <c r="N96" s="162">
        <v>1</v>
      </c>
      <c r="O96" s="162">
        <v>1</v>
      </c>
      <c r="P96" s="162">
        <v>4</v>
      </c>
      <c r="Q96" s="162">
        <v>2</v>
      </c>
      <c r="R96" s="162"/>
      <c r="S96" s="176">
        <v>1</v>
      </c>
      <c r="T96" s="162">
        <v>2</v>
      </c>
      <c r="U96" s="162"/>
      <c r="V96" s="162">
        <v>2</v>
      </c>
      <c r="W96" s="162"/>
      <c r="X96" s="162">
        <v>2</v>
      </c>
      <c r="Y96" s="162">
        <v>2</v>
      </c>
      <c r="Z96" s="162"/>
      <c r="AA96" s="162">
        <v>2</v>
      </c>
      <c r="AB96" s="162">
        <v>1</v>
      </c>
      <c r="AC96" s="162">
        <v>2</v>
      </c>
      <c r="AD96" s="162">
        <v>1</v>
      </c>
      <c r="AE96" s="162"/>
      <c r="AF96" s="161"/>
      <c r="AG96" s="64">
        <f t="shared" si="5"/>
        <v>33</v>
      </c>
    </row>
    <row r="97" spans="1:33" ht="18.75" x14ac:dyDescent="0.25">
      <c r="A97" s="318" t="s">
        <v>108</v>
      </c>
      <c r="B97" s="249">
        <v>4</v>
      </c>
      <c r="C97" s="162">
        <v>3</v>
      </c>
      <c r="D97" s="162">
        <v>2</v>
      </c>
      <c r="E97" s="162"/>
      <c r="F97" s="162">
        <v>1</v>
      </c>
      <c r="G97" s="162">
        <v>3</v>
      </c>
      <c r="H97" s="162">
        <v>4</v>
      </c>
      <c r="I97" s="162">
        <v>3</v>
      </c>
      <c r="J97" s="162">
        <v>4</v>
      </c>
      <c r="K97" s="162">
        <v>5</v>
      </c>
      <c r="L97" s="162"/>
      <c r="M97" s="162">
        <v>1</v>
      </c>
      <c r="N97" s="162">
        <v>3</v>
      </c>
      <c r="O97" s="162">
        <v>2</v>
      </c>
      <c r="P97" s="162">
        <v>7</v>
      </c>
      <c r="Q97" s="162">
        <v>4</v>
      </c>
      <c r="R97" s="162"/>
      <c r="S97" s="162">
        <v>3</v>
      </c>
      <c r="T97" s="162">
        <v>4</v>
      </c>
      <c r="U97" s="162">
        <v>7</v>
      </c>
      <c r="V97" s="162">
        <v>6</v>
      </c>
      <c r="W97" s="162">
        <v>2</v>
      </c>
      <c r="X97" s="162">
        <v>2</v>
      </c>
      <c r="Y97" s="162">
        <v>7</v>
      </c>
      <c r="Z97" s="162">
        <v>4</v>
      </c>
      <c r="AA97" s="162">
        <v>7</v>
      </c>
      <c r="AB97" s="162">
        <v>4</v>
      </c>
      <c r="AC97" s="162">
        <v>6</v>
      </c>
      <c r="AD97" s="162">
        <v>2</v>
      </c>
      <c r="AE97" s="162">
        <v>4</v>
      </c>
      <c r="AF97" s="161"/>
      <c r="AG97" s="64">
        <f t="shared" si="5"/>
        <v>104</v>
      </c>
    </row>
    <row r="98" spans="1:33" ht="18.75" x14ac:dyDescent="0.25">
      <c r="A98" s="319" t="s">
        <v>107</v>
      </c>
      <c r="B98" s="249">
        <v>2</v>
      </c>
      <c r="C98" s="162">
        <v>2</v>
      </c>
      <c r="D98" s="162">
        <v>5</v>
      </c>
      <c r="E98" s="162">
        <v>2</v>
      </c>
      <c r="F98" s="162">
        <v>5</v>
      </c>
      <c r="G98" s="162">
        <v>3</v>
      </c>
      <c r="H98" s="162">
        <v>3</v>
      </c>
      <c r="I98" s="162">
        <v>4</v>
      </c>
      <c r="J98" s="162">
        <v>4</v>
      </c>
      <c r="K98" s="162">
        <v>2</v>
      </c>
      <c r="L98" s="162">
        <v>1</v>
      </c>
      <c r="M98" s="162">
        <v>3</v>
      </c>
      <c r="N98" s="162">
        <v>7</v>
      </c>
      <c r="O98" s="162">
        <v>4</v>
      </c>
      <c r="P98" s="162">
        <v>2</v>
      </c>
      <c r="Q98" s="162">
        <v>3</v>
      </c>
      <c r="R98" s="162">
        <v>4</v>
      </c>
      <c r="S98" s="162">
        <v>2</v>
      </c>
      <c r="T98" s="162">
        <v>3</v>
      </c>
      <c r="U98" s="162">
        <v>5</v>
      </c>
      <c r="V98" s="162">
        <v>11</v>
      </c>
      <c r="W98" s="162">
        <v>5</v>
      </c>
      <c r="X98" s="162">
        <v>4</v>
      </c>
      <c r="Y98" s="162">
        <v>7</v>
      </c>
      <c r="Z98" s="162">
        <v>8</v>
      </c>
      <c r="AA98" s="162">
        <v>4</v>
      </c>
      <c r="AB98" s="162">
        <v>5</v>
      </c>
      <c r="AC98" s="162">
        <v>7</v>
      </c>
      <c r="AD98" s="162">
        <v>9</v>
      </c>
      <c r="AE98" s="162">
        <v>4</v>
      </c>
      <c r="AF98" s="161"/>
      <c r="AG98" s="64">
        <f t="shared" si="5"/>
        <v>130</v>
      </c>
    </row>
    <row r="99" spans="1:33" ht="18.75" x14ac:dyDescent="0.25">
      <c r="A99" s="320" t="s">
        <v>106</v>
      </c>
      <c r="B99" s="249">
        <v>5</v>
      </c>
      <c r="C99" s="162">
        <v>3</v>
      </c>
      <c r="D99" s="162">
        <v>6</v>
      </c>
      <c r="E99" s="162">
        <v>5</v>
      </c>
      <c r="F99" s="162">
        <v>8</v>
      </c>
      <c r="G99" s="162">
        <v>5</v>
      </c>
      <c r="H99" s="162">
        <v>2</v>
      </c>
      <c r="I99" s="162">
        <v>5</v>
      </c>
      <c r="J99" s="162">
        <v>1</v>
      </c>
      <c r="K99" s="162">
        <v>3</v>
      </c>
      <c r="L99" s="162">
        <v>2</v>
      </c>
      <c r="M99" s="162">
        <v>2</v>
      </c>
      <c r="N99" s="162">
        <v>3</v>
      </c>
      <c r="O99" s="162">
        <v>1</v>
      </c>
      <c r="P99" s="162">
        <v>5</v>
      </c>
      <c r="Q99" s="162">
        <v>3</v>
      </c>
      <c r="R99" s="162">
        <v>7</v>
      </c>
      <c r="S99" s="162">
        <v>6</v>
      </c>
      <c r="T99" s="162">
        <v>3</v>
      </c>
      <c r="U99" s="162">
        <v>5</v>
      </c>
      <c r="V99" s="162">
        <v>5</v>
      </c>
      <c r="W99" s="162">
        <v>8</v>
      </c>
      <c r="X99" s="162">
        <v>5</v>
      </c>
      <c r="Y99" s="162">
        <v>7</v>
      </c>
      <c r="Z99" s="162">
        <v>3</v>
      </c>
      <c r="AA99" s="162">
        <v>6</v>
      </c>
      <c r="AB99" s="162">
        <v>4</v>
      </c>
      <c r="AC99" s="162">
        <v>2</v>
      </c>
      <c r="AD99" s="162">
        <v>5</v>
      </c>
      <c r="AE99" s="162">
        <v>4</v>
      </c>
      <c r="AF99" s="161"/>
      <c r="AG99" s="64">
        <f t="shared" ref="AG99:AG130" si="15">SUM(B99:AF99)</f>
        <v>129</v>
      </c>
    </row>
    <row r="100" spans="1:33" ht="18.75" x14ac:dyDescent="0.25">
      <c r="A100" s="66" t="s">
        <v>105</v>
      </c>
      <c r="B100" s="262">
        <f t="shared" ref="B100:AF100" si="16">SUM(B101:B115)</f>
        <v>115</v>
      </c>
      <c r="C100" s="68">
        <f t="shared" si="16"/>
        <v>110</v>
      </c>
      <c r="D100" s="68">
        <f t="shared" si="16"/>
        <v>111</v>
      </c>
      <c r="E100" s="68">
        <f t="shared" si="16"/>
        <v>131</v>
      </c>
      <c r="F100" s="68">
        <f t="shared" si="16"/>
        <v>107</v>
      </c>
      <c r="G100" s="68">
        <f t="shared" si="16"/>
        <v>114</v>
      </c>
      <c r="H100" s="68">
        <f t="shared" si="16"/>
        <v>120</v>
      </c>
      <c r="I100" s="68">
        <f t="shared" si="16"/>
        <v>125</v>
      </c>
      <c r="J100" s="68">
        <f t="shared" si="16"/>
        <v>83</v>
      </c>
      <c r="K100" s="68">
        <f t="shared" si="16"/>
        <v>93</v>
      </c>
      <c r="L100" s="68">
        <f t="shared" si="16"/>
        <v>69</v>
      </c>
      <c r="M100" s="68">
        <f t="shared" si="16"/>
        <v>103</v>
      </c>
      <c r="N100" s="68">
        <f t="shared" si="16"/>
        <v>128</v>
      </c>
      <c r="O100" s="68">
        <f t="shared" si="16"/>
        <v>98</v>
      </c>
      <c r="P100" s="68">
        <f t="shared" si="16"/>
        <v>105</v>
      </c>
      <c r="Q100" s="68">
        <f t="shared" si="16"/>
        <v>96</v>
      </c>
      <c r="R100" s="68">
        <f t="shared" si="16"/>
        <v>140</v>
      </c>
      <c r="S100" s="68">
        <f t="shared" si="16"/>
        <v>96</v>
      </c>
      <c r="T100" s="68">
        <f t="shared" si="16"/>
        <v>107</v>
      </c>
      <c r="U100" s="68">
        <f t="shared" si="16"/>
        <v>138</v>
      </c>
      <c r="V100" s="68">
        <f t="shared" si="16"/>
        <v>130</v>
      </c>
      <c r="W100" s="68">
        <f t="shared" si="16"/>
        <v>112</v>
      </c>
      <c r="X100" s="68">
        <f t="shared" si="16"/>
        <v>118</v>
      </c>
      <c r="Y100" s="68">
        <f t="shared" si="16"/>
        <v>107</v>
      </c>
      <c r="Z100" s="68">
        <f t="shared" si="16"/>
        <v>162</v>
      </c>
      <c r="AA100" s="68">
        <f t="shared" si="16"/>
        <v>141</v>
      </c>
      <c r="AB100" s="68">
        <f t="shared" si="16"/>
        <v>144</v>
      </c>
      <c r="AC100" s="68">
        <f t="shared" si="16"/>
        <v>126</v>
      </c>
      <c r="AD100" s="68">
        <f t="shared" si="16"/>
        <v>100</v>
      </c>
      <c r="AE100" s="68">
        <f t="shared" si="16"/>
        <v>107</v>
      </c>
      <c r="AF100" s="67">
        <f t="shared" si="16"/>
        <v>0</v>
      </c>
      <c r="AG100" s="64">
        <f t="shared" si="15"/>
        <v>3436</v>
      </c>
    </row>
    <row r="101" spans="1:33" ht="18.75" x14ac:dyDescent="0.25">
      <c r="A101" s="320" t="s">
        <v>104</v>
      </c>
      <c r="B101" s="249">
        <v>6</v>
      </c>
      <c r="C101" s="162">
        <v>11</v>
      </c>
      <c r="D101" s="162">
        <v>8</v>
      </c>
      <c r="E101" s="162">
        <v>5</v>
      </c>
      <c r="F101" s="162">
        <v>3</v>
      </c>
      <c r="G101" s="162">
        <v>10</v>
      </c>
      <c r="H101" s="162">
        <v>14</v>
      </c>
      <c r="I101" s="162">
        <v>7</v>
      </c>
      <c r="J101" s="162">
        <v>4</v>
      </c>
      <c r="K101" s="162">
        <v>7</v>
      </c>
      <c r="L101" s="162">
        <v>1</v>
      </c>
      <c r="M101" s="162">
        <v>4</v>
      </c>
      <c r="N101" s="162">
        <v>3</v>
      </c>
      <c r="O101" s="162">
        <v>6</v>
      </c>
      <c r="P101" s="162">
        <v>9</v>
      </c>
      <c r="Q101" s="162">
        <v>3</v>
      </c>
      <c r="R101" s="162">
        <v>5</v>
      </c>
      <c r="S101" s="162">
        <v>5</v>
      </c>
      <c r="T101" s="162">
        <v>5</v>
      </c>
      <c r="U101" s="162">
        <v>6</v>
      </c>
      <c r="V101" s="162">
        <v>6</v>
      </c>
      <c r="W101" s="162">
        <v>7</v>
      </c>
      <c r="X101" s="162">
        <v>5</v>
      </c>
      <c r="Y101" s="162">
        <v>10</v>
      </c>
      <c r="Z101" s="162">
        <v>12</v>
      </c>
      <c r="AA101" s="162">
        <v>7</v>
      </c>
      <c r="AB101" s="162">
        <v>9</v>
      </c>
      <c r="AC101" s="162">
        <v>11</v>
      </c>
      <c r="AD101" s="162">
        <v>3</v>
      </c>
      <c r="AE101" s="162">
        <v>4</v>
      </c>
      <c r="AF101" s="161"/>
      <c r="AG101" s="64">
        <f t="shared" si="15"/>
        <v>196</v>
      </c>
    </row>
    <row r="102" spans="1:33" ht="18.75" x14ac:dyDescent="0.25">
      <c r="A102" s="320" t="s">
        <v>103</v>
      </c>
      <c r="B102" s="249">
        <v>10</v>
      </c>
      <c r="C102" s="162">
        <v>6</v>
      </c>
      <c r="D102" s="162">
        <v>12</v>
      </c>
      <c r="E102" s="162">
        <v>11</v>
      </c>
      <c r="F102" s="162">
        <v>6</v>
      </c>
      <c r="G102" s="162">
        <v>13</v>
      </c>
      <c r="H102" s="162">
        <v>17</v>
      </c>
      <c r="I102" s="162">
        <v>14</v>
      </c>
      <c r="J102" s="162">
        <v>12</v>
      </c>
      <c r="K102" s="162">
        <v>8</v>
      </c>
      <c r="L102" s="162">
        <v>11</v>
      </c>
      <c r="M102" s="162">
        <v>7</v>
      </c>
      <c r="N102" s="162">
        <v>17</v>
      </c>
      <c r="O102" s="162">
        <v>7</v>
      </c>
      <c r="P102" s="162">
        <v>16</v>
      </c>
      <c r="Q102" s="162">
        <v>10</v>
      </c>
      <c r="R102" s="162">
        <v>18</v>
      </c>
      <c r="S102" s="162">
        <v>3</v>
      </c>
      <c r="T102" s="162">
        <v>17</v>
      </c>
      <c r="U102" s="162">
        <v>14</v>
      </c>
      <c r="V102" s="162">
        <v>13</v>
      </c>
      <c r="W102" s="162">
        <v>17</v>
      </c>
      <c r="X102" s="162">
        <v>15</v>
      </c>
      <c r="Y102" s="162">
        <v>6</v>
      </c>
      <c r="Z102" s="162">
        <v>17</v>
      </c>
      <c r="AA102" s="162">
        <v>20</v>
      </c>
      <c r="AB102" s="162">
        <v>16</v>
      </c>
      <c r="AC102" s="162">
        <v>17</v>
      </c>
      <c r="AD102" s="162">
        <v>15</v>
      </c>
      <c r="AE102" s="162">
        <v>13</v>
      </c>
      <c r="AF102" s="161"/>
      <c r="AG102" s="64">
        <f t="shared" si="15"/>
        <v>378</v>
      </c>
    </row>
    <row r="103" spans="1:33" ht="18.75" x14ac:dyDescent="0.25">
      <c r="A103" s="321" t="s">
        <v>102</v>
      </c>
      <c r="B103" s="249">
        <v>19</v>
      </c>
      <c r="C103" s="162">
        <v>16</v>
      </c>
      <c r="D103" s="162">
        <v>18</v>
      </c>
      <c r="E103" s="162">
        <v>16</v>
      </c>
      <c r="F103" s="162">
        <v>9</v>
      </c>
      <c r="G103" s="162">
        <v>9</v>
      </c>
      <c r="H103" s="162">
        <v>9</v>
      </c>
      <c r="I103" s="162">
        <v>14</v>
      </c>
      <c r="J103" s="162">
        <v>8</v>
      </c>
      <c r="K103" s="162">
        <v>6</v>
      </c>
      <c r="L103" s="162">
        <v>11</v>
      </c>
      <c r="M103" s="162">
        <v>12</v>
      </c>
      <c r="N103" s="162">
        <v>19</v>
      </c>
      <c r="O103" s="162">
        <v>15</v>
      </c>
      <c r="P103" s="162">
        <v>13</v>
      </c>
      <c r="Q103" s="162">
        <v>12</v>
      </c>
      <c r="R103" s="162">
        <v>18</v>
      </c>
      <c r="S103" s="162">
        <v>12</v>
      </c>
      <c r="T103" s="162">
        <v>6</v>
      </c>
      <c r="U103" s="162">
        <v>10</v>
      </c>
      <c r="V103" s="162">
        <v>13</v>
      </c>
      <c r="W103" s="162">
        <v>9</v>
      </c>
      <c r="X103" s="162">
        <v>12</v>
      </c>
      <c r="Y103" s="162">
        <v>14</v>
      </c>
      <c r="Z103" s="162">
        <v>19</v>
      </c>
      <c r="AA103" s="162">
        <v>12</v>
      </c>
      <c r="AB103" s="162">
        <v>16</v>
      </c>
      <c r="AC103" s="162">
        <v>11</v>
      </c>
      <c r="AD103" s="162">
        <v>10</v>
      </c>
      <c r="AE103" s="162">
        <v>20</v>
      </c>
      <c r="AF103" s="161"/>
      <c r="AG103" s="64">
        <f t="shared" si="15"/>
        <v>388</v>
      </c>
    </row>
    <row r="104" spans="1:33" ht="18.75" x14ac:dyDescent="0.25">
      <c r="A104" s="321" t="s">
        <v>101</v>
      </c>
      <c r="B104" s="249">
        <v>7</v>
      </c>
      <c r="C104" s="162">
        <v>8</v>
      </c>
      <c r="D104" s="162">
        <v>9</v>
      </c>
      <c r="E104" s="162">
        <v>13</v>
      </c>
      <c r="F104" s="162">
        <v>12</v>
      </c>
      <c r="G104" s="162">
        <v>4</v>
      </c>
      <c r="H104" s="162">
        <v>7</v>
      </c>
      <c r="I104" s="162">
        <v>12</v>
      </c>
      <c r="J104" s="162">
        <v>5</v>
      </c>
      <c r="K104" s="162">
        <v>7</v>
      </c>
      <c r="L104" s="162">
        <v>4</v>
      </c>
      <c r="M104" s="162">
        <v>10</v>
      </c>
      <c r="N104" s="162">
        <v>7</v>
      </c>
      <c r="O104" s="162">
        <v>5</v>
      </c>
      <c r="P104" s="162">
        <v>6</v>
      </c>
      <c r="Q104" s="162">
        <v>15</v>
      </c>
      <c r="R104" s="162">
        <v>21</v>
      </c>
      <c r="S104" s="162">
        <v>11</v>
      </c>
      <c r="T104" s="162">
        <v>11</v>
      </c>
      <c r="U104" s="162">
        <v>17</v>
      </c>
      <c r="V104" s="162">
        <v>6</v>
      </c>
      <c r="W104" s="162">
        <v>6</v>
      </c>
      <c r="X104" s="162">
        <v>6</v>
      </c>
      <c r="Y104" s="162">
        <v>13</v>
      </c>
      <c r="Z104" s="162">
        <v>12</v>
      </c>
      <c r="AA104" s="162">
        <v>15</v>
      </c>
      <c r="AB104" s="162">
        <v>12</v>
      </c>
      <c r="AC104" s="162">
        <v>14</v>
      </c>
      <c r="AD104" s="162">
        <v>4</v>
      </c>
      <c r="AE104" s="162">
        <v>6</v>
      </c>
      <c r="AF104" s="161"/>
      <c r="AG104" s="64">
        <f t="shared" si="15"/>
        <v>285</v>
      </c>
    </row>
    <row r="105" spans="1:33" ht="18.75" x14ac:dyDescent="0.25">
      <c r="A105" s="321" t="s">
        <v>100</v>
      </c>
      <c r="B105" s="249">
        <v>11</v>
      </c>
      <c r="C105" s="162">
        <v>10</v>
      </c>
      <c r="D105" s="162">
        <v>11</v>
      </c>
      <c r="E105" s="162">
        <v>11</v>
      </c>
      <c r="F105" s="162">
        <v>7</v>
      </c>
      <c r="G105" s="162">
        <v>10</v>
      </c>
      <c r="H105" s="162">
        <v>6</v>
      </c>
      <c r="I105" s="162">
        <v>11</v>
      </c>
      <c r="J105" s="162">
        <v>5</v>
      </c>
      <c r="K105" s="162">
        <v>9</v>
      </c>
      <c r="L105" s="162">
        <v>3</v>
      </c>
      <c r="M105" s="162">
        <v>7</v>
      </c>
      <c r="N105" s="162">
        <v>8</v>
      </c>
      <c r="O105" s="162">
        <v>10</v>
      </c>
      <c r="P105" s="162">
        <v>4</v>
      </c>
      <c r="Q105" s="162">
        <v>9</v>
      </c>
      <c r="R105" s="162">
        <v>9</v>
      </c>
      <c r="S105" s="162">
        <v>5</v>
      </c>
      <c r="T105" s="162">
        <v>12</v>
      </c>
      <c r="U105" s="162">
        <v>14</v>
      </c>
      <c r="V105" s="162">
        <v>11</v>
      </c>
      <c r="W105" s="162">
        <v>9</v>
      </c>
      <c r="X105" s="162">
        <v>12</v>
      </c>
      <c r="Y105" s="162">
        <v>10</v>
      </c>
      <c r="Z105" s="162">
        <v>13</v>
      </c>
      <c r="AA105" s="162">
        <v>6</v>
      </c>
      <c r="AB105" s="162">
        <v>9</v>
      </c>
      <c r="AC105" s="162">
        <v>2</v>
      </c>
      <c r="AD105" s="162">
        <v>5</v>
      </c>
      <c r="AE105" s="162">
        <v>11</v>
      </c>
      <c r="AF105" s="161"/>
      <c r="AG105" s="64">
        <f t="shared" si="15"/>
        <v>260</v>
      </c>
    </row>
    <row r="106" spans="1:33" ht="18.75" x14ac:dyDescent="0.25">
      <c r="A106" s="321" t="s">
        <v>99</v>
      </c>
      <c r="B106" s="249">
        <v>12</v>
      </c>
      <c r="C106" s="162">
        <v>6</v>
      </c>
      <c r="D106" s="162">
        <v>9</v>
      </c>
      <c r="E106" s="162">
        <v>7</v>
      </c>
      <c r="F106" s="162">
        <v>10</v>
      </c>
      <c r="G106" s="162">
        <v>11</v>
      </c>
      <c r="H106" s="162">
        <v>8</v>
      </c>
      <c r="I106" s="162">
        <v>6</v>
      </c>
      <c r="J106" s="162">
        <v>9</v>
      </c>
      <c r="K106" s="162">
        <v>8</v>
      </c>
      <c r="L106" s="162">
        <v>2</v>
      </c>
      <c r="M106" s="162">
        <v>12</v>
      </c>
      <c r="N106" s="162">
        <v>7</v>
      </c>
      <c r="O106" s="162">
        <v>6</v>
      </c>
      <c r="P106" s="162">
        <v>8</v>
      </c>
      <c r="Q106" s="162">
        <v>6</v>
      </c>
      <c r="R106" s="162">
        <v>7</v>
      </c>
      <c r="S106" s="162">
        <v>5</v>
      </c>
      <c r="T106" s="162">
        <v>6</v>
      </c>
      <c r="U106" s="162">
        <v>8</v>
      </c>
      <c r="V106" s="162">
        <v>15</v>
      </c>
      <c r="W106" s="162">
        <v>7</v>
      </c>
      <c r="X106" s="162">
        <v>9</v>
      </c>
      <c r="Y106" s="162">
        <v>10</v>
      </c>
      <c r="Z106" s="162">
        <v>12</v>
      </c>
      <c r="AA106" s="162">
        <v>8</v>
      </c>
      <c r="AB106" s="162">
        <v>13</v>
      </c>
      <c r="AC106" s="162">
        <v>6</v>
      </c>
      <c r="AD106" s="162">
        <v>5</v>
      </c>
      <c r="AE106" s="162">
        <v>9</v>
      </c>
      <c r="AF106" s="161"/>
      <c r="AG106" s="64">
        <f t="shared" si="15"/>
        <v>247</v>
      </c>
    </row>
    <row r="107" spans="1:33" ht="18.75" x14ac:dyDescent="0.25">
      <c r="A107" s="321" t="s">
        <v>98</v>
      </c>
      <c r="B107" s="249">
        <v>10</v>
      </c>
      <c r="C107" s="162">
        <v>7</v>
      </c>
      <c r="D107" s="162">
        <v>7</v>
      </c>
      <c r="E107" s="162">
        <v>9</v>
      </c>
      <c r="F107" s="162">
        <v>11</v>
      </c>
      <c r="G107" s="162">
        <v>13</v>
      </c>
      <c r="H107" s="162">
        <v>10</v>
      </c>
      <c r="I107" s="162">
        <v>11</v>
      </c>
      <c r="J107" s="162">
        <v>11</v>
      </c>
      <c r="K107" s="162">
        <v>3</v>
      </c>
      <c r="L107" s="162">
        <v>8</v>
      </c>
      <c r="M107" s="162">
        <v>5</v>
      </c>
      <c r="N107" s="162">
        <v>6</v>
      </c>
      <c r="O107" s="162">
        <v>7</v>
      </c>
      <c r="P107" s="162">
        <v>5</v>
      </c>
      <c r="Q107" s="162">
        <v>9</v>
      </c>
      <c r="R107" s="162">
        <v>10</v>
      </c>
      <c r="S107" s="162">
        <v>7</v>
      </c>
      <c r="T107" s="162">
        <v>10</v>
      </c>
      <c r="U107" s="162">
        <v>12</v>
      </c>
      <c r="V107" s="162">
        <v>8</v>
      </c>
      <c r="W107" s="162">
        <v>10</v>
      </c>
      <c r="X107" s="162">
        <v>4</v>
      </c>
      <c r="Y107" s="162">
        <v>9</v>
      </c>
      <c r="Z107" s="162">
        <v>14</v>
      </c>
      <c r="AA107" s="162">
        <v>8</v>
      </c>
      <c r="AB107" s="162">
        <v>14</v>
      </c>
      <c r="AC107" s="162">
        <v>10</v>
      </c>
      <c r="AD107" s="162">
        <v>9</v>
      </c>
      <c r="AE107" s="162">
        <v>4</v>
      </c>
      <c r="AF107" s="161"/>
      <c r="AG107" s="64">
        <f t="shared" si="15"/>
        <v>261</v>
      </c>
    </row>
    <row r="108" spans="1:33" ht="18.75" x14ac:dyDescent="0.25">
      <c r="A108" s="321" t="s">
        <v>97</v>
      </c>
      <c r="B108" s="249">
        <v>4</v>
      </c>
      <c r="C108" s="162">
        <v>10</v>
      </c>
      <c r="D108" s="162">
        <v>8</v>
      </c>
      <c r="E108" s="162">
        <v>13</v>
      </c>
      <c r="F108" s="162">
        <v>11</v>
      </c>
      <c r="G108" s="162">
        <v>7</v>
      </c>
      <c r="H108" s="162">
        <v>8</v>
      </c>
      <c r="I108" s="162">
        <v>13</v>
      </c>
      <c r="J108" s="162">
        <v>3</v>
      </c>
      <c r="K108" s="162">
        <v>5</v>
      </c>
      <c r="L108" s="162">
        <v>7</v>
      </c>
      <c r="M108" s="162">
        <v>14</v>
      </c>
      <c r="N108" s="162">
        <v>10</v>
      </c>
      <c r="O108" s="162">
        <v>4</v>
      </c>
      <c r="P108" s="162">
        <v>6</v>
      </c>
      <c r="Q108" s="162">
        <v>5</v>
      </c>
      <c r="R108" s="162">
        <v>14</v>
      </c>
      <c r="S108" s="162">
        <v>10</v>
      </c>
      <c r="T108" s="162">
        <v>7</v>
      </c>
      <c r="U108" s="162">
        <v>10</v>
      </c>
      <c r="V108" s="162">
        <v>15</v>
      </c>
      <c r="W108" s="162">
        <v>8</v>
      </c>
      <c r="X108" s="162">
        <v>11</v>
      </c>
      <c r="Y108" s="162">
        <v>6</v>
      </c>
      <c r="Z108" s="162">
        <v>13</v>
      </c>
      <c r="AA108" s="162">
        <v>19</v>
      </c>
      <c r="AB108" s="162">
        <v>8</v>
      </c>
      <c r="AC108" s="162">
        <v>8</v>
      </c>
      <c r="AD108" s="162">
        <v>9</v>
      </c>
      <c r="AE108" s="162">
        <v>10</v>
      </c>
      <c r="AF108" s="161"/>
      <c r="AG108" s="64">
        <f t="shared" si="15"/>
        <v>276</v>
      </c>
    </row>
    <row r="109" spans="1:33" ht="18.75" x14ac:dyDescent="0.25">
      <c r="A109" s="321" t="s">
        <v>96</v>
      </c>
      <c r="B109" s="249">
        <v>8</v>
      </c>
      <c r="C109" s="162">
        <v>7</v>
      </c>
      <c r="D109" s="162">
        <v>8</v>
      </c>
      <c r="E109" s="162">
        <v>16</v>
      </c>
      <c r="F109" s="162">
        <v>6</v>
      </c>
      <c r="G109" s="162">
        <v>9</v>
      </c>
      <c r="H109" s="162">
        <v>8</v>
      </c>
      <c r="I109" s="162">
        <v>7</v>
      </c>
      <c r="J109" s="162">
        <v>5</v>
      </c>
      <c r="K109" s="162">
        <v>5</v>
      </c>
      <c r="L109" s="162"/>
      <c r="M109" s="162">
        <v>5</v>
      </c>
      <c r="N109" s="162">
        <v>10</v>
      </c>
      <c r="O109" s="162">
        <v>15</v>
      </c>
      <c r="P109" s="162">
        <v>5</v>
      </c>
      <c r="Q109" s="162">
        <v>8</v>
      </c>
      <c r="R109" s="162">
        <v>10</v>
      </c>
      <c r="S109" s="162">
        <v>8</v>
      </c>
      <c r="T109" s="162">
        <v>7</v>
      </c>
      <c r="U109" s="162">
        <v>9</v>
      </c>
      <c r="V109" s="162">
        <v>12</v>
      </c>
      <c r="W109" s="162">
        <v>11</v>
      </c>
      <c r="X109" s="162">
        <v>8</v>
      </c>
      <c r="Y109" s="162">
        <v>7</v>
      </c>
      <c r="Z109" s="162">
        <v>13</v>
      </c>
      <c r="AA109" s="162">
        <v>14</v>
      </c>
      <c r="AB109" s="162">
        <v>11</v>
      </c>
      <c r="AC109" s="162">
        <v>13</v>
      </c>
      <c r="AD109" s="162">
        <v>9</v>
      </c>
      <c r="AE109" s="162">
        <v>7</v>
      </c>
      <c r="AF109" s="161"/>
      <c r="AG109" s="64">
        <f t="shared" si="15"/>
        <v>261</v>
      </c>
    </row>
    <row r="110" spans="1:33" ht="18.75" x14ac:dyDescent="0.25">
      <c r="A110" s="321" t="s">
        <v>95</v>
      </c>
      <c r="B110" s="249">
        <v>6</v>
      </c>
      <c r="C110" s="162">
        <v>8</v>
      </c>
      <c r="D110" s="162">
        <v>5</v>
      </c>
      <c r="E110" s="162">
        <v>8</v>
      </c>
      <c r="F110" s="162">
        <v>11</v>
      </c>
      <c r="G110" s="162">
        <v>11</v>
      </c>
      <c r="H110" s="162">
        <v>12</v>
      </c>
      <c r="I110" s="162">
        <v>8</v>
      </c>
      <c r="J110" s="162">
        <v>6</v>
      </c>
      <c r="K110" s="162">
        <v>10</v>
      </c>
      <c r="L110" s="162">
        <v>6</v>
      </c>
      <c r="M110" s="162">
        <v>8</v>
      </c>
      <c r="N110" s="162">
        <v>10</v>
      </c>
      <c r="O110" s="162">
        <v>7</v>
      </c>
      <c r="P110" s="162">
        <v>12</v>
      </c>
      <c r="Q110" s="162">
        <v>4</v>
      </c>
      <c r="R110" s="162">
        <v>4</v>
      </c>
      <c r="S110" s="162">
        <v>4</v>
      </c>
      <c r="T110" s="162">
        <v>6</v>
      </c>
      <c r="U110" s="162">
        <v>5</v>
      </c>
      <c r="V110" s="162">
        <v>8</v>
      </c>
      <c r="W110" s="162">
        <v>7</v>
      </c>
      <c r="X110" s="162">
        <v>11</v>
      </c>
      <c r="Y110" s="162">
        <v>4</v>
      </c>
      <c r="Z110" s="162">
        <v>3</v>
      </c>
      <c r="AA110" s="162">
        <v>13</v>
      </c>
      <c r="AB110" s="162">
        <v>14</v>
      </c>
      <c r="AC110" s="162">
        <v>9</v>
      </c>
      <c r="AD110" s="162">
        <v>7</v>
      </c>
      <c r="AE110" s="162">
        <v>3</v>
      </c>
      <c r="AF110" s="161"/>
      <c r="AG110" s="64">
        <f t="shared" si="15"/>
        <v>230</v>
      </c>
    </row>
    <row r="111" spans="1:33" ht="18.75" x14ac:dyDescent="0.25">
      <c r="A111" s="321" t="s">
        <v>94</v>
      </c>
      <c r="B111" s="249">
        <v>6</v>
      </c>
      <c r="C111" s="162">
        <v>4</v>
      </c>
      <c r="D111" s="162">
        <v>5</v>
      </c>
      <c r="E111" s="162">
        <v>6</v>
      </c>
      <c r="F111" s="162">
        <v>8</v>
      </c>
      <c r="G111" s="162">
        <v>3</v>
      </c>
      <c r="H111" s="162">
        <v>6</v>
      </c>
      <c r="I111" s="162">
        <v>6</v>
      </c>
      <c r="J111" s="162">
        <v>4</v>
      </c>
      <c r="K111" s="162">
        <v>7</v>
      </c>
      <c r="L111" s="162">
        <v>4</v>
      </c>
      <c r="M111" s="162">
        <v>8</v>
      </c>
      <c r="N111" s="162">
        <v>9</v>
      </c>
      <c r="O111" s="162">
        <v>7</v>
      </c>
      <c r="P111" s="162">
        <v>7</v>
      </c>
      <c r="Q111" s="162">
        <v>3</v>
      </c>
      <c r="R111" s="162">
        <v>6</v>
      </c>
      <c r="S111" s="162">
        <v>6</v>
      </c>
      <c r="T111" s="162">
        <v>6</v>
      </c>
      <c r="U111" s="162">
        <v>13</v>
      </c>
      <c r="V111" s="162">
        <v>8</v>
      </c>
      <c r="W111" s="162">
        <v>9</v>
      </c>
      <c r="X111" s="162">
        <v>7</v>
      </c>
      <c r="Y111" s="162">
        <v>6</v>
      </c>
      <c r="Z111" s="162">
        <v>9</v>
      </c>
      <c r="AA111" s="162">
        <v>8</v>
      </c>
      <c r="AB111" s="162">
        <v>6</v>
      </c>
      <c r="AC111" s="162">
        <v>10</v>
      </c>
      <c r="AD111" s="162">
        <v>8</v>
      </c>
      <c r="AE111" s="162">
        <v>4</v>
      </c>
      <c r="AF111" s="161"/>
      <c r="AG111" s="64">
        <f t="shared" si="15"/>
        <v>199</v>
      </c>
    </row>
    <row r="112" spans="1:33" ht="18.75" x14ac:dyDescent="0.25">
      <c r="A112" s="321" t="s">
        <v>93</v>
      </c>
      <c r="B112" s="249">
        <v>5</v>
      </c>
      <c r="C112" s="162">
        <v>5</v>
      </c>
      <c r="D112" s="162">
        <v>1</v>
      </c>
      <c r="E112" s="162">
        <v>3</v>
      </c>
      <c r="F112" s="162">
        <v>4</v>
      </c>
      <c r="G112" s="162">
        <v>2</v>
      </c>
      <c r="H112" s="162">
        <v>3</v>
      </c>
      <c r="I112" s="162">
        <v>7</v>
      </c>
      <c r="J112" s="162">
        <v>4</v>
      </c>
      <c r="K112" s="162">
        <v>6</v>
      </c>
      <c r="L112" s="162">
        <v>8</v>
      </c>
      <c r="M112" s="162">
        <v>4</v>
      </c>
      <c r="N112" s="162">
        <v>5</v>
      </c>
      <c r="O112" s="162">
        <v>5</v>
      </c>
      <c r="P112" s="162">
        <v>4</v>
      </c>
      <c r="Q112" s="162">
        <v>2</v>
      </c>
      <c r="R112" s="162">
        <v>5</v>
      </c>
      <c r="S112" s="162">
        <v>5</v>
      </c>
      <c r="T112" s="162">
        <v>3</v>
      </c>
      <c r="U112" s="162">
        <v>10</v>
      </c>
      <c r="V112" s="162">
        <v>4</v>
      </c>
      <c r="W112" s="162">
        <v>1</v>
      </c>
      <c r="X112" s="162">
        <v>8</v>
      </c>
      <c r="Y112" s="162">
        <v>3</v>
      </c>
      <c r="Z112" s="162">
        <v>9</v>
      </c>
      <c r="AA112" s="162">
        <v>4</v>
      </c>
      <c r="AB112" s="162">
        <v>6</v>
      </c>
      <c r="AC112" s="162">
        <v>6</v>
      </c>
      <c r="AD112" s="162">
        <v>5</v>
      </c>
      <c r="AE112" s="162">
        <v>3</v>
      </c>
      <c r="AF112" s="161"/>
      <c r="AG112" s="64">
        <f t="shared" si="15"/>
        <v>140</v>
      </c>
    </row>
    <row r="113" spans="1:33" ht="18.75" x14ac:dyDescent="0.25">
      <c r="A113" s="321" t="s">
        <v>92</v>
      </c>
      <c r="B113" s="249">
        <v>4</v>
      </c>
      <c r="C113" s="162">
        <v>5</v>
      </c>
      <c r="D113" s="162">
        <v>1</v>
      </c>
      <c r="E113" s="162">
        <v>7</v>
      </c>
      <c r="F113" s="162">
        <v>3</v>
      </c>
      <c r="G113" s="162">
        <v>8</v>
      </c>
      <c r="H113" s="162">
        <v>4</v>
      </c>
      <c r="I113" s="162">
        <v>4</v>
      </c>
      <c r="J113" s="162">
        <v>2</v>
      </c>
      <c r="K113" s="162">
        <v>5</v>
      </c>
      <c r="L113" s="162">
        <v>2</v>
      </c>
      <c r="M113" s="162">
        <v>3</v>
      </c>
      <c r="N113" s="162">
        <v>10</v>
      </c>
      <c r="O113" s="162">
        <v>1</v>
      </c>
      <c r="P113" s="162">
        <v>3</v>
      </c>
      <c r="Q113" s="162">
        <v>3</v>
      </c>
      <c r="R113" s="162">
        <v>7</v>
      </c>
      <c r="S113" s="162">
        <v>7</v>
      </c>
      <c r="T113" s="162">
        <v>3</v>
      </c>
      <c r="U113" s="162">
        <v>3</v>
      </c>
      <c r="V113" s="162">
        <v>8</v>
      </c>
      <c r="W113" s="162">
        <v>4</v>
      </c>
      <c r="X113" s="162">
        <v>3</v>
      </c>
      <c r="Y113" s="162">
        <v>3</v>
      </c>
      <c r="Z113" s="162">
        <v>10</v>
      </c>
      <c r="AA113" s="162">
        <v>5</v>
      </c>
      <c r="AB113" s="162">
        <v>5</v>
      </c>
      <c r="AC113" s="162">
        <v>5</v>
      </c>
      <c r="AD113" s="162">
        <v>4</v>
      </c>
      <c r="AE113" s="162">
        <v>6</v>
      </c>
      <c r="AF113" s="161"/>
      <c r="AG113" s="64">
        <f t="shared" si="15"/>
        <v>138</v>
      </c>
    </row>
    <row r="114" spans="1:33" ht="18.75" x14ac:dyDescent="0.25">
      <c r="A114" s="321" t="s">
        <v>91</v>
      </c>
      <c r="B114" s="249">
        <v>7</v>
      </c>
      <c r="C114" s="162">
        <v>7</v>
      </c>
      <c r="D114" s="162">
        <v>9</v>
      </c>
      <c r="E114" s="162">
        <v>6</v>
      </c>
      <c r="F114" s="162">
        <v>6</v>
      </c>
      <c r="G114" s="162">
        <v>4</v>
      </c>
      <c r="H114" s="162">
        <v>8</v>
      </c>
      <c r="I114" s="162">
        <v>5</v>
      </c>
      <c r="J114" s="162">
        <v>5</v>
      </c>
      <c r="K114" s="162">
        <v>7</v>
      </c>
      <c r="L114" s="162">
        <v>2</v>
      </c>
      <c r="M114" s="162">
        <v>4</v>
      </c>
      <c r="N114" s="162">
        <v>7</v>
      </c>
      <c r="O114" s="162">
        <v>3</v>
      </c>
      <c r="P114" s="162">
        <v>7</v>
      </c>
      <c r="Q114" s="162">
        <v>7</v>
      </c>
      <c r="R114" s="162">
        <v>6</v>
      </c>
      <c r="S114" s="162">
        <v>8</v>
      </c>
      <c r="T114" s="162">
        <v>8</v>
      </c>
      <c r="U114" s="162">
        <v>7</v>
      </c>
      <c r="V114" s="162">
        <v>3</v>
      </c>
      <c r="W114" s="162">
        <v>7</v>
      </c>
      <c r="X114" s="162">
        <v>7</v>
      </c>
      <c r="Y114" s="162">
        <v>6</v>
      </c>
      <c r="Z114" s="162">
        <v>6</v>
      </c>
      <c r="AA114" s="162">
        <v>2</v>
      </c>
      <c r="AB114" s="162">
        <v>5</v>
      </c>
      <c r="AC114" s="162">
        <v>4</v>
      </c>
      <c r="AD114" s="162">
        <v>7</v>
      </c>
      <c r="AE114" s="162">
        <v>7</v>
      </c>
      <c r="AF114" s="161"/>
      <c r="AG114" s="64">
        <f t="shared" si="15"/>
        <v>177</v>
      </c>
    </row>
    <row r="115" spans="1:33" ht="19.5" thickBot="1" x14ac:dyDescent="0.3">
      <c r="A115" s="322"/>
      <c r="B115" s="255"/>
      <c r="C115" s="169"/>
      <c r="D115" s="169"/>
      <c r="E115" s="169"/>
      <c r="F115" s="169"/>
      <c r="G115" s="169"/>
      <c r="H115" s="169"/>
      <c r="I115" s="169"/>
      <c r="J115" s="169"/>
      <c r="K115" s="169"/>
      <c r="L115" s="169"/>
      <c r="M115" s="169"/>
      <c r="N115" s="169"/>
      <c r="O115" s="169"/>
      <c r="P115" s="169"/>
      <c r="Q115" s="169"/>
      <c r="R115" s="169"/>
      <c r="S115" s="169"/>
      <c r="T115" s="169"/>
      <c r="U115" s="169"/>
      <c r="V115" s="169"/>
      <c r="W115" s="169"/>
      <c r="X115" s="169"/>
      <c r="Y115" s="169"/>
      <c r="Z115" s="169"/>
      <c r="AA115" s="169"/>
      <c r="AB115" s="169"/>
      <c r="AC115" s="169"/>
      <c r="AD115" s="169"/>
      <c r="AE115" s="169"/>
      <c r="AF115" s="168"/>
      <c r="AG115" s="64">
        <f t="shared" si="15"/>
        <v>0</v>
      </c>
    </row>
    <row r="116" spans="1:33" ht="18.75" x14ac:dyDescent="0.25">
      <c r="A116" s="315" t="s">
        <v>90</v>
      </c>
      <c r="B116" s="261">
        <f t="shared" ref="B116:AF116" si="17">SUM(B117:B129)</f>
        <v>46</v>
      </c>
      <c r="C116" s="166">
        <f t="shared" si="17"/>
        <v>22</v>
      </c>
      <c r="D116" s="166">
        <f t="shared" si="17"/>
        <v>40</v>
      </c>
      <c r="E116" s="166">
        <f t="shared" si="17"/>
        <v>47</v>
      </c>
      <c r="F116" s="166">
        <f t="shared" si="17"/>
        <v>33</v>
      </c>
      <c r="G116" s="166">
        <f t="shared" si="17"/>
        <v>17</v>
      </c>
      <c r="H116" s="166">
        <f t="shared" si="17"/>
        <v>26</v>
      </c>
      <c r="I116" s="166">
        <f t="shared" si="17"/>
        <v>43</v>
      </c>
      <c r="J116" s="166">
        <f t="shared" si="17"/>
        <v>25</v>
      </c>
      <c r="K116" s="166">
        <f t="shared" si="17"/>
        <v>34</v>
      </c>
      <c r="L116" s="166">
        <f t="shared" si="17"/>
        <v>30</v>
      </c>
      <c r="M116" s="166">
        <f t="shared" si="17"/>
        <v>39</v>
      </c>
      <c r="N116" s="166">
        <f t="shared" si="17"/>
        <v>48</v>
      </c>
      <c r="O116" s="166">
        <f t="shared" si="17"/>
        <v>25</v>
      </c>
      <c r="P116" s="166">
        <f t="shared" si="17"/>
        <v>44</v>
      </c>
      <c r="Q116" s="166">
        <f t="shared" si="17"/>
        <v>30</v>
      </c>
      <c r="R116" s="166">
        <f t="shared" si="17"/>
        <v>44</v>
      </c>
      <c r="S116" s="166">
        <f t="shared" si="17"/>
        <v>31</v>
      </c>
      <c r="T116" s="166">
        <f t="shared" si="17"/>
        <v>40</v>
      </c>
      <c r="U116" s="166">
        <f t="shared" si="17"/>
        <v>35</v>
      </c>
      <c r="V116" s="166">
        <f t="shared" si="17"/>
        <v>20</v>
      </c>
      <c r="W116" s="166">
        <f t="shared" si="17"/>
        <v>38</v>
      </c>
      <c r="X116" s="166">
        <f t="shared" si="17"/>
        <v>29</v>
      </c>
      <c r="Y116" s="166">
        <f t="shared" si="17"/>
        <v>31</v>
      </c>
      <c r="Z116" s="166">
        <f t="shared" si="17"/>
        <v>52</v>
      </c>
      <c r="AA116" s="166">
        <f t="shared" si="17"/>
        <v>41</v>
      </c>
      <c r="AB116" s="166">
        <f t="shared" si="17"/>
        <v>20</v>
      </c>
      <c r="AC116" s="166">
        <f t="shared" si="17"/>
        <v>31</v>
      </c>
      <c r="AD116" s="166">
        <f t="shared" si="17"/>
        <v>40</v>
      </c>
      <c r="AE116" s="166">
        <f t="shared" si="17"/>
        <v>29</v>
      </c>
      <c r="AF116" s="165">
        <f t="shared" si="17"/>
        <v>0</v>
      </c>
      <c r="AG116" s="64">
        <f t="shared" si="15"/>
        <v>1030</v>
      </c>
    </row>
    <row r="117" spans="1:33" ht="18.75" x14ac:dyDescent="0.25">
      <c r="A117" s="323" t="s">
        <v>67</v>
      </c>
      <c r="B117" s="249">
        <v>33</v>
      </c>
      <c r="C117" s="162">
        <v>13</v>
      </c>
      <c r="D117" s="162">
        <v>34</v>
      </c>
      <c r="E117" s="162">
        <v>32</v>
      </c>
      <c r="F117" s="162">
        <v>26</v>
      </c>
      <c r="G117" s="162">
        <v>12</v>
      </c>
      <c r="H117" s="162">
        <v>18</v>
      </c>
      <c r="I117" s="162">
        <v>34</v>
      </c>
      <c r="J117" s="162">
        <v>15</v>
      </c>
      <c r="K117" s="162">
        <v>25</v>
      </c>
      <c r="L117" s="162">
        <v>23</v>
      </c>
      <c r="M117" s="162">
        <v>25</v>
      </c>
      <c r="N117" s="162">
        <v>41</v>
      </c>
      <c r="O117" s="162">
        <v>19</v>
      </c>
      <c r="P117" s="162">
        <v>30</v>
      </c>
      <c r="Q117" s="162">
        <v>21</v>
      </c>
      <c r="R117" s="162">
        <v>27</v>
      </c>
      <c r="S117" s="162">
        <v>20</v>
      </c>
      <c r="T117" s="162">
        <v>22</v>
      </c>
      <c r="U117" s="162">
        <v>20</v>
      </c>
      <c r="V117" s="162">
        <v>13</v>
      </c>
      <c r="W117" s="162">
        <v>29</v>
      </c>
      <c r="X117" s="162">
        <v>19</v>
      </c>
      <c r="Y117" s="162">
        <v>24</v>
      </c>
      <c r="Z117" s="162">
        <v>32</v>
      </c>
      <c r="AA117" s="162">
        <v>26</v>
      </c>
      <c r="AB117" s="162">
        <v>14</v>
      </c>
      <c r="AC117" s="162">
        <v>16</v>
      </c>
      <c r="AD117" s="162">
        <v>22</v>
      </c>
      <c r="AE117" s="162">
        <v>14</v>
      </c>
      <c r="AF117" s="161"/>
      <c r="AG117" s="64">
        <f t="shared" si="15"/>
        <v>699</v>
      </c>
    </row>
    <row r="118" spans="1:33" ht="19.5" hidden="1" customHeight="1" thickBot="1" x14ac:dyDescent="0.3">
      <c r="A118" s="323" t="s">
        <v>69</v>
      </c>
      <c r="B118" s="249"/>
      <c r="C118" s="162"/>
      <c r="D118" s="162"/>
      <c r="E118" s="162"/>
      <c r="F118" s="162"/>
      <c r="G118" s="162"/>
      <c r="H118" s="162"/>
      <c r="I118" s="162"/>
      <c r="J118" s="162"/>
      <c r="K118" s="162"/>
      <c r="L118" s="162"/>
      <c r="M118" s="162"/>
      <c r="N118" s="162"/>
      <c r="O118" s="162"/>
      <c r="P118" s="162"/>
      <c r="Q118" s="162"/>
      <c r="R118" s="162"/>
      <c r="S118" s="162"/>
      <c r="T118" s="162"/>
      <c r="U118" s="162"/>
      <c r="V118" s="162"/>
      <c r="W118" s="162"/>
      <c r="X118" s="162"/>
      <c r="Y118" s="162"/>
      <c r="Z118" s="162"/>
      <c r="AA118" s="162"/>
      <c r="AB118" s="162"/>
      <c r="AC118" s="162"/>
      <c r="AD118" s="162"/>
      <c r="AE118" s="162"/>
      <c r="AF118" s="161"/>
      <c r="AG118" s="64">
        <f t="shared" si="15"/>
        <v>0</v>
      </c>
    </row>
    <row r="119" spans="1:33" ht="19.5" hidden="1" customHeight="1" thickBot="1" x14ac:dyDescent="0.3">
      <c r="A119" s="323" t="s">
        <v>68</v>
      </c>
      <c r="B119" s="249"/>
      <c r="C119" s="162"/>
      <c r="D119" s="162"/>
      <c r="E119" s="162"/>
      <c r="F119" s="162"/>
      <c r="G119" s="162"/>
      <c r="H119" s="162"/>
      <c r="I119" s="162"/>
      <c r="J119" s="162"/>
      <c r="K119" s="162"/>
      <c r="L119" s="162"/>
      <c r="M119" s="162"/>
      <c r="N119" s="162"/>
      <c r="O119" s="162"/>
      <c r="P119" s="162"/>
      <c r="Q119" s="162"/>
      <c r="R119" s="162"/>
      <c r="S119" s="162"/>
      <c r="T119" s="162"/>
      <c r="U119" s="162"/>
      <c r="V119" s="162"/>
      <c r="W119" s="162"/>
      <c r="X119" s="162"/>
      <c r="Y119" s="162"/>
      <c r="Z119" s="162"/>
      <c r="AA119" s="162"/>
      <c r="AB119" s="162"/>
      <c r="AC119" s="162"/>
      <c r="AD119" s="162"/>
      <c r="AE119" s="162"/>
      <c r="AF119" s="161"/>
      <c r="AG119" s="64">
        <f t="shared" si="15"/>
        <v>0</v>
      </c>
    </row>
    <row r="120" spans="1:33" ht="19.5" hidden="1" customHeight="1" thickBot="1" x14ac:dyDescent="0.3">
      <c r="A120" s="323" t="s">
        <v>66</v>
      </c>
      <c r="B120" s="249"/>
      <c r="C120" s="162"/>
      <c r="D120" s="162"/>
      <c r="E120" s="162"/>
      <c r="F120" s="162"/>
      <c r="G120" s="162"/>
      <c r="H120" s="162"/>
      <c r="I120" s="162"/>
      <c r="J120" s="162"/>
      <c r="K120" s="162"/>
      <c r="L120" s="162"/>
      <c r="M120" s="162"/>
      <c r="N120" s="162"/>
      <c r="O120" s="162"/>
      <c r="P120" s="162"/>
      <c r="Q120" s="162"/>
      <c r="R120" s="162"/>
      <c r="S120" s="162"/>
      <c r="T120" s="162"/>
      <c r="U120" s="162"/>
      <c r="V120" s="162"/>
      <c r="W120" s="162"/>
      <c r="X120" s="162"/>
      <c r="Y120" s="162"/>
      <c r="Z120" s="162"/>
      <c r="AA120" s="162"/>
      <c r="AB120" s="162"/>
      <c r="AC120" s="162"/>
      <c r="AD120" s="162"/>
      <c r="AE120" s="162"/>
      <c r="AF120" s="161"/>
      <c r="AG120" s="64">
        <f t="shared" si="15"/>
        <v>0</v>
      </c>
    </row>
    <row r="121" spans="1:33" ht="19.5" hidden="1" customHeight="1" thickBot="1" x14ac:dyDescent="0.3">
      <c r="A121" s="323" t="s">
        <v>65</v>
      </c>
      <c r="B121" s="249"/>
      <c r="C121" s="162"/>
      <c r="D121" s="162"/>
      <c r="E121" s="162"/>
      <c r="F121" s="162"/>
      <c r="G121" s="162"/>
      <c r="H121" s="162"/>
      <c r="I121" s="162"/>
      <c r="J121" s="162"/>
      <c r="K121" s="162"/>
      <c r="L121" s="162"/>
      <c r="M121" s="162"/>
      <c r="N121" s="162"/>
      <c r="O121" s="162"/>
      <c r="P121" s="162"/>
      <c r="Q121" s="162"/>
      <c r="R121" s="162"/>
      <c r="S121" s="162"/>
      <c r="T121" s="162"/>
      <c r="U121" s="162"/>
      <c r="V121" s="162"/>
      <c r="W121" s="162"/>
      <c r="X121" s="162"/>
      <c r="Y121" s="162"/>
      <c r="Z121" s="162"/>
      <c r="AA121" s="162"/>
      <c r="AB121" s="162"/>
      <c r="AC121" s="162"/>
      <c r="AD121" s="162"/>
      <c r="AE121" s="162"/>
      <c r="AF121" s="161"/>
      <c r="AG121" s="64">
        <f t="shared" si="15"/>
        <v>0</v>
      </c>
    </row>
    <row r="122" spans="1:33" ht="19.5" hidden="1" customHeight="1" thickBot="1" x14ac:dyDescent="0.3">
      <c r="A122" s="323" t="s">
        <v>64</v>
      </c>
      <c r="B122" s="249"/>
      <c r="C122" s="162"/>
      <c r="D122" s="162"/>
      <c r="E122" s="162"/>
      <c r="F122" s="162"/>
      <c r="G122" s="162"/>
      <c r="H122" s="162"/>
      <c r="I122" s="162"/>
      <c r="J122" s="162"/>
      <c r="K122" s="162"/>
      <c r="L122" s="162"/>
      <c r="M122" s="162"/>
      <c r="N122" s="162"/>
      <c r="O122" s="162"/>
      <c r="P122" s="162"/>
      <c r="Q122" s="162"/>
      <c r="R122" s="162"/>
      <c r="S122" s="162"/>
      <c r="T122" s="162"/>
      <c r="U122" s="162"/>
      <c r="V122" s="162"/>
      <c r="W122" s="162"/>
      <c r="X122" s="162"/>
      <c r="Y122" s="162"/>
      <c r="Z122" s="162"/>
      <c r="AA122" s="162"/>
      <c r="AB122" s="162"/>
      <c r="AC122" s="162"/>
      <c r="AD122" s="162"/>
      <c r="AE122" s="162"/>
      <c r="AF122" s="161"/>
      <c r="AG122" s="64">
        <f t="shared" si="15"/>
        <v>0</v>
      </c>
    </row>
    <row r="123" spans="1:33" ht="19.5" hidden="1" customHeight="1" thickBot="1" x14ac:dyDescent="0.3">
      <c r="A123" s="323" t="s">
        <v>63</v>
      </c>
      <c r="B123" s="249"/>
      <c r="C123" s="162"/>
      <c r="D123" s="162"/>
      <c r="E123" s="162"/>
      <c r="F123" s="162"/>
      <c r="G123" s="162"/>
      <c r="H123" s="162"/>
      <c r="I123" s="162"/>
      <c r="J123" s="162"/>
      <c r="K123" s="162"/>
      <c r="L123" s="162"/>
      <c r="M123" s="162"/>
      <c r="N123" s="162"/>
      <c r="O123" s="162"/>
      <c r="P123" s="162"/>
      <c r="Q123" s="162"/>
      <c r="R123" s="162"/>
      <c r="S123" s="162"/>
      <c r="T123" s="162"/>
      <c r="U123" s="162"/>
      <c r="V123" s="162"/>
      <c r="W123" s="162"/>
      <c r="X123" s="162"/>
      <c r="Y123" s="162"/>
      <c r="Z123" s="162"/>
      <c r="AA123" s="162"/>
      <c r="AB123" s="162"/>
      <c r="AC123" s="162"/>
      <c r="AD123" s="162"/>
      <c r="AE123" s="162"/>
      <c r="AF123" s="161"/>
      <c r="AG123" s="64">
        <f t="shared" si="15"/>
        <v>0</v>
      </c>
    </row>
    <row r="124" spans="1:33" ht="19.5" hidden="1" customHeight="1" thickBot="1" x14ac:dyDescent="0.3">
      <c r="A124" s="323" t="s">
        <v>62</v>
      </c>
      <c r="B124" s="249"/>
      <c r="C124" s="162"/>
      <c r="D124" s="162"/>
      <c r="E124" s="162"/>
      <c r="F124" s="162"/>
      <c r="G124" s="162"/>
      <c r="H124" s="162"/>
      <c r="I124" s="162"/>
      <c r="J124" s="162"/>
      <c r="K124" s="162"/>
      <c r="L124" s="162"/>
      <c r="M124" s="162"/>
      <c r="N124" s="162"/>
      <c r="O124" s="162"/>
      <c r="P124" s="162"/>
      <c r="Q124" s="162"/>
      <c r="R124" s="162"/>
      <c r="S124" s="162"/>
      <c r="T124" s="162"/>
      <c r="U124" s="162"/>
      <c r="V124" s="162"/>
      <c r="W124" s="162"/>
      <c r="X124" s="162"/>
      <c r="Y124" s="162"/>
      <c r="Z124" s="162"/>
      <c r="AA124" s="162"/>
      <c r="AB124" s="162"/>
      <c r="AC124" s="162"/>
      <c r="AD124" s="162"/>
      <c r="AE124" s="162"/>
      <c r="AF124" s="161"/>
      <c r="AG124" s="64">
        <f t="shared" si="15"/>
        <v>0</v>
      </c>
    </row>
    <row r="125" spans="1:33" ht="19.5" hidden="1" customHeight="1" thickBot="1" x14ac:dyDescent="0.3">
      <c r="A125" s="301" t="s">
        <v>60</v>
      </c>
      <c r="B125" s="249"/>
      <c r="C125" s="162"/>
      <c r="D125" s="162"/>
      <c r="E125" s="162"/>
      <c r="F125" s="162"/>
      <c r="G125" s="162"/>
      <c r="H125" s="162"/>
      <c r="I125" s="162"/>
      <c r="J125" s="162"/>
      <c r="K125" s="162"/>
      <c r="L125" s="162"/>
      <c r="M125" s="162"/>
      <c r="N125" s="162"/>
      <c r="O125" s="162"/>
      <c r="P125" s="162"/>
      <c r="Q125" s="162"/>
      <c r="R125" s="162"/>
      <c r="S125" s="162"/>
      <c r="T125" s="162"/>
      <c r="U125" s="162"/>
      <c r="V125" s="162"/>
      <c r="W125" s="162"/>
      <c r="X125" s="162"/>
      <c r="Y125" s="162"/>
      <c r="Z125" s="162"/>
      <c r="AA125" s="162"/>
      <c r="AB125" s="162"/>
      <c r="AC125" s="162"/>
      <c r="AD125" s="162"/>
      <c r="AE125" s="162"/>
      <c r="AF125" s="161"/>
      <c r="AG125" s="64">
        <f t="shared" si="15"/>
        <v>0</v>
      </c>
    </row>
    <row r="126" spans="1:33" ht="19.5" hidden="1" customHeight="1" thickBot="1" x14ac:dyDescent="0.3">
      <c r="A126" s="301" t="s">
        <v>59</v>
      </c>
      <c r="B126" s="249"/>
      <c r="C126" s="162"/>
      <c r="D126" s="162"/>
      <c r="E126" s="162"/>
      <c r="F126" s="162"/>
      <c r="G126" s="162"/>
      <c r="H126" s="162"/>
      <c r="I126" s="162"/>
      <c r="J126" s="162"/>
      <c r="K126" s="162"/>
      <c r="L126" s="162"/>
      <c r="M126" s="162"/>
      <c r="N126" s="162"/>
      <c r="O126" s="162"/>
      <c r="P126" s="162"/>
      <c r="Q126" s="162"/>
      <c r="R126" s="162"/>
      <c r="S126" s="162"/>
      <c r="T126" s="162"/>
      <c r="U126" s="162"/>
      <c r="V126" s="162"/>
      <c r="W126" s="162"/>
      <c r="X126" s="162"/>
      <c r="Y126" s="162"/>
      <c r="Z126" s="162"/>
      <c r="AA126" s="162"/>
      <c r="AB126" s="162"/>
      <c r="AC126" s="162"/>
      <c r="AD126" s="162"/>
      <c r="AE126" s="162"/>
      <c r="AF126" s="161"/>
      <c r="AG126" s="64">
        <f t="shared" si="15"/>
        <v>0</v>
      </c>
    </row>
    <row r="127" spans="1:33" ht="19.5" hidden="1" customHeight="1" thickBot="1" x14ac:dyDescent="0.3">
      <c r="A127" s="301" t="s">
        <v>58</v>
      </c>
      <c r="B127" s="249"/>
      <c r="C127" s="162"/>
      <c r="D127" s="162"/>
      <c r="E127" s="162"/>
      <c r="F127" s="162"/>
      <c r="G127" s="162"/>
      <c r="H127" s="162"/>
      <c r="I127" s="162"/>
      <c r="J127" s="162"/>
      <c r="K127" s="162"/>
      <c r="L127" s="162"/>
      <c r="M127" s="162"/>
      <c r="N127" s="162"/>
      <c r="O127" s="162"/>
      <c r="P127" s="162"/>
      <c r="Q127" s="162"/>
      <c r="R127" s="162"/>
      <c r="S127" s="162"/>
      <c r="T127" s="162"/>
      <c r="U127" s="162"/>
      <c r="V127" s="162"/>
      <c r="W127" s="162"/>
      <c r="X127" s="162"/>
      <c r="Y127" s="162"/>
      <c r="Z127" s="162"/>
      <c r="AA127" s="162"/>
      <c r="AB127" s="162"/>
      <c r="AC127" s="162"/>
      <c r="AD127" s="162"/>
      <c r="AE127" s="162"/>
      <c r="AF127" s="161"/>
      <c r="AG127" s="64">
        <f t="shared" si="15"/>
        <v>0</v>
      </c>
    </row>
    <row r="128" spans="1:33" ht="19.5" hidden="1" customHeight="1" thickBot="1" x14ac:dyDescent="0.3">
      <c r="A128" s="323" t="s">
        <v>88</v>
      </c>
      <c r="B128" s="249"/>
      <c r="C128" s="162"/>
      <c r="D128" s="162"/>
      <c r="E128" s="162"/>
      <c r="F128" s="162"/>
      <c r="G128" s="162"/>
      <c r="H128" s="162"/>
      <c r="I128" s="162"/>
      <c r="J128" s="162"/>
      <c r="K128" s="162"/>
      <c r="L128" s="162"/>
      <c r="M128" s="162"/>
      <c r="N128" s="162"/>
      <c r="O128" s="162"/>
      <c r="P128" s="162"/>
      <c r="Q128" s="162"/>
      <c r="R128" s="162"/>
      <c r="S128" s="162"/>
      <c r="T128" s="162"/>
      <c r="U128" s="162"/>
      <c r="V128" s="162"/>
      <c r="W128" s="162"/>
      <c r="X128" s="162"/>
      <c r="Y128" s="162"/>
      <c r="Z128" s="162"/>
      <c r="AA128" s="162"/>
      <c r="AB128" s="162"/>
      <c r="AC128" s="162"/>
      <c r="AD128" s="162"/>
      <c r="AE128" s="162"/>
      <c r="AF128" s="161"/>
      <c r="AG128" s="64">
        <f t="shared" si="15"/>
        <v>0</v>
      </c>
    </row>
    <row r="129" spans="1:35" ht="19.5" thickBot="1" x14ac:dyDescent="0.3">
      <c r="A129" s="324" t="s">
        <v>87</v>
      </c>
      <c r="B129" s="263">
        <f>10+2+1</f>
        <v>13</v>
      </c>
      <c r="C129" s="140">
        <f>4+5</f>
        <v>9</v>
      </c>
      <c r="D129" s="140">
        <f>4+2</f>
        <v>6</v>
      </c>
      <c r="E129" s="140">
        <f>7+1+7</f>
        <v>15</v>
      </c>
      <c r="F129" s="140">
        <f>1+6</f>
        <v>7</v>
      </c>
      <c r="G129" s="140">
        <f>4+1</f>
        <v>5</v>
      </c>
      <c r="H129" s="140">
        <f>6+2</f>
        <v>8</v>
      </c>
      <c r="I129" s="140">
        <f>5+4</f>
        <v>9</v>
      </c>
      <c r="J129" s="140">
        <f>8+2</f>
        <v>10</v>
      </c>
      <c r="K129" s="140">
        <f>8+1</f>
        <v>9</v>
      </c>
      <c r="L129" s="140">
        <f>3+4</f>
        <v>7</v>
      </c>
      <c r="M129" s="140">
        <f>6+2+6</f>
        <v>14</v>
      </c>
      <c r="N129" s="140">
        <f>2+5</f>
        <v>7</v>
      </c>
      <c r="O129" s="140">
        <f>4+2</f>
        <v>6</v>
      </c>
      <c r="P129" s="140">
        <f>11+3</f>
        <v>14</v>
      </c>
      <c r="Q129" s="140">
        <f>5+1+3</f>
        <v>9</v>
      </c>
      <c r="R129" s="140">
        <f>13+4</f>
        <v>17</v>
      </c>
      <c r="S129" s="140">
        <f>5+6</f>
        <v>11</v>
      </c>
      <c r="T129" s="140">
        <f>11+7</f>
        <v>18</v>
      </c>
      <c r="U129" s="140">
        <f>12+3</f>
        <v>15</v>
      </c>
      <c r="V129" s="140">
        <v>7</v>
      </c>
      <c r="W129" s="140">
        <f>6+1+2</f>
        <v>9</v>
      </c>
      <c r="X129" s="140">
        <f>8+2</f>
        <v>10</v>
      </c>
      <c r="Y129" s="140">
        <f>5+2</f>
        <v>7</v>
      </c>
      <c r="Z129" s="140">
        <f>13+7</f>
        <v>20</v>
      </c>
      <c r="AA129" s="140">
        <f>9+6</f>
        <v>15</v>
      </c>
      <c r="AB129" s="140">
        <v>6</v>
      </c>
      <c r="AC129" s="140">
        <f>13+2</f>
        <v>15</v>
      </c>
      <c r="AD129" s="140">
        <f>13+5</f>
        <v>18</v>
      </c>
      <c r="AE129" s="140">
        <f>11+4</f>
        <v>15</v>
      </c>
      <c r="AF129" s="139"/>
      <c r="AG129" s="64">
        <f t="shared" si="15"/>
        <v>331</v>
      </c>
    </row>
    <row r="130" spans="1:35" ht="18.75" x14ac:dyDescent="0.25">
      <c r="A130" s="315" t="s">
        <v>89</v>
      </c>
      <c r="B130" s="261">
        <f t="shared" ref="B130:AF130" si="18">SUM(B131:B143)</f>
        <v>129</v>
      </c>
      <c r="C130" s="166">
        <f t="shared" si="18"/>
        <v>118</v>
      </c>
      <c r="D130" s="166">
        <f t="shared" si="18"/>
        <v>125</v>
      </c>
      <c r="E130" s="166">
        <f t="shared" si="18"/>
        <v>140</v>
      </c>
      <c r="F130" s="166">
        <f t="shared" si="18"/>
        <v>122</v>
      </c>
      <c r="G130" s="166">
        <f t="shared" si="18"/>
        <v>125</v>
      </c>
      <c r="H130" s="166">
        <f t="shared" si="18"/>
        <v>129</v>
      </c>
      <c r="I130" s="166">
        <f t="shared" si="18"/>
        <v>140</v>
      </c>
      <c r="J130" s="166">
        <f t="shared" si="18"/>
        <v>93</v>
      </c>
      <c r="K130" s="166">
        <f t="shared" si="18"/>
        <v>103</v>
      </c>
      <c r="L130" s="166">
        <f t="shared" si="18"/>
        <v>72</v>
      </c>
      <c r="M130" s="166">
        <f t="shared" si="18"/>
        <v>111</v>
      </c>
      <c r="N130" s="166">
        <f t="shared" si="18"/>
        <v>144</v>
      </c>
      <c r="O130" s="166">
        <f t="shared" si="18"/>
        <v>106</v>
      </c>
      <c r="P130" s="166">
        <f t="shared" si="18"/>
        <v>123</v>
      </c>
      <c r="Q130" s="166">
        <f t="shared" si="18"/>
        <v>108</v>
      </c>
      <c r="R130" s="166">
        <f t="shared" si="18"/>
        <v>151</v>
      </c>
      <c r="S130" s="166">
        <f t="shared" si="18"/>
        <v>109</v>
      </c>
      <c r="T130" s="166">
        <f t="shared" si="18"/>
        <v>119</v>
      </c>
      <c r="U130" s="166">
        <f t="shared" si="18"/>
        <v>156</v>
      </c>
      <c r="V130" s="166">
        <f t="shared" si="18"/>
        <v>155</v>
      </c>
      <c r="W130" s="166">
        <f t="shared" si="18"/>
        <v>127</v>
      </c>
      <c r="X130" s="166">
        <f t="shared" si="18"/>
        <v>131</v>
      </c>
      <c r="Y130" s="166">
        <f t="shared" si="18"/>
        <v>131</v>
      </c>
      <c r="Z130" s="166">
        <f t="shared" si="18"/>
        <v>177</v>
      </c>
      <c r="AA130" s="166">
        <f t="shared" si="18"/>
        <v>161</v>
      </c>
      <c r="AB130" s="166">
        <f t="shared" si="18"/>
        <v>160</v>
      </c>
      <c r="AC130" s="166">
        <f t="shared" si="18"/>
        <v>144</v>
      </c>
      <c r="AD130" s="166">
        <f t="shared" si="18"/>
        <v>117</v>
      </c>
      <c r="AE130" s="166">
        <f t="shared" si="18"/>
        <v>119</v>
      </c>
      <c r="AF130" s="165">
        <f t="shared" si="18"/>
        <v>0</v>
      </c>
      <c r="AG130" s="164">
        <f t="shared" si="15"/>
        <v>3845</v>
      </c>
      <c r="AH130" s="152" t="str">
        <f>IF(AG130&lt;&gt;AG93,"*","")</f>
        <v/>
      </c>
    </row>
    <row r="131" spans="1:35" ht="18.75" x14ac:dyDescent="0.25">
      <c r="A131" s="323" t="s">
        <v>67</v>
      </c>
      <c r="B131" s="249">
        <v>31</v>
      </c>
      <c r="C131" s="162">
        <v>13</v>
      </c>
      <c r="D131" s="162">
        <v>31</v>
      </c>
      <c r="E131" s="162">
        <v>31</v>
      </c>
      <c r="F131" s="162">
        <v>26</v>
      </c>
      <c r="G131" s="162">
        <v>12</v>
      </c>
      <c r="H131" s="162">
        <v>18</v>
      </c>
      <c r="I131" s="162">
        <v>32</v>
      </c>
      <c r="J131" s="162">
        <v>14</v>
      </c>
      <c r="K131" s="162">
        <v>23</v>
      </c>
      <c r="L131" s="162">
        <v>22</v>
      </c>
      <c r="M131" s="162">
        <v>25</v>
      </c>
      <c r="N131" s="162">
        <v>39</v>
      </c>
      <c r="O131" s="162">
        <v>15</v>
      </c>
      <c r="P131" s="162">
        <v>29</v>
      </c>
      <c r="Q131" s="162">
        <v>20</v>
      </c>
      <c r="R131" s="162">
        <v>27</v>
      </c>
      <c r="S131" s="162">
        <v>20</v>
      </c>
      <c r="T131" s="162">
        <v>21</v>
      </c>
      <c r="U131" s="162">
        <v>20</v>
      </c>
      <c r="V131" s="162">
        <v>11</v>
      </c>
      <c r="W131" s="162">
        <v>28</v>
      </c>
      <c r="X131" s="162">
        <v>19</v>
      </c>
      <c r="Y131" s="162">
        <v>24</v>
      </c>
      <c r="Z131" s="162">
        <v>32</v>
      </c>
      <c r="AA131" s="162">
        <v>26</v>
      </c>
      <c r="AB131" s="162">
        <v>13</v>
      </c>
      <c r="AC131" s="162">
        <v>15</v>
      </c>
      <c r="AD131" s="162">
        <v>22</v>
      </c>
      <c r="AE131" s="162">
        <v>14</v>
      </c>
      <c r="AF131" s="161"/>
      <c r="AG131" s="64">
        <f t="shared" ref="AG131:AG145" si="19">SUM(B131:AF131)</f>
        <v>673</v>
      </c>
    </row>
    <row r="132" spans="1:35" ht="18.75" x14ac:dyDescent="0.25">
      <c r="A132" s="323" t="s">
        <v>69</v>
      </c>
      <c r="B132" s="249">
        <v>5</v>
      </c>
      <c r="C132" s="162">
        <v>1</v>
      </c>
      <c r="D132" s="162">
        <v>8</v>
      </c>
      <c r="E132" s="162">
        <v>9</v>
      </c>
      <c r="F132" s="162">
        <v>6</v>
      </c>
      <c r="G132" s="162">
        <v>3</v>
      </c>
      <c r="H132" s="162">
        <v>6</v>
      </c>
      <c r="I132" s="162">
        <v>3</v>
      </c>
      <c r="J132" s="162">
        <v>5</v>
      </c>
      <c r="K132" s="162">
        <v>2</v>
      </c>
      <c r="L132" s="162">
        <v>8</v>
      </c>
      <c r="M132" s="162">
        <v>6</v>
      </c>
      <c r="N132" s="162">
        <v>3</v>
      </c>
      <c r="O132" s="162">
        <v>2</v>
      </c>
      <c r="P132" s="162">
        <v>2</v>
      </c>
      <c r="Q132" s="162">
        <v>3</v>
      </c>
      <c r="R132" s="162">
        <v>7</v>
      </c>
      <c r="S132" s="162">
        <v>7</v>
      </c>
      <c r="T132" s="162">
        <v>4</v>
      </c>
      <c r="U132" s="162">
        <v>3</v>
      </c>
      <c r="V132" s="162">
        <v>3</v>
      </c>
      <c r="W132" s="162">
        <v>3</v>
      </c>
      <c r="X132" s="162">
        <v>1</v>
      </c>
      <c r="Y132" s="162">
        <v>3</v>
      </c>
      <c r="Z132" s="162">
        <v>9</v>
      </c>
      <c r="AA132" s="162">
        <v>6</v>
      </c>
      <c r="AB132" s="162">
        <v>3</v>
      </c>
      <c r="AC132" s="162"/>
      <c r="AD132" s="162">
        <v>3</v>
      </c>
      <c r="AE132" s="162">
        <v>5</v>
      </c>
      <c r="AF132" s="161"/>
      <c r="AG132" s="64">
        <f t="shared" si="19"/>
        <v>129</v>
      </c>
    </row>
    <row r="133" spans="1:35" ht="18.75" x14ac:dyDescent="0.25">
      <c r="A133" s="323" t="s">
        <v>68</v>
      </c>
      <c r="B133" s="249">
        <v>3</v>
      </c>
      <c r="C133" s="162">
        <v>1</v>
      </c>
      <c r="D133" s="162">
        <v>5</v>
      </c>
      <c r="E133" s="162">
        <v>6</v>
      </c>
      <c r="F133" s="162">
        <v>1</v>
      </c>
      <c r="G133" s="162">
        <v>1</v>
      </c>
      <c r="H133" s="162">
        <v>5</v>
      </c>
      <c r="I133" s="162">
        <v>5</v>
      </c>
      <c r="J133" s="162">
        <v>2</v>
      </c>
      <c r="K133" s="162">
        <v>7</v>
      </c>
      <c r="L133" s="162">
        <v>2</v>
      </c>
      <c r="M133" s="162">
        <v>4</v>
      </c>
      <c r="N133" s="162">
        <v>6</v>
      </c>
      <c r="O133" s="162">
        <v>3</v>
      </c>
      <c r="P133" s="162">
        <v>6</v>
      </c>
      <c r="Q133" s="162">
        <v>2</v>
      </c>
      <c r="R133" s="162">
        <v>8</v>
      </c>
      <c r="S133" s="162">
        <v>8</v>
      </c>
      <c r="T133" s="162">
        <v>4</v>
      </c>
      <c r="U133" s="162"/>
      <c r="V133" s="162">
        <v>5</v>
      </c>
      <c r="W133" s="162">
        <v>6</v>
      </c>
      <c r="X133" s="162">
        <v>6</v>
      </c>
      <c r="Y133" s="162">
        <v>9</v>
      </c>
      <c r="Z133" s="162">
        <v>7</v>
      </c>
      <c r="AA133" s="162">
        <v>7</v>
      </c>
      <c r="AB133" s="162">
        <v>2</v>
      </c>
      <c r="AC133" s="162">
        <v>2</v>
      </c>
      <c r="AD133" s="162">
        <v>4</v>
      </c>
      <c r="AE133" s="162">
        <v>3</v>
      </c>
      <c r="AF133" s="161"/>
      <c r="AG133" s="64">
        <f t="shared" si="19"/>
        <v>130</v>
      </c>
    </row>
    <row r="134" spans="1:35" ht="18.75" x14ac:dyDescent="0.25">
      <c r="A134" s="323" t="s">
        <v>66</v>
      </c>
      <c r="B134" s="249">
        <v>2</v>
      </c>
      <c r="C134" s="162">
        <f>8+3</f>
        <v>11</v>
      </c>
      <c r="D134" s="162">
        <f>4+3</f>
        <v>7</v>
      </c>
      <c r="E134" s="162">
        <f>6+1</f>
        <v>7</v>
      </c>
      <c r="F134" s="162">
        <v>7</v>
      </c>
      <c r="G134" s="162">
        <v>6</v>
      </c>
      <c r="H134" s="162">
        <v>5</v>
      </c>
      <c r="I134" s="162">
        <v>5</v>
      </c>
      <c r="J134" s="162">
        <f>3+2</f>
        <v>5</v>
      </c>
      <c r="K134" s="162"/>
      <c r="L134" s="162">
        <v>2</v>
      </c>
      <c r="M134" s="162">
        <f>2+1</f>
        <v>3</v>
      </c>
      <c r="N134" s="162">
        <f>4+1</f>
        <v>5</v>
      </c>
      <c r="O134" s="162">
        <f>2+1</f>
        <v>3</v>
      </c>
      <c r="P134" s="162">
        <v>6</v>
      </c>
      <c r="Q134" s="162">
        <f>6+1</f>
        <v>7</v>
      </c>
      <c r="R134" s="162">
        <f>6+2</f>
        <v>8</v>
      </c>
      <c r="S134" s="162"/>
      <c r="T134" s="162">
        <v>5</v>
      </c>
      <c r="U134" s="162">
        <f>2+1</f>
        <v>3</v>
      </c>
      <c r="V134" s="162">
        <v>6</v>
      </c>
      <c r="W134" s="162">
        <v>7</v>
      </c>
      <c r="X134" s="162">
        <f>2+1</f>
        <v>3</v>
      </c>
      <c r="Y134" s="162">
        <f>2+1</f>
        <v>3</v>
      </c>
      <c r="Z134" s="162">
        <f>9+2</f>
        <v>11</v>
      </c>
      <c r="AA134" s="162">
        <f>5+3</f>
        <v>8</v>
      </c>
      <c r="AB134" s="162">
        <f>2+3</f>
        <v>5</v>
      </c>
      <c r="AC134" s="162">
        <f>5+3</f>
        <v>8</v>
      </c>
      <c r="AD134" s="162">
        <v>5</v>
      </c>
      <c r="AE134" s="162">
        <f>1+1</f>
        <v>2</v>
      </c>
      <c r="AF134" s="161"/>
      <c r="AG134" s="64">
        <f t="shared" si="19"/>
        <v>155</v>
      </c>
    </row>
    <row r="135" spans="1:35" ht="18.75" x14ac:dyDescent="0.25">
      <c r="A135" s="323" t="s">
        <v>65</v>
      </c>
      <c r="B135" s="249">
        <v>2</v>
      </c>
      <c r="C135" s="162">
        <v>2</v>
      </c>
      <c r="D135" s="162">
        <v>5</v>
      </c>
      <c r="E135" s="162">
        <v>4</v>
      </c>
      <c r="F135" s="162">
        <v>2</v>
      </c>
      <c r="G135" s="162">
        <v>1</v>
      </c>
      <c r="H135" s="162">
        <v>1</v>
      </c>
      <c r="I135" s="162"/>
      <c r="J135" s="162">
        <v>4</v>
      </c>
      <c r="K135" s="162">
        <v>3</v>
      </c>
      <c r="L135" s="162">
        <v>5</v>
      </c>
      <c r="M135" s="162">
        <v>3</v>
      </c>
      <c r="N135" s="162">
        <v>8</v>
      </c>
      <c r="O135" s="162">
        <v>4</v>
      </c>
      <c r="P135" s="162">
        <v>5</v>
      </c>
      <c r="Q135" s="162">
        <v>5</v>
      </c>
      <c r="R135" s="162">
        <v>4</v>
      </c>
      <c r="S135" s="162"/>
      <c r="T135" s="162">
        <v>3</v>
      </c>
      <c r="U135" s="162">
        <v>1</v>
      </c>
      <c r="V135" s="162">
        <v>2</v>
      </c>
      <c r="W135" s="162">
        <v>6</v>
      </c>
      <c r="X135" s="162"/>
      <c r="Y135" s="162">
        <v>6</v>
      </c>
      <c r="Z135" s="162">
        <v>10</v>
      </c>
      <c r="AA135" s="162">
        <v>8</v>
      </c>
      <c r="AB135" s="162">
        <v>1</v>
      </c>
      <c r="AC135" s="162">
        <v>2</v>
      </c>
      <c r="AD135" s="162">
        <v>6</v>
      </c>
      <c r="AE135" s="162">
        <v>2</v>
      </c>
      <c r="AF135" s="161"/>
      <c r="AG135" s="64">
        <f t="shared" si="19"/>
        <v>105</v>
      </c>
    </row>
    <row r="136" spans="1:35" ht="18.75" x14ac:dyDescent="0.25">
      <c r="A136" s="323" t="s">
        <v>64</v>
      </c>
      <c r="B136" s="249">
        <v>65</v>
      </c>
      <c r="C136" s="162">
        <v>68</v>
      </c>
      <c r="D136" s="162">
        <v>60</v>
      </c>
      <c r="E136" s="162">
        <v>61</v>
      </c>
      <c r="F136" s="162">
        <v>62</v>
      </c>
      <c r="G136" s="162">
        <v>91</v>
      </c>
      <c r="H136" s="162">
        <v>79</v>
      </c>
      <c r="I136" s="162">
        <v>73</v>
      </c>
      <c r="J136" s="162">
        <v>44</v>
      </c>
      <c r="K136" s="162">
        <v>52</v>
      </c>
      <c r="L136" s="162">
        <v>23</v>
      </c>
      <c r="M136" s="162">
        <v>47</v>
      </c>
      <c r="N136" s="162">
        <v>63</v>
      </c>
      <c r="O136" s="162">
        <v>63</v>
      </c>
      <c r="P136" s="162">
        <v>49</v>
      </c>
      <c r="Q136" s="162">
        <v>57</v>
      </c>
      <c r="R136" s="162">
        <v>67</v>
      </c>
      <c r="S136" s="162">
        <v>52</v>
      </c>
      <c r="T136" s="162">
        <v>54</v>
      </c>
      <c r="U136" s="162">
        <v>109</v>
      </c>
      <c r="V136" s="162">
        <v>109</v>
      </c>
      <c r="W136" s="162">
        <v>55</v>
      </c>
      <c r="X136" s="162">
        <v>79</v>
      </c>
      <c r="Y136" s="162">
        <v>68</v>
      </c>
      <c r="Z136" s="162">
        <v>72</v>
      </c>
      <c r="AA136" s="162">
        <v>79</v>
      </c>
      <c r="AB136" s="162">
        <v>120</v>
      </c>
      <c r="AC136" s="162">
        <v>90</v>
      </c>
      <c r="AD136" s="162">
        <v>54</v>
      </c>
      <c r="AE136" s="162">
        <v>69</v>
      </c>
      <c r="AF136" s="161"/>
      <c r="AG136" s="64">
        <f t="shared" si="19"/>
        <v>2034</v>
      </c>
    </row>
    <row r="137" spans="1:35" ht="18.75" x14ac:dyDescent="0.25">
      <c r="A137" s="323" t="s">
        <v>63</v>
      </c>
      <c r="B137" s="249">
        <f>2+1</f>
        <v>3</v>
      </c>
      <c r="C137" s="162">
        <v>2</v>
      </c>
      <c r="D137" s="162"/>
      <c r="E137" s="162">
        <v>3</v>
      </c>
      <c r="F137" s="162">
        <v>1</v>
      </c>
      <c r="G137" s="162">
        <v>2</v>
      </c>
      <c r="H137" s="162"/>
      <c r="I137" s="162">
        <f>2+1</f>
        <v>3</v>
      </c>
      <c r="J137" s="162">
        <v>1</v>
      </c>
      <c r="K137" s="162">
        <v>1</v>
      </c>
      <c r="L137" s="162">
        <v>1</v>
      </c>
      <c r="M137" s="162">
        <v>2</v>
      </c>
      <c r="N137" s="162">
        <v>3</v>
      </c>
      <c r="O137" s="162">
        <f>1+1</f>
        <v>2</v>
      </c>
      <c r="P137" s="162">
        <v>2</v>
      </c>
      <c r="Q137" s="162">
        <v>1</v>
      </c>
      <c r="R137" s="162">
        <v>3</v>
      </c>
      <c r="S137" s="162">
        <v>1</v>
      </c>
      <c r="T137" s="162">
        <v>2</v>
      </c>
      <c r="U137" s="162"/>
      <c r="V137" s="162">
        <v>2</v>
      </c>
      <c r="W137" s="162">
        <f>1+3</f>
        <v>4</v>
      </c>
      <c r="X137" s="162">
        <v>2</v>
      </c>
      <c r="Y137" s="162">
        <f>2+1</f>
        <v>3</v>
      </c>
      <c r="Z137" s="162">
        <v>1</v>
      </c>
      <c r="AA137" s="162">
        <v>2</v>
      </c>
      <c r="AB137" s="162"/>
      <c r="AC137" s="162">
        <v>3</v>
      </c>
      <c r="AD137" s="162">
        <v>1</v>
      </c>
      <c r="AE137" s="162">
        <v>1</v>
      </c>
      <c r="AF137" s="161"/>
      <c r="AG137" s="64">
        <f t="shared" si="19"/>
        <v>52</v>
      </c>
    </row>
    <row r="138" spans="1:35" ht="18.75" x14ac:dyDescent="0.25">
      <c r="A138" s="323" t="s">
        <v>62</v>
      </c>
      <c r="B138" s="249"/>
      <c r="C138" s="162">
        <v>1</v>
      </c>
      <c r="D138" s="162"/>
      <c r="E138" s="162"/>
      <c r="F138" s="162">
        <v>1</v>
      </c>
      <c r="G138" s="162"/>
      <c r="H138" s="162"/>
      <c r="I138" s="162">
        <v>1</v>
      </c>
      <c r="J138" s="162">
        <v>1</v>
      </c>
      <c r="K138" s="162"/>
      <c r="L138" s="162">
        <v>3</v>
      </c>
      <c r="M138" s="162">
        <v>2</v>
      </c>
      <c r="N138" s="162"/>
      <c r="O138" s="162">
        <v>1</v>
      </c>
      <c r="P138" s="162"/>
      <c r="Q138" s="162"/>
      <c r="R138" s="162"/>
      <c r="S138" s="162">
        <v>1</v>
      </c>
      <c r="T138" s="162"/>
      <c r="U138" s="162">
        <v>1</v>
      </c>
      <c r="V138" s="162">
        <v>1</v>
      </c>
      <c r="W138" s="162">
        <v>2</v>
      </c>
      <c r="X138" s="162"/>
      <c r="Y138" s="162">
        <v>1</v>
      </c>
      <c r="Z138" s="162">
        <v>2</v>
      </c>
      <c r="AA138" s="162">
        <v>1</v>
      </c>
      <c r="AB138" s="162">
        <v>1</v>
      </c>
      <c r="AC138" s="162"/>
      <c r="AD138" s="162">
        <v>1</v>
      </c>
      <c r="AE138" s="162">
        <v>1</v>
      </c>
      <c r="AF138" s="161"/>
      <c r="AG138" s="64">
        <f t="shared" si="19"/>
        <v>22</v>
      </c>
    </row>
    <row r="139" spans="1:35" ht="18.75" x14ac:dyDescent="0.25">
      <c r="A139" s="301" t="s">
        <v>60</v>
      </c>
      <c r="B139" s="249"/>
      <c r="C139" s="162">
        <v>2</v>
      </c>
      <c r="D139" s="162"/>
      <c r="E139" s="162">
        <v>1</v>
      </c>
      <c r="F139" s="162">
        <v>3</v>
      </c>
      <c r="G139" s="162"/>
      <c r="H139" s="162">
        <v>1</v>
      </c>
      <c r="I139" s="162">
        <v>2</v>
      </c>
      <c r="J139" s="162">
        <v>3</v>
      </c>
      <c r="K139" s="162">
        <v>3</v>
      </c>
      <c r="L139" s="162">
        <v>1</v>
      </c>
      <c r="M139" s="162"/>
      <c r="N139" s="162">
        <f>2+1</f>
        <v>3</v>
      </c>
      <c r="O139" s="162"/>
      <c r="P139" s="162">
        <v>3</v>
      </c>
      <c r="Q139" s="162">
        <v>2</v>
      </c>
      <c r="R139" s="162">
        <v>4</v>
      </c>
      <c r="S139" s="162">
        <v>5</v>
      </c>
      <c r="T139" s="162">
        <v>2</v>
      </c>
      <c r="U139" s="162">
        <v>2</v>
      </c>
      <c r="V139" s="162">
        <v>1</v>
      </c>
      <c r="W139" s="162">
        <v>2</v>
      </c>
      <c r="X139" s="162">
        <v>3</v>
      </c>
      <c r="Y139" s="162">
        <v>1</v>
      </c>
      <c r="Z139" s="162">
        <v>4</v>
      </c>
      <c r="AA139" s="162">
        <v>1</v>
      </c>
      <c r="AB139" s="162">
        <v>3</v>
      </c>
      <c r="AC139" s="162">
        <v>4</v>
      </c>
      <c r="AD139" s="162"/>
      <c r="AE139" s="162"/>
      <c r="AF139" s="161"/>
      <c r="AG139" s="64">
        <f t="shared" si="19"/>
        <v>56</v>
      </c>
    </row>
    <row r="140" spans="1:35" ht="18.75" x14ac:dyDescent="0.25">
      <c r="A140" s="301" t="s">
        <v>59</v>
      </c>
      <c r="B140" s="249">
        <v>3</v>
      </c>
      <c r="C140" s="162">
        <v>1</v>
      </c>
      <c r="D140" s="162"/>
      <c r="E140" s="162"/>
      <c r="F140" s="162">
        <v>1</v>
      </c>
      <c r="G140" s="162">
        <v>3</v>
      </c>
      <c r="H140" s="162">
        <v>2</v>
      </c>
      <c r="I140" s="162"/>
      <c r="J140" s="162">
        <v>1</v>
      </c>
      <c r="K140" s="162">
        <v>1</v>
      </c>
      <c r="L140" s="162"/>
      <c r="M140" s="162">
        <v>2</v>
      </c>
      <c r="N140" s="162">
        <v>2</v>
      </c>
      <c r="O140" s="162">
        <v>3</v>
      </c>
      <c r="P140" s="162">
        <v>2</v>
      </c>
      <c r="Q140" s="162">
        <v>1</v>
      </c>
      <c r="R140" s="162"/>
      <c r="S140" s="162">
        <v>1</v>
      </c>
      <c r="T140" s="162"/>
      <c r="U140" s="162"/>
      <c r="V140" s="162">
        <v>2</v>
      </c>
      <c r="W140" s="162"/>
      <c r="X140" s="162">
        <v>1</v>
      </c>
      <c r="Y140" s="162"/>
      <c r="Z140" s="162"/>
      <c r="AA140" s="162">
        <v>1</v>
      </c>
      <c r="AB140" s="162">
        <v>1</v>
      </c>
      <c r="AC140" s="162">
        <v>1</v>
      </c>
      <c r="AD140" s="162">
        <v>1</v>
      </c>
      <c r="AE140" s="162">
        <v>2</v>
      </c>
      <c r="AF140" s="161"/>
      <c r="AG140" s="64">
        <f t="shared" si="19"/>
        <v>32</v>
      </c>
    </row>
    <row r="141" spans="1:35" ht="18.75" x14ac:dyDescent="0.25">
      <c r="A141" s="301" t="s">
        <v>58</v>
      </c>
      <c r="B141" s="249">
        <v>1</v>
      </c>
      <c r="C141" s="162"/>
      <c r="D141" s="162"/>
      <c r="E141" s="162">
        <v>1</v>
      </c>
      <c r="F141" s="162"/>
      <c r="G141" s="162"/>
      <c r="H141" s="162"/>
      <c r="I141" s="162">
        <v>1</v>
      </c>
      <c r="J141" s="162"/>
      <c r="K141" s="162"/>
      <c r="L141" s="162"/>
      <c r="M141" s="162"/>
      <c r="N141" s="162"/>
      <c r="O141" s="162"/>
      <c r="P141" s="162">
        <v>1</v>
      </c>
      <c r="Q141" s="162"/>
      <c r="R141" s="162"/>
      <c r="S141" s="162"/>
      <c r="T141" s="162"/>
      <c r="U141" s="162">
        <v>1</v>
      </c>
      <c r="V141" s="162"/>
      <c r="W141" s="162"/>
      <c r="X141" s="162">
        <v>1</v>
      </c>
      <c r="Y141" s="162">
        <v>1</v>
      </c>
      <c r="Z141" s="162">
        <v>1</v>
      </c>
      <c r="AA141" s="162">
        <v>1</v>
      </c>
      <c r="AB141" s="162"/>
      <c r="AC141" s="162"/>
      <c r="AD141" s="162"/>
      <c r="AE141" s="162"/>
      <c r="AF141" s="161"/>
      <c r="AG141" s="64">
        <f t="shared" si="19"/>
        <v>9</v>
      </c>
    </row>
    <row r="142" spans="1:35" ht="18.75" x14ac:dyDescent="0.25">
      <c r="A142" s="323" t="s">
        <v>88</v>
      </c>
      <c r="B142" s="249">
        <f>1+1+1</f>
        <v>3</v>
      </c>
      <c r="C142" s="162">
        <f>1+1+1+1+1+1+2</f>
        <v>8</v>
      </c>
      <c r="D142" s="162">
        <f>1+1+1</f>
        <v>3</v>
      </c>
      <c r="E142" s="162">
        <f>1+1+1</f>
        <v>3</v>
      </c>
      <c r="F142" s="162">
        <f>1+2+1+1</f>
        <v>5</v>
      </c>
      <c r="G142" s="162">
        <v>1</v>
      </c>
      <c r="H142" s="162">
        <f>1+1+1+1</f>
        <v>4</v>
      </c>
      <c r="I142" s="162">
        <f>1+1+1+1+1+1</f>
        <v>6</v>
      </c>
      <c r="J142" s="162">
        <f>1+1+1</f>
        <v>3</v>
      </c>
      <c r="K142" s="162">
        <f>1+2</f>
        <v>3</v>
      </c>
      <c r="L142" s="162"/>
      <c r="M142" s="162">
        <f>1+1+1</f>
        <v>3</v>
      </c>
      <c r="N142" s="162">
        <f>1+2+2+1</f>
        <v>6</v>
      </c>
      <c r="O142" s="162">
        <f>2+1+1</f>
        <v>4</v>
      </c>
      <c r="P142" s="162">
        <f>1+1+1+1+1</f>
        <v>5</v>
      </c>
      <c r="Q142" s="162">
        <f>1+2</f>
        <v>3</v>
      </c>
      <c r="R142" s="162">
        <f>1+1+1+1+1+1</f>
        <v>6</v>
      </c>
      <c r="S142" s="162">
        <f>1+2</f>
        <v>3</v>
      </c>
      <c r="T142" s="162">
        <f>1+1+1+2+1</f>
        <v>6</v>
      </c>
      <c r="U142" s="162">
        <f>1</f>
        <v>1</v>
      </c>
      <c r="V142" s="162">
        <f>1+2+1+2</f>
        <v>6</v>
      </c>
      <c r="W142" s="162">
        <f>1+1+1+1+1</f>
        <v>5</v>
      </c>
      <c r="X142" s="162">
        <f>1+1+2+2+1</f>
        <v>7</v>
      </c>
      <c r="Y142" s="162">
        <f>1+1+1+1+1</f>
        <v>5</v>
      </c>
      <c r="Z142" s="162">
        <f>1+1+1+1+4</f>
        <v>8</v>
      </c>
      <c r="AA142" s="162">
        <f>1+1+1+1+1+1+1</f>
        <v>7</v>
      </c>
      <c r="AB142" s="162">
        <f>1+1+1+1+1</f>
        <v>5</v>
      </c>
      <c r="AC142" s="162">
        <f>1+1+2+1</f>
        <v>5</v>
      </c>
      <c r="AD142" s="162">
        <f>1+1+1</f>
        <v>3</v>
      </c>
      <c r="AE142" s="162">
        <f>1+1+1+2+2</f>
        <v>7</v>
      </c>
      <c r="AF142" s="161"/>
      <c r="AG142" s="64">
        <f t="shared" si="19"/>
        <v>134</v>
      </c>
    </row>
    <row r="143" spans="1:35" ht="19.5" thickBot="1" x14ac:dyDescent="0.3">
      <c r="A143" s="324" t="s">
        <v>87</v>
      </c>
      <c r="B143" s="263">
        <f>8+2+1</f>
        <v>11</v>
      </c>
      <c r="C143" s="140">
        <f>4+4</f>
        <v>8</v>
      </c>
      <c r="D143" s="140">
        <f>4+2</f>
        <v>6</v>
      </c>
      <c r="E143" s="140">
        <f>6+1+7</f>
        <v>14</v>
      </c>
      <c r="F143" s="140">
        <f>1+6</f>
        <v>7</v>
      </c>
      <c r="G143" s="140">
        <f>4+1</f>
        <v>5</v>
      </c>
      <c r="H143" s="140">
        <f>6+2</f>
        <v>8</v>
      </c>
      <c r="I143" s="140">
        <f>5+4</f>
        <v>9</v>
      </c>
      <c r="J143" s="140">
        <f>8+2</f>
        <v>10</v>
      </c>
      <c r="K143" s="140">
        <f>7+1</f>
        <v>8</v>
      </c>
      <c r="L143" s="140">
        <f>2+3</f>
        <v>5</v>
      </c>
      <c r="M143" s="140">
        <f>6+2+6</f>
        <v>14</v>
      </c>
      <c r="N143" s="140">
        <f>2+4</f>
        <v>6</v>
      </c>
      <c r="O143" s="140">
        <f>4+2</f>
        <v>6</v>
      </c>
      <c r="P143" s="140">
        <f>10+3</f>
        <v>13</v>
      </c>
      <c r="Q143" s="140">
        <f>4+2+1</f>
        <v>7</v>
      </c>
      <c r="R143" s="140">
        <f>13+4</f>
        <v>17</v>
      </c>
      <c r="S143" s="140">
        <f>5+6</f>
        <v>11</v>
      </c>
      <c r="T143" s="140">
        <f>11+7</f>
        <v>18</v>
      </c>
      <c r="U143" s="140">
        <f>12+3</f>
        <v>15</v>
      </c>
      <c r="V143" s="140">
        <v>7</v>
      </c>
      <c r="W143" s="140">
        <f>6+1+2</f>
        <v>9</v>
      </c>
      <c r="X143" s="140">
        <f>7+2</f>
        <v>9</v>
      </c>
      <c r="Y143" s="140">
        <f>5+2</f>
        <v>7</v>
      </c>
      <c r="Z143" s="140">
        <f>13+7</f>
        <v>20</v>
      </c>
      <c r="AA143" s="140">
        <f>9+5</f>
        <v>14</v>
      </c>
      <c r="AB143" s="140">
        <v>6</v>
      </c>
      <c r="AC143" s="140">
        <f>12+2</f>
        <v>14</v>
      </c>
      <c r="AD143" s="140">
        <f>12+5</f>
        <v>17</v>
      </c>
      <c r="AE143" s="140">
        <f>11+2</f>
        <v>13</v>
      </c>
      <c r="AF143" s="139"/>
      <c r="AG143" s="160">
        <f t="shared" si="19"/>
        <v>314</v>
      </c>
    </row>
    <row r="144" spans="1:35" ht="19.5" thickBot="1" x14ac:dyDescent="0.3">
      <c r="A144" s="309" t="s">
        <v>86</v>
      </c>
      <c r="B144" s="257">
        <f t="shared" ref="B144:AF144" si="20">+B146+B156+B158+B167</f>
        <v>129</v>
      </c>
      <c r="C144" s="158">
        <f t="shared" si="20"/>
        <v>118</v>
      </c>
      <c r="D144" s="158">
        <f t="shared" si="20"/>
        <v>125</v>
      </c>
      <c r="E144" s="158">
        <f t="shared" si="20"/>
        <v>140</v>
      </c>
      <c r="F144" s="158">
        <f t="shared" si="20"/>
        <v>122</v>
      </c>
      <c r="G144" s="158">
        <f t="shared" si="20"/>
        <v>125</v>
      </c>
      <c r="H144" s="158">
        <f t="shared" si="20"/>
        <v>129</v>
      </c>
      <c r="I144" s="158">
        <f t="shared" si="20"/>
        <v>140</v>
      </c>
      <c r="J144" s="158">
        <f t="shared" si="20"/>
        <v>93</v>
      </c>
      <c r="K144" s="158">
        <f t="shared" si="20"/>
        <v>103</v>
      </c>
      <c r="L144" s="158">
        <f t="shared" si="20"/>
        <v>72</v>
      </c>
      <c r="M144" s="158">
        <f t="shared" si="20"/>
        <v>111</v>
      </c>
      <c r="N144" s="158">
        <f t="shared" si="20"/>
        <v>144</v>
      </c>
      <c r="O144" s="158">
        <f t="shared" si="20"/>
        <v>106</v>
      </c>
      <c r="P144" s="158">
        <f t="shared" si="20"/>
        <v>123</v>
      </c>
      <c r="Q144" s="158">
        <f t="shared" si="20"/>
        <v>108</v>
      </c>
      <c r="R144" s="158">
        <f t="shared" si="20"/>
        <v>151</v>
      </c>
      <c r="S144" s="158">
        <f t="shared" si="20"/>
        <v>109</v>
      </c>
      <c r="T144" s="158">
        <f t="shared" si="20"/>
        <v>119</v>
      </c>
      <c r="U144" s="158">
        <f t="shared" si="20"/>
        <v>156</v>
      </c>
      <c r="V144" s="158">
        <f t="shared" si="20"/>
        <v>155</v>
      </c>
      <c r="W144" s="158">
        <f t="shared" si="20"/>
        <v>127</v>
      </c>
      <c r="X144" s="158">
        <f t="shared" si="20"/>
        <v>131</v>
      </c>
      <c r="Y144" s="158">
        <f t="shared" si="20"/>
        <v>131</v>
      </c>
      <c r="Z144" s="158">
        <f t="shared" si="20"/>
        <v>177</v>
      </c>
      <c r="AA144" s="158">
        <f t="shared" si="20"/>
        <v>161</v>
      </c>
      <c r="AB144" s="158">
        <f t="shared" si="20"/>
        <v>160</v>
      </c>
      <c r="AC144" s="158">
        <f t="shared" si="20"/>
        <v>144</v>
      </c>
      <c r="AD144" s="158">
        <f t="shared" si="20"/>
        <v>117</v>
      </c>
      <c r="AE144" s="158">
        <f t="shared" si="20"/>
        <v>119</v>
      </c>
      <c r="AF144" s="158">
        <f t="shared" si="20"/>
        <v>0</v>
      </c>
      <c r="AG144" s="157">
        <f t="shared" si="19"/>
        <v>3845</v>
      </c>
      <c r="AH144" s="85" t="str">
        <f>IF(AG144&lt;&gt;AG93,"*","")</f>
        <v/>
      </c>
      <c r="AI144" t="s">
        <v>85</v>
      </c>
    </row>
    <row r="145" spans="1:34" ht="19.5" thickBot="1" x14ac:dyDescent="0.3">
      <c r="A145" s="325" t="s">
        <v>84</v>
      </c>
      <c r="B145" s="264">
        <f t="shared" ref="B145:AF145" si="21">+B149+B155+B157+B172</f>
        <v>11</v>
      </c>
      <c r="C145" s="155">
        <f t="shared" si="21"/>
        <v>12</v>
      </c>
      <c r="D145" s="155">
        <f t="shared" si="21"/>
        <v>5</v>
      </c>
      <c r="E145" s="155">
        <f t="shared" si="21"/>
        <v>2</v>
      </c>
      <c r="F145" s="155">
        <f t="shared" si="21"/>
        <v>0</v>
      </c>
      <c r="G145" s="155">
        <f t="shared" si="21"/>
        <v>7</v>
      </c>
      <c r="H145" s="155">
        <f t="shared" si="21"/>
        <v>5</v>
      </c>
      <c r="I145" s="155">
        <f t="shared" si="21"/>
        <v>6</v>
      </c>
      <c r="J145" s="155">
        <f t="shared" si="21"/>
        <v>3</v>
      </c>
      <c r="K145" s="155">
        <f t="shared" si="21"/>
        <v>3</v>
      </c>
      <c r="L145" s="155">
        <f t="shared" si="21"/>
        <v>6</v>
      </c>
      <c r="M145" s="155">
        <f t="shared" si="21"/>
        <v>0</v>
      </c>
      <c r="N145" s="155">
        <f t="shared" si="21"/>
        <v>9</v>
      </c>
      <c r="O145" s="155">
        <f t="shared" si="21"/>
        <v>6</v>
      </c>
      <c r="P145" s="155">
        <f t="shared" si="21"/>
        <v>5</v>
      </c>
      <c r="Q145" s="155">
        <f t="shared" si="21"/>
        <v>6</v>
      </c>
      <c r="R145" s="155">
        <f t="shared" si="21"/>
        <v>0</v>
      </c>
      <c r="S145" s="155">
        <f t="shared" si="21"/>
        <v>2</v>
      </c>
      <c r="T145" s="155">
        <f t="shared" si="21"/>
        <v>5</v>
      </c>
      <c r="U145" s="155">
        <f t="shared" si="21"/>
        <v>21</v>
      </c>
      <c r="V145" s="155">
        <f t="shared" si="21"/>
        <v>11</v>
      </c>
      <c r="W145" s="155">
        <f t="shared" si="21"/>
        <v>6</v>
      </c>
      <c r="X145" s="155">
        <f t="shared" si="21"/>
        <v>13</v>
      </c>
      <c r="Y145" s="155">
        <f t="shared" si="21"/>
        <v>3</v>
      </c>
      <c r="Z145" s="155">
        <f t="shared" si="21"/>
        <v>2</v>
      </c>
      <c r="AA145" s="155">
        <f t="shared" si="21"/>
        <v>4</v>
      </c>
      <c r="AB145" s="155">
        <f t="shared" si="21"/>
        <v>11</v>
      </c>
      <c r="AC145" s="155">
        <f t="shared" si="21"/>
        <v>7</v>
      </c>
      <c r="AD145" s="155">
        <f t="shared" si="21"/>
        <v>1</v>
      </c>
      <c r="AE145" s="155">
        <f t="shared" si="21"/>
        <v>8</v>
      </c>
      <c r="AF145" s="154">
        <f t="shared" si="21"/>
        <v>0</v>
      </c>
      <c r="AG145" s="153">
        <f t="shared" si="19"/>
        <v>180</v>
      </c>
      <c r="AH145" s="152"/>
    </row>
    <row r="146" spans="1:34" ht="19.5" thickBot="1" x14ac:dyDescent="0.3">
      <c r="A146" s="326" t="s">
        <v>83</v>
      </c>
      <c r="B146" s="265">
        <f t="shared" ref="B146:AG147" si="22">+B148+B154</f>
        <v>1</v>
      </c>
      <c r="C146" s="8">
        <f t="shared" si="22"/>
        <v>0</v>
      </c>
      <c r="D146" s="8">
        <f t="shared" si="22"/>
        <v>0</v>
      </c>
      <c r="E146" s="8">
        <f t="shared" si="22"/>
        <v>0</v>
      </c>
      <c r="F146" s="8">
        <f t="shared" si="22"/>
        <v>0</v>
      </c>
      <c r="G146" s="8">
        <f t="shared" si="22"/>
        <v>0</v>
      </c>
      <c r="H146" s="8">
        <f t="shared" si="22"/>
        <v>0</v>
      </c>
      <c r="I146" s="8">
        <f t="shared" si="22"/>
        <v>1</v>
      </c>
      <c r="J146" s="8">
        <f t="shared" si="22"/>
        <v>0</v>
      </c>
      <c r="K146" s="8">
        <f t="shared" si="22"/>
        <v>0</v>
      </c>
      <c r="L146" s="8">
        <f t="shared" si="22"/>
        <v>0</v>
      </c>
      <c r="M146" s="8">
        <f t="shared" si="22"/>
        <v>0</v>
      </c>
      <c r="N146" s="8">
        <f t="shared" si="22"/>
        <v>0</v>
      </c>
      <c r="O146" s="8">
        <f t="shared" si="22"/>
        <v>0</v>
      </c>
      <c r="P146" s="8">
        <f t="shared" si="22"/>
        <v>0</v>
      </c>
      <c r="Q146" s="8">
        <f t="shared" si="22"/>
        <v>0</v>
      </c>
      <c r="R146" s="8">
        <f t="shared" si="22"/>
        <v>0</v>
      </c>
      <c r="S146" s="8">
        <f t="shared" si="22"/>
        <v>0</v>
      </c>
      <c r="T146" s="8">
        <f t="shared" si="22"/>
        <v>0</v>
      </c>
      <c r="U146" s="8">
        <f t="shared" si="22"/>
        <v>0</v>
      </c>
      <c r="V146" s="8">
        <f t="shared" si="22"/>
        <v>0</v>
      </c>
      <c r="W146" s="8">
        <f t="shared" si="22"/>
        <v>0</v>
      </c>
      <c r="X146" s="8">
        <f t="shared" si="22"/>
        <v>0</v>
      </c>
      <c r="Y146" s="8">
        <f t="shared" si="22"/>
        <v>0</v>
      </c>
      <c r="Z146" s="8">
        <f t="shared" si="22"/>
        <v>0</v>
      </c>
      <c r="AA146" s="8">
        <f t="shared" si="22"/>
        <v>0</v>
      </c>
      <c r="AB146" s="8">
        <f t="shared" si="22"/>
        <v>0</v>
      </c>
      <c r="AC146" s="8">
        <f t="shared" si="22"/>
        <v>0</v>
      </c>
      <c r="AD146" s="8">
        <f t="shared" si="22"/>
        <v>0</v>
      </c>
      <c r="AE146" s="8">
        <f t="shared" si="22"/>
        <v>0</v>
      </c>
      <c r="AF146" s="150">
        <f t="shared" si="22"/>
        <v>0</v>
      </c>
      <c r="AG146" s="149">
        <f t="shared" si="22"/>
        <v>2</v>
      </c>
    </row>
    <row r="147" spans="1:34" ht="19.5" thickBot="1" x14ac:dyDescent="0.3">
      <c r="A147" s="327" t="s">
        <v>82</v>
      </c>
      <c r="B147" s="266">
        <f t="shared" si="22"/>
        <v>0</v>
      </c>
      <c r="C147" s="143">
        <f t="shared" si="22"/>
        <v>0</v>
      </c>
      <c r="D147" s="143">
        <f t="shared" si="22"/>
        <v>0</v>
      </c>
      <c r="E147" s="143">
        <f t="shared" si="22"/>
        <v>0</v>
      </c>
      <c r="F147" s="143">
        <f t="shared" si="22"/>
        <v>0</v>
      </c>
      <c r="G147" s="143">
        <f t="shared" si="22"/>
        <v>0</v>
      </c>
      <c r="H147" s="143">
        <f t="shared" si="22"/>
        <v>0</v>
      </c>
      <c r="I147" s="143">
        <f t="shared" si="22"/>
        <v>0</v>
      </c>
      <c r="J147" s="143">
        <f t="shared" si="22"/>
        <v>0</v>
      </c>
      <c r="K147" s="143">
        <f t="shared" si="22"/>
        <v>0</v>
      </c>
      <c r="L147" s="143">
        <f t="shared" si="22"/>
        <v>0</v>
      </c>
      <c r="M147" s="143">
        <f t="shared" si="22"/>
        <v>0</v>
      </c>
      <c r="N147" s="143">
        <f t="shared" si="22"/>
        <v>0</v>
      </c>
      <c r="O147" s="143">
        <f t="shared" si="22"/>
        <v>0</v>
      </c>
      <c r="P147" s="143">
        <f t="shared" si="22"/>
        <v>0</v>
      </c>
      <c r="Q147" s="143">
        <f t="shared" si="22"/>
        <v>0</v>
      </c>
      <c r="R147" s="143">
        <f t="shared" si="22"/>
        <v>0</v>
      </c>
      <c r="S147" s="143">
        <f t="shared" si="22"/>
        <v>0</v>
      </c>
      <c r="T147" s="143">
        <f t="shared" si="22"/>
        <v>0</v>
      </c>
      <c r="U147" s="143">
        <f t="shared" si="22"/>
        <v>0</v>
      </c>
      <c r="V147" s="143">
        <f t="shared" si="22"/>
        <v>0</v>
      </c>
      <c r="W147" s="143">
        <f t="shared" si="22"/>
        <v>0</v>
      </c>
      <c r="X147" s="143">
        <f t="shared" si="22"/>
        <v>0</v>
      </c>
      <c r="Y147" s="143">
        <f t="shared" si="22"/>
        <v>0</v>
      </c>
      <c r="Z147" s="143">
        <f t="shared" si="22"/>
        <v>0</v>
      </c>
      <c r="AA147" s="143">
        <f t="shared" si="22"/>
        <v>0</v>
      </c>
      <c r="AB147" s="143">
        <f t="shared" si="22"/>
        <v>0</v>
      </c>
      <c r="AC147" s="143">
        <f t="shared" si="22"/>
        <v>0</v>
      </c>
      <c r="AD147" s="143">
        <f t="shared" si="22"/>
        <v>0</v>
      </c>
      <c r="AE147" s="143">
        <f t="shared" si="22"/>
        <v>0</v>
      </c>
      <c r="AF147" s="142"/>
      <c r="AG147" s="86">
        <f t="shared" ref="AG147:AG179" si="23">SUM(B147:AF147)</f>
        <v>0</v>
      </c>
    </row>
    <row r="148" spans="1:34" ht="19.5" thickBot="1" x14ac:dyDescent="0.3">
      <c r="A148" s="328" t="s">
        <v>81</v>
      </c>
      <c r="B148" s="267">
        <f t="shared" ref="B148:AF148" si="24">SUM(B150:B153)</f>
        <v>0</v>
      </c>
      <c r="C148" s="147">
        <f t="shared" si="24"/>
        <v>0</v>
      </c>
      <c r="D148" s="147">
        <f t="shared" si="24"/>
        <v>0</v>
      </c>
      <c r="E148" s="147">
        <f t="shared" si="24"/>
        <v>0</v>
      </c>
      <c r="F148" s="147">
        <f t="shared" si="24"/>
        <v>0</v>
      </c>
      <c r="G148" s="147">
        <f t="shared" si="24"/>
        <v>0</v>
      </c>
      <c r="H148" s="147">
        <f t="shared" si="24"/>
        <v>0</v>
      </c>
      <c r="I148" s="147">
        <f t="shared" si="24"/>
        <v>0</v>
      </c>
      <c r="J148" s="147">
        <f t="shared" si="24"/>
        <v>0</v>
      </c>
      <c r="K148" s="147">
        <f t="shared" si="24"/>
        <v>0</v>
      </c>
      <c r="L148" s="147">
        <f t="shared" si="24"/>
        <v>0</v>
      </c>
      <c r="M148" s="147">
        <f t="shared" si="24"/>
        <v>0</v>
      </c>
      <c r="N148" s="147">
        <f t="shared" si="24"/>
        <v>0</v>
      </c>
      <c r="O148" s="147">
        <f t="shared" si="24"/>
        <v>0</v>
      </c>
      <c r="P148" s="147">
        <f t="shared" si="24"/>
        <v>0</v>
      </c>
      <c r="Q148" s="147">
        <f t="shared" si="24"/>
        <v>0</v>
      </c>
      <c r="R148" s="147">
        <f t="shared" si="24"/>
        <v>0</v>
      </c>
      <c r="S148" s="147">
        <f t="shared" si="24"/>
        <v>0</v>
      </c>
      <c r="T148" s="147">
        <f t="shared" si="24"/>
        <v>0</v>
      </c>
      <c r="U148" s="147">
        <f t="shared" si="24"/>
        <v>0</v>
      </c>
      <c r="V148" s="147">
        <f t="shared" si="24"/>
        <v>0</v>
      </c>
      <c r="W148" s="147">
        <f t="shared" si="24"/>
        <v>0</v>
      </c>
      <c r="X148" s="147">
        <f t="shared" si="24"/>
        <v>0</v>
      </c>
      <c r="Y148" s="147">
        <f t="shared" si="24"/>
        <v>0</v>
      </c>
      <c r="Z148" s="147">
        <f t="shared" si="24"/>
        <v>0</v>
      </c>
      <c r="AA148" s="147">
        <f t="shared" si="24"/>
        <v>0</v>
      </c>
      <c r="AB148" s="147">
        <f t="shared" si="24"/>
        <v>0</v>
      </c>
      <c r="AC148" s="147">
        <f t="shared" si="24"/>
        <v>0</v>
      </c>
      <c r="AD148" s="147">
        <f t="shared" si="24"/>
        <v>0</v>
      </c>
      <c r="AE148" s="147">
        <f t="shared" si="24"/>
        <v>0</v>
      </c>
      <c r="AF148" s="146">
        <f t="shared" si="24"/>
        <v>0</v>
      </c>
      <c r="AG148" s="145">
        <f t="shared" si="23"/>
        <v>0</v>
      </c>
    </row>
    <row r="149" spans="1:34" ht="19.5" thickBot="1" x14ac:dyDescent="0.3">
      <c r="A149" s="327" t="s">
        <v>80</v>
      </c>
      <c r="B149" s="266"/>
      <c r="C149" s="143"/>
      <c r="D149" s="143"/>
      <c r="E149" s="143"/>
      <c r="F149" s="143"/>
      <c r="G149" s="143"/>
      <c r="H149" s="143"/>
      <c r="I149" s="143"/>
      <c r="J149" s="143"/>
      <c r="K149" s="143"/>
      <c r="L149" s="143"/>
      <c r="M149" s="143"/>
      <c r="N149" s="143"/>
      <c r="O149" s="143"/>
      <c r="P149" s="143"/>
      <c r="Q149" s="143"/>
      <c r="R149" s="143"/>
      <c r="S149" s="143"/>
      <c r="T149" s="143"/>
      <c r="U149" s="143"/>
      <c r="V149" s="143"/>
      <c r="W149" s="143"/>
      <c r="X149" s="143"/>
      <c r="Y149" s="143"/>
      <c r="Z149" s="143"/>
      <c r="AA149" s="143"/>
      <c r="AB149" s="143"/>
      <c r="AC149" s="143"/>
      <c r="AD149" s="143"/>
      <c r="AE149" s="143"/>
      <c r="AF149" s="142"/>
      <c r="AG149" s="86">
        <f t="shared" si="23"/>
        <v>0</v>
      </c>
    </row>
    <row r="150" spans="1:34" ht="18.75" x14ac:dyDescent="0.25">
      <c r="A150" s="329" t="s">
        <v>79</v>
      </c>
      <c r="B150" s="268"/>
      <c r="C150" s="136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5"/>
      <c r="AG150" s="134">
        <f t="shared" si="23"/>
        <v>0</v>
      </c>
    </row>
    <row r="151" spans="1:34" ht="18.75" x14ac:dyDescent="0.25">
      <c r="A151" s="330" t="s">
        <v>78</v>
      </c>
      <c r="B151" s="269"/>
      <c r="C151" s="130"/>
      <c r="D151" s="130"/>
      <c r="E151" s="130"/>
      <c r="F151" s="130"/>
      <c r="G151" s="130"/>
      <c r="H151" s="130"/>
      <c r="I151" s="130"/>
      <c r="J151" s="130"/>
      <c r="K151" s="130"/>
      <c r="L151" s="130"/>
      <c r="M151" s="130"/>
      <c r="N151" s="130"/>
      <c r="O151" s="130"/>
      <c r="P151" s="130"/>
      <c r="Q151" s="130"/>
      <c r="R151" s="130"/>
      <c r="S151" s="130"/>
      <c r="T151" s="130"/>
      <c r="U151" s="130"/>
      <c r="V151" s="130"/>
      <c r="W151" s="130"/>
      <c r="X151" s="130"/>
      <c r="Y151" s="130"/>
      <c r="Z151" s="130"/>
      <c r="AA151" s="130"/>
      <c r="AB151" s="130"/>
      <c r="AC151" s="130"/>
      <c r="AD151" s="130"/>
      <c r="AE151" s="130"/>
      <c r="AF151" s="129"/>
      <c r="AG151" s="64">
        <f t="shared" si="23"/>
        <v>0</v>
      </c>
    </row>
    <row r="152" spans="1:34" ht="18.75" x14ac:dyDescent="0.25">
      <c r="A152" s="330" t="s">
        <v>77</v>
      </c>
      <c r="B152" s="269"/>
      <c r="C152" s="130"/>
      <c r="D152" s="130"/>
      <c r="E152" s="130"/>
      <c r="F152" s="130"/>
      <c r="G152" s="130"/>
      <c r="H152" s="130"/>
      <c r="I152" s="130"/>
      <c r="J152" s="130"/>
      <c r="K152" s="130"/>
      <c r="L152" s="130"/>
      <c r="M152" s="130"/>
      <c r="N152" s="130"/>
      <c r="O152" s="130"/>
      <c r="P152" s="130"/>
      <c r="Q152" s="130"/>
      <c r="R152" s="130"/>
      <c r="S152" s="130"/>
      <c r="T152" s="130"/>
      <c r="U152" s="130"/>
      <c r="V152" s="130"/>
      <c r="W152" s="130"/>
      <c r="X152" s="130"/>
      <c r="Y152" s="130"/>
      <c r="Z152" s="130"/>
      <c r="AA152" s="130"/>
      <c r="AB152" s="130"/>
      <c r="AC152" s="130"/>
      <c r="AD152" s="130"/>
      <c r="AE152" s="130"/>
      <c r="AF152" s="129"/>
      <c r="AG152" s="64">
        <f t="shared" si="23"/>
        <v>0</v>
      </c>
    </row>
    <row r="153" spans="1:34" ht="19.5" thickBot="1" x14ac:dyDescent="0.3">
      <c r="A153" s="331" t="s">
        <v>76</v>
      </c>
      <c r="B153" s="270"/>
      <c r="C153" s="127"/>
      <c r="D153" s="127"/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  <c r="Y153" s="127"/>
      <c r="Z153" s="127"/>
      <c r="AA153" s="127"/>
      <c r="AB153" s="127"/>
      <c r="AC153" s="127"/>
      <c r="AD153" s="127"/>
      <c r="AE153" s="127"/>
      <c r="AF153" s="126"/>
      <c r="AG153" s="10">
        <f t="shared" si="23"/>
        <v>0</v>
      </c>
    </row>
    <row r="154" spans="1:34" ht="19.5" thickBot="1" x14ac:dyDescent="0.3">
      <c r="A154" s="328" t="s">
        <v>75</v>
      </c>
      <c r="B154" s="267">
        <v>1</v>
      </c>
      <c r="C154" s="147"/>
      <c r="D154" s="147"/>
      <c r="E154" s="147"/>
      <c r="F154" s="147"/>
      <c r="G154" s="147"/>
      <c r="H154" s="147"/>
      <c r="I154" s="147">
        <v>1</v>
      </c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  <c r="AA154" s="147"/>
      <c r="AB154" s="147"/>
      <c r="AC154" s="147"/>
      <c r="AD154" s="147"/>
      <c r="AE154" s="147"/>
      <c r="AF154" s="146"/>
      <c r="AG154" s="145">
        <f t="shared" si="23"/>
        <v>2</v>
      </c>
    </row>
    <row r="155" spans="1:34" ht="19.5" thickBot="1" x14ac:dyDescent="0.3">
      <c r="A155" s="327" t="s">
        <v>74</v>
      </c>
      <c r="B155" s="266"/>
      <c r="C155" s="143"/>
      <c r="D155" s="143"/>
      <c r="E155" s="143"/>
      <c r="F155" s="143"/>
      <c r="G155" s="143"/>
      <c r="H155" s="143"/>
      <c r="I155" s="143"/>
      <c r="J155" s="143"/>
      <c r="K155" s="143"/>
      <c r="L155" s="143"/>
      <c r="M155" s="143"/>
      <c r="N155" s="143"/>
      <c r="O155" s="143"/>
      <c r="P155" s="143"/>
      <c r="Q155" s="143"/>
      <c r="R155" s="143"/>
      <c r="S155" s="143"/>
      <c r="T155" s="143"/>
      <c r="U155" s="143"/>
      <c r="V155" s="143"/>
      <c r="W155" s="143"/>
      <c r="X155" s="143"/>
      <c r="Y155" s="143"/>
      <c r="Z155" s="143"/>
      <c r="AA155" s="143"/>
      <c r="AB155" s="143"/>
      <c r="AC155" s="143"/>
      <c r="AD155" s="143"/>
      <c r="AE155" s="143"/>
      <c r="AF155" s="142"/>
      <c r="AG155" s="86">
        <f t="shared" si="23"/>
        <v>0</v>
      </c>
    </row>
    <row r="156" spans="1:34" ht="18.75" x14ac:dyDescent="0.25">
      <c r="A156" s="332" t="s">
        <v>73</v>
      </c>
      <c r="B156" s="271">
        <v>124</v>
      </c>
      <c r="C156" s="18">
        <v>118</v>
      </c>
      <c r="D156" s="18">
        <v>125</v>
      </c>
      <c r="E156" s="18">
        <v>140</v>
      </c>
      <c r="F156" s="18">
        <v>122</v>
      </c>
      <c r="G156" s="18">
        <v>125</v>
      </c>
      <c r="H156" s="18">
        <v>129</v>
      </c>
      <c r="I156" s="18">
        <v>137</v>
      </c>
      <c r="J156" s="18">
        <v>93</v>
      </c>
      <c r="K156" s="18">
        <v>103</v>
      </c>
      <c r="L156" s="18">
        <v>69</v>
      </c>
      <c r="M156" s="18">
        <v>111</v>
      </c>
      <c r="N156" s="18">
        <v>142</v>
      </c>
      <c r="O156" s="18">
        <v>106</v>
      </c>
      <c r="P156" s="18">
        <v>122</v>
      </c>
      <c r="Q156" s="18">
        <v>106</v>
      </c>
      <c r="R156" s="18">
        <v>151</v>
      </c>
      <c r="S156" s="18">
        <v>108</v>
      </c>
      <c r="T156" s="18">
        <v>119</v>
      </c>
      <c r="U156" s="18">
        <v>154</v>
      </c>
      <c r="V156" s="18">
        <v>155</v>
      </c>
      <c r="W156" s="18">
        <v>125</v>
      </c>
      <c r="X156" s="18">
        <v>131</v>
      </c>
      <c r="Y156" s="18">
        <v>131</v>
      </c>
      <c r="Z156" s="18">
        <v>176</v>
      </c>
      <c r="AA156" s="18">
        <v>161</v>
      </c>
      <c r="AB156" s="18">
        <v>157</v>
      </c>
      <c r="AC156" s="18">
        <v>144</v>
      </c>
      <c r="AD156" s="18">
        <v>116</v>
      </c>
      <c r="AE156" s="18">
        <v>119</v>
      </c>
      <c r="AF156" s="17"/>
      <c r="AG156" s="7">
        <f t="shared" si="23"/>
        <v>3819</v>
      </c>
      <c r="AH156" s="98" t="s">
        <v>72</v>
      </c>
    </row>
    <row r="157" spans="1:34" ht="19.5" thickBot="1" x14ac:dyDescent="0.3">
      <c r="A157" s="324" t="s">
        <v>71</v>
      </c>
      <c r="B157" s="263">
        <v>10</v>
      </c>
      <c r="C157" s="140">
        <v>12</v>
      </c>
      <c r="D157" s="140">
        <v>5</v>
      </c>
      <c r="E157" s="140">
        <v>2</v>
      </c>
      <c r="F157" s="140">
        <v>0</v>
      </c>
      <c r="G157" s="140">
        <v>7</v>
      </c>
      <c r="H157" s="140">
        <v>5</v>
      </c>
      <c r="I157" s="140">
        <v>6</v>
      </c>
      <c r="J157" s="140">
        <v>3</v>
      </c>
      <c r="K157" s="140">
        <v>3</v>
      </c>
      <c r="L157" s="140">
        <v>6</v>
      </c>
      <c r="M157" s="140">
        <v>0</v>
      </c>
      <c r="N157" s="140">
        <v>8</v>
      </c>
      <c r="O157" s="140">
        <v>6</v>
      </c>
      <c r="P157" s="140">
        <v>5</v>
      </c>
      <c r="Q157" s="140">
        <v>6</v>
      </c>
      <c r="R157" s="140">
        <v>0</v>
      </c>
      <c r="S157" s="140">
        <v>2</v>
      </c>
      <c r="T157" s="140">
        <v>5</v>
      </c>
      <c r="U157" s="140">
        <v>21</v>
      </c>
      <c r="V157" s="140">
        <v>11</v>
      </c>
      <c r="W157" s="140">
        <v>6</v>
      </c>
      <c r="X157" s="140">
        <v>13</v>
      </c>
      <c r="Y157" s="140">
        <v>3</v>
      </c>
      <c r="Z157" s="140">
        <v>2</v>
      </c>
      <c r="AA157" s="140">
        <v>4</v>
      </c>
      <c r="AB157" s="140">
        <v>10</v>
      </c>
      <c r="AC157" s="140">
        <v>7</v>
      </c>
      <c r="AD157" s="140">
        <v>1</v>
      </c>
      <c r="AE157" s="140">
        <v>8</v>
      </c>
      <c r="AF157" s="139"/>
      <c r="AG157" s="138">
        <f t="shared" si="23"/>
        <v>177</v>
      </c>
      <c r="AH157" s="98"/>
    </row>
    <row r="158" spans="1:34" ht="19.5" thickBot="1" x14ac:dyDescent="0.3">
      <c r="A158" s="333" t="s">
        <v>70</v>
      </c>
      <c r="B158" s="272">
        <f t="shared" ref="B158:AF158" si="25">SUM(B159:B166)</f>
        <v>2</v>
      </c>
      <c r="C158" s="35">
        <f t="shared" si="25"/>
        <v>0</v>
      </c>
      <c r="D158" s="35">
        <f t="shared" si="25"/>
        <v>0</v>
      </c>
      <c r="E158" s="35">
        <f t="shared" si="25"/>
        <v>0</v>
      </c>
      <c r="F158" s="35">
        <f t="shared" si="25"/>
        <v>0</v>
      </c>
      <c r="G158" s="35">
        <f t="shared" si="25"/>
        <v>0</v>
      </c>
      <c r="H158" s="35">
        <f t="shared" si="25"/>
        <v>0</v>
      </c>
      <c r="I158" s="35">
        <f t="shared" si="25"/>
        <v>1</v>
      </c>
      <c r="J158" s="35">
        <f t="shared" si="25"/>
        <v>0</v>
      </c>
      <c r="K158" s="35">
        <f t="shared" si="25"/>
        <v>0</v>
      </c>
      <c r="L158" s="35">
        <f t="shared" si="25"/>
        <v>3</v>
      </c>
      <c r="M158" s="35">
        <f t="shared" si="25"/>
        <v>0</v>
      </c>
      <c r="N158" s="35">
        <f t="shared" si="25"/>
        <v>1</v>
      </c>
      <c r="O158" s="35">
        <f t="shared" si="25"/>
        <v>0</v>
      </c>
      <c r="P158" s="35">
        <f t="shared" si="25"/>
        <v>1</v>
      </c>
      <c r="Q158" s="35">
        <f t="shared" si="25"/>
        <v>1</v>
      </c>
      <c r="R158" s="35">
        <f t="shared" si="25"/>
        <v>0</v>
      </c>
      <c r="S158" s="35">
        <f t="shared" si="25"/>
        <v>1</v>
      </c>
      <c r="T158" s="35">
        <f t="shared" si="25"/>
        <v>0</v>
      </c>
      <c r="U158" s="35">
        <f t="shared" si="25"/>
        <v>1</v>
      </c>
      <c r="V158" s="35">
        <f t="shared" si="25"/>
        <v>0</v>
      </c>
      <c r="W158" s="35">
        <f t="shared" si="25"/>
        <v>0</v>
      </c>
      <c r="X158" s="35">
        <f t="shared" si="25"/>
        <v>0</v>
      </c>
      <c r="Y158" s="35">
        <f t="shared" si="25"/>
        <v>0</v>
      </c>
      <c r="Z158" s="35">
        <f t="shared" si="25"/>
        <v>0</v>
      </c>
      <c r="AA158" s="35">
        <f t="shared" si="25"/>
        <v>0</v>
      </c>
      <c r="AB158" s="35">
        <f t="shared" si="25"/>
        <v>1</v>
      </c>
      <c r="AC158" s="35">
        <f t="shared" si="25"/>
        <v>0</v>
      </c>
      <c r="AD158" s="35">
        <f t="shared" si="25"/>
        <v>1</v>
      </c>
      <c r="AE158" s="35">
        <f t="shared" si="25"/>
        <v>0</v>
      </c>
      <c r="AF158" s="34">
        <f t="shared" si="25"/>
        <v>0</v>
      </c>
      <c r="AG158" s="33">
        <f t="shared" si="23"/>
        <v>13</v>
      </c>
    </row>
    <row r="159" spans="1:34" ht="18.75" x14ac:dyDescent="0.25">
      <c r="A159" s="329" t="s">
        <v>69</v>
      </c>
      <c r="B159" s="268"/>
      <c r="C159" s="136"/>
      <c r="D159" s="136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>
        <v>1</v>
      </c>
      <c r="T159" s="136"/>
      <c r="U159" s="136"/>
      <c r="V159" s="136"/>
      <c r="W159" s="136"/>
      <c r="X159" s="136"/>
      <c r="Y159" s="136"/>
      <c r="Z159" s="136"/>
      <c r="AA159" s="136"/>
      <c r="AB159" s="136"/>
      <c r="AC159" s="136"/>
      <c r="AD159" s="136"/>
      <c r="AE159" s="136"/>
      <c r="AF159" s="135"/>
      <c r="AG159" s="134">
        <f t="shared" si="23"/>
        <v>1</v>
      </c>
    </row>
    <row r="160" spans="1:34" ht="18.75" x14ac:dyDescent="0.25">
      <c r="A160" s="330" t="s">
        <v>68</v>
      </c>
      <c r="B160" s="269"/>
      <c r="C160" s="130"/>
      <c r="D160" s="130"/>
      <c r="E160" s="130"/>
      <c r="F160" s="130"/>
      <c r="G160" s="130"/>
      <c r="H160" s="130"/>
      <c r="I160" s="130"/>
      <c r="J160" s="130"/>
      <c r="K160" s="130"/>
      <c r="L160" s="130">
        <v>1</v>
      </c>
      <c r="M160" s="130"/>
      <c r="N160" s="130"/>
      <c r="O160" s="130"/>
      <c r="P160" s="130"/>
      <c r="Q160" s="130"/>
      <c r="R160" s="130"/>
      <c r="S160" s="130"/>
      <c r="T160" s="130"/>
      <c r="U160" s="130"/>
      <c r="V160" s="130"/>
      <c r="W160" s="130"/>
      <c r="X160" s="130"/>
      <c r="Y160" s="130"/>
      <c r="Z160" s="130"/>
      <c r="AA160" s="130"/>
      <c r="AB160" s="130"/>
      <c r="AC160" s="130"/>
      <c r="AD160" s="130"/>
      <c r="AE160" s="130"/>
      <c r="AF160" s="129"/>
      <c r="AG160" s="64">
        <f t="shared" si="23"/>
        <v>1</v>
      </c>
    </row>
    <row r="161" spans="1:34" ht="18.75" x14ac:dyDescent="0.25">
      <c r="A161" s="330" t="s">
        <v>67</v>
      </c>
      <c r="B161" s="269">
        <v>1</v>
      </c>
      <c r="C161" s="130"/>
      <c r="D161" s="130"/>
      <c r="E161" s="130"/>
      <c r="F161" s="130"/>
      <c r="G161" s="130"/>
      <c r="H161" s="130"/>
      <c r="I161" s="130">
        <v>1</v>
      </c>
      <c r="J161" s="130"/>
      <c r="K161" s="130"/>
      <c r="L161" s="130">
        <v>1</v>
      </c>
      <c r="M161" s="130"/>
      <c r="N161" s="130"/>
      <c r="O161" s="130"/>
      <c r="P161" s="130">
        <v>1</v>
      </c>
      <c r="Q161" s="130"/>
      <c r="R161" s="130"/>
      <c r="S161" s="130"/>
      <c r="T161" s="130"/>
      <c r="U161" s="130">
        <v>1</v>
      </c>
      <c r="V161" s="130"/>
      <c r="W161" s="130"/>
      <c r="X161" s="130"/>
      <c r="Y161" s="130"/>
      <c r="Z161" s="130"/>
      <c r="AA161" s="130"/>
      <c r="AB161" s="130">
        <v>1</v>
      </c>
      <c r="AC161" s="130"/>
      <c r="AD161" s="130"/>
      <c r="AE161" s="130"/>
      <c r="AF161" s="129"/>
      <c r="AG161" s="64">
        <f t="shared" si="23"/>
        <v>6</v>
      </c>
    </row>
    <row r="162" spans="1:34" ht="18.75" x14ac:dyDescent="0.25">
      <c r="A162" s="330" t="s">
        <v>66</v>
      </c>
      <c r="B162" s="269"/>
      <c r="C162" s="130"/>
      <c r="D162" s="130"/>
      <c r="E162" s="130"/>
      <c r="F162" s="130"/>
      <c r="G162" s="130"/>
      <c r="H162" s="130"/>
      <c r="I162" s="130"/>
      <c r="J162" s="130"/>
      <c r="K162" s="130"/>
      <c r="L162" s="130"/>
      <c r="M162" s="130"/>
      <c r="N162" s="130"/>
      <c r="O162" s="130"/>
      <c r="P162" s="130"/>
      <c r="Q162" s="130">
        <v>1</v>
      </c>
      <c r="R162" s="130"/>
      <c r="S162" s="130"/>
      <c r="T162" s="130"/>
      <c r="U162" s="130"/>
      <c r="V162" s="130"/>
      <c r="W162" s="130"/>
      <c r="X162" s="130"/>
      <c r="Y162" s="130"/>
      <c r="Z162" s="130"/>
      <c r="AA162" s="130"/>
      <c r="AB162" s="130"/>
      <c r="AC162" s="130"/>
      <c r="AD162" s="130">
        <v>1</v>
      </c>
      <c r="AE162" s="130"/>
      <c r="AF162" s="129"/>
      <c r="AG162" s="64">
        <f t="shared" si="23"/>
        <v>2</v>
      </c>
    </row>
    <row r="163" spans="1:34" ht="18.75" x14ac:dyDescent="0.25">
      <c r="A163" s="330" t="s">
        <v>65</v>
      </c>
      <c r="B163" s="269"/>
      <c r="C163" s="130"/>
      <c r="D163" s="130"/>
      <c r="E163" s="130"/>
      <c r="F163" s="130"/>
      <c r="G163" s="130"/>
      <c r="H163" s="130"/>
      <c r="I163" s="130"/>
      <c r="J163" s="130"/>
      <c r="K163" s="130"/>
      <c r="L163" s="130"/>
      <c r="M163" s="130"/>
      <c r="N163" s="130"/>
      <c r="O163" s="130"/>
      <c r="P163" s="130"/>
      <c r="Q163" s="130"/>
      <c r="R163" s="130"/>
      <c r="S163" s="130"/>
      <c r="T163" s="130"/>
      <c r="U163" s="130"/>
      <c r="V163" s="130"/>
      <c r="W163" s="130"/>
      <c r="X163" s="130"/>
      <c r="Y163" s="130"/>
      <c r="Z163" s="130"/>
      <c r="AA163" s="130"/>
      <c r="AB163" s="130"/>
      <c r="AC163" s="130"/>
      <c r="AD163" s="130"/>
      <c r="AE163" s="130"/>
      <c r="AF163" s="129"/>
      <c r="AG163" s="64">
        <f t="shared" si="23"/>
        <v>0</v>
      </c>
    </row>
    <row r="164" spans="1:34" ht="18.75" x14ac:dyDescent="0.25">
      <c r="A164" s="330" t="s">
        <v>64</v>
      </c>
      <c r="B164" s="269">
        <v>1</v>
      </c>
      <c r="C164" s="130"/>
      <c r="D164" s="130"/>
      <c r="E164" s="130"/>
      <c r="F164" s="130"/>
      <c r="G164" s="130"/>
      <c r="H164" s="130"/>
      <c r="I164" s="130"/>
      <c r="J164" s="130"/>
      <c r="K164" s="130"/>
      <c r="L164" s="130">
        <v>1</v>
      </c>
      <c r="M164" s="130"/>
      <c r="N164" s="130">
        <v>1</v>
      </c>
      <c r="O164" s="130"/>
      <c r="P164" s="130"/>
      <c r="Q164" s="130"/>
      <c r="R164" s="130"/>
      <c r="S164" s="130"/>
      <c r="T164" s="130"/>
      <c r="U164" s="130"/>
      <c r="V164" s="130"/>
      <c r="W164" s="130"/>
      <c r="X164" s="130"/>
      <c r="Y164" s="130"/>
      <c r="Z164" s="130"/>
      <c r="AA164" s="130"/>
      <c r="AB164" s="130"/>
      <c r="AC164" s="130"/>
      <c r="AD164" s="130"/>
      <c r="AE164" s="130"/>
      <c r="AF164" s="129"/>
      <c r="AG164" s="64">
        <f t="shared" si="23"/>
        <v>3</v>
      </c>
    </row>
    <row r="165" spans="1:34" ht="18.75" x14ac:dyDescent="0.25">
      <c r="A165" s="330" t="s">
        <v>63</v>
      </c>
      <c r="B165" s="269"/>
      <c r="C165" s="130"/>
      <c r="D165" s="130"/>
      <c r="E165" s="130"/>
      <c r="F165" s="130"/>
      <c r="G165" s="130"/>
      <c r="H165" s="130"/>
      <c r="I165" s="130"/>
      <c r="J165" s="130"/>
      <c r="K165" s="130"/>
      <c r="L165" s="130"/>
      <c r="M165" s="130"/>
      <c r="N165" s="130"/>
      <c r="O165" s="130"/>
      <c r="P165" s="130"/>
      <c r="Q165" s="130"/>
      <c r="R165" s="130"/>
      <c r="S165" s="130"/>
      <c r="T165" s="130"/>
      <c r="U165" s="130"/>
      <c r="V165" s="130"/>
      <c r="W165" s="130"/>
      <c r="X165" s="130"/>
      <c r="Y165" s="130"/>
      <c r="Z165" s="130"/>
      <c r="AA165" s="130"/>
      <c r="AB165" s="130"/>
      <c r="AC165" s="130"/>
      <c r="AD165" s="130"/>
      <c r="AE165" s="130"/>
      <c r="AF165" s="129"/>
      <c r="AG165" s="64">
        <f t="shared" si="23"/>
        <v>0</v>
      </c>
    </row>
    <row r="166" spans="1:34" ht="19.5" thickBot="1" x14ac:dyDescent="0.3">
      <c r="A166" s="331" t="s">
        <v>62</v>
      </c>
      <c r="B166" s="270"/>
      <c r="C166" s="127"/>
      <c r="D166" s="127"/>
      <c r="E166" s="127"/>
      <c r="F166" s="127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  <c r="Y166" s="127"/>
      <c r="Z166" s="127"/>
      <c r="AA166" s="127"/>
      <c r="AB166" s="127"/>
      <c r="AC166" s="127"/>
      <c r="AD166" s="127"/>
      <c r="AE166" s="127"/>
      <c r="AF166" s="126"/>
      <c r="AG166" s="10">
        <f t="shared" si="23"/>
        <v>0</v>
      </c>
    </row>
    <row r="167" spans="1:34" ht="18.75" x14ac:dyDescent="0.25">
      <c r="A167" s="332" t="s">
        <v>61</v>
      </c>
      <c r="B167" s="271">
        <f t="shared" ref="B167:AF167" si="26">SUM(B168:B171)</f>
        <v>2</v>
      </c>
      <c r="C167" s="18">
        <f t="shared" si="26"/>
        <v>0</v>
      </c>
      <c r="D167" s="18">
        <f t="shared" si="26"/>
        <v>0</v>
      </c>
      <c r="E167" s="18">
        <f t="shared" si="26"/>
        <v>0</v>
      </c>
      <c r="F167" s="18">
        <f t="shared" si="26"/>
        <v>0</v>
      </c>
      <c r="G167" s="18">
        <f t="shared" si="26"/>
        <v>0</v>
      </c>
      <c r="H167" s="18">
        <f t="shared" si="26"/>
        <v>0</v>
      </c>
      <c r="I167" s="18">
        <f t="shared" si="26"/>
        <v>1</v>
      </c>
      <c r="J167" s="18">
        <f t="shared" si="26"/>
        <v>0</v>
      </c>
      <c r="K167" s="18">
        <f t="shared" si="26"/>
        <v>0</v>
      </c>
      <c r="L167" s="18">
        <f t="shared" si="26"/>
        <v>0</v>
      </c>
      <c r="M167" s="18">
        <f t="shared" si="26"/>
        <v>0</v>
      </c>
      <c r="N167" s="18">
        <f t="shared" si="26"/>
        <v>1</v>
      </c>
      <c r="O167" s="18">
        <f t="shared" si="26"/>
        <v>0</v>
      </c>
      <c r="P167" s="18">
        <f t="shared" si="26"/>
        <v>0</v>
      </c>
      <c r="Q167" s="18">
        <f t="shared" si="26"/>
        <v>1</v>
      </c>
      <c r="R167" s="18">
        <f t="shared" si="26"/>
        <v>0</v>
      </c>
      <c r="S167" s="18">
        <f t="shared" si="26"/>
        <v>0</v>
      </c>
      <c r="T167" s="18">
        <f t="shared" si="26"/>
        <v>0</v>
      </c>
      <c r="U167" s="18">
        <f t="shared" si="26"/>
        <v>1</v>
      </c>
      <c r="V167" s="18">
        <f t="shared" si="26"/>
        <v>0</v>
      </c>
      <c r="W167" s="18">
        <f t="shared" si="26"/>
        <v>2</v>
      </c>
      <c r="X167" s="18">
        <f t="shared" si="26"/>
        <v>0</v>
      </c>
      <c r="Y167" s="18">
        <f t="shared" si="26"/>
        <v>0</v>
      </c>
      <c r="Z167" s="18">
        <f t="shared" si="26"/>
        <v>1</v>
      </c>
      <c r="AA167" s="18">
        <f t="shared" si="26"/>
        <v>0</v>
      </c>
      <c r="AB167" s="18">
        <f t="shared" si="26"/>
        <v>2</v>
      </c>
      <c r="AC167" s="18">
        <f t="shared" si="26"/>
        <v>0</v>
      </c>
      <c r="AD167" s="18">
        <f t="shared" si="26"/>
        <v>0</v>
      </c>
      <c r="AE167" s="18">
        <f t="shared" si="26"/>
        <v>0</v>
      </c>
      <c r="AF167" s="17">
        <f t="shared" si="26"/>
        <v>0</v>
      </c>
      <c r="AG167" s="7">
        <f t="shared" si="23"/>
        <v>11</v>
      </c>
    </row>
    <row r="168" spans="1:34" ht="18.75" x14ac:dyDescent="0.25">
      <c r="A168" s="334" t="s">
        <v>60</v>
      </c>
      <c r="B168" s="269"/>
      <c r="C168" s="130"/>
      <c r="D168" s="130"/>
      <c r="E168" s="130"/>
      <c r="F168" s="130"/>
      <c r="G168" s="130"/>
      <c r="H168" s="130"/>
      <c r="I168" s="130"/>
      <c r="J168" s="130"/>
      <c r="K168" s="130"/>
      <c r="L168" s="130"/>
      <c r="M168" s="130"/>
      <c r="N168" s="130">
        <v>1</v>
      </c>
      <c r="O168" s="130"/>
      <c r="P168" s="130"/>
      <c r="Q168" s="130"/>
      <c r="R168" s="130"/>
      <c r="S168" s="130"/>
      <c r="T168" s="130"/>
      <c r="U168" s="130"/>
      <c r="V168" s="130"/>
      <c r="W168" s="130"/>
      <c r="X168" s="130"/>
      <c r="Y168" s="130"/>
      <c r="Z168" s="130"/>
      <c r="AA168" s="130"/>
      <c r="AB168" s="130"/>
      <c r="AC168" s="130"/>
      <c r="AD168" s="130"/>
      <c r="AE168" s="130"/>
      <c r="AF168" s="129"/>
      <c r="AG168" s="64">
        <f t="shared" si="23"/>
        <v>1</v>
      </c>
    </row>
    <row r="169" spans="1:34" ht="18.75" x14ac:dyDescent="0.25">
      <c r="A169" s="334" t="s">
        <v>59</v>
      </c>
      <c r="B169" s="269"/>
      <c r="C169" s="130"/>
      <c r="D169" s="130"/>
      <c r="E169" s="130"/>
      <c r="F169" s="130"/>
      <c r="G169" s="130"/>
      <c r="H169" s="130"/>
      <c r="I169" s="130"/>
      <c r="J169" s="130"/>
      <c r="K169" s="130"/>
      <c r="L169" s="130"/>
      <c r="M169" s="130"/>
      <c r="N169" s="130"/>
      <c r="O169" s="130"/>
      <c r="P169" s="130"/>
      <c r="Q169" s="130"/>
      <c r="R169" s="130"/>
      <c r="S169" s="130"/>
      <c r="T169" s="130"/>
      <c r="U169" s="130"/>
      <c r="V169" s="130"/>
      <c r="W169" s="130"/>
      <c r="X169" s="130"/>
      <c r="Y169" s="130"/>
      <c r="Z169" s="130"/>
      <c r="AA169" s="130"/>
      <c r="AB169" s="130"/>
      <c r="AC169" s="130"/>
      <c r="AD169" s="130"/>
      <c r="AE169" s="130"/>
      <c r="AF169" s="129"/>
      <c r="AG169" s="64">
        <f t="shared" si="23"/>
        <v>0</v>
      </c>
    </row>
    <row r="170" spans="1:34" ht="18.75" x14ac:dyDescent="0.25">
      <c r="A170" s="334" t="s">
        <v>58</v>
      </c>
      <c r="B170" s="269">
        <v>1</v>
      </c>
      <c r="C170" s="130"/>
      <c r="D170" s="130"/>
      <c r="E170" s="130"/>
      <c r="F170" s="130"/>
      <c r="G170" s="130"/>
      <c r="H170" s="130"/>
      <c r="I170" s="130"/>
      <c r="J170" s="130"/>
      <c r="K170" s="130"/>
      <c r="L170" s="130"/>
      <c r="M170" s="130"/>
      <c r="N170" s="130"/>
      <c r="O170" s="130"/>
      <c r="P170" s="130"/>
      <c r="Q170" s="130"/>
      <c r="R170" s="130"/>
      <c r="S170" s="130"/>
      <c r="T170" s="130"/>
      <c r="U170" s="130"/>
      <c r="V170" s="130"/>
      <c r="W170" s="130"/>
      <c r="X170" s="130"/>
      <c r="Y170" s="130"/>
      <c r="Z170" s="130"/>
      <c r="AA170" s="130"/>
      <c r="AB170" s="130"/>
      <c r="AC170" s="130"/>
      <c r="AD170" s="130"/>
      <c r="AE170" s="130"/>
      <c r="AF170" s="129"/>
      <c r="AG170" s="64">
        <f t="shared" si="23"/>
        <v>1</v>
      </c>
    </row>
    <row r="171" spans="1:34" ht="19.5" thickBot="1" x14ac:dyDescent="0.3">
      <c r="A171" s="335" t="s">
        <v>57</v>
      </c>
      <c r="B171" s="270">
        <v>1</v>
      </c>
      <c r="C171" s="127"/>
      <c r="D171" s="127"/>
      <c r="E171" s="127"/>
      <c r="F171" s="127"/>
      <c r="G171" s="127"/>
      <c r="H171" s="127"/>
      <c r="I171" s="127">
        <v>1</v>
      </c>
      <c r="J171" s="127"/>
      <c r="K171" s="127"/>
      <c r="L171" s="127"/>
      <c r="M171" s="127"/>
      <c r="N171" s="127"/>
      <c r="O171" s="127"/>
      <c r="P171" s="127"/>
      <c r="Q171" s="127">
        <v>1</v>
      </c>
      <c r="R171" s="127"/>
      <c r="S171" s="127"/>
      <c r="T171" s="127"/>
      <c r="U171" s="127">
        <v>1</v>
      </c>
      <c r="V171" s="127"/>
      <c r="W171" s="127">
        <v>2</v>
      </c>
      <c r="X171" s="127"/>
      <c r="Y171" s="127"/>
      <c r="Z171" s="127">
        <v>1</v>
      </c>
      <c r="AA171" s="127"/>
      <c r="AB171" s="127">
        <f>1+1</f>
        <v>2</v>
      </c>
      <c r="AC171" s="127"/>
      <c r="AD171" s="127"/>
      <c r="AE171" s="127"/>
      <c r="AF171" s="126"/>
      <c r="AG171" s="10">
        <f t="shared" si="23"/>
        <v>9</v>
      </c>
    </row>
    <row r="172" spans="1:34" ht="19.5" thickBot="1" x14ac:dyDescent="0.3">
      <c r="A172" s="336" t="s">
        <v>56</v>
      </c>
      <c r="B172" s="273">
        <v>1</v>
      </c>
      <c r="C172" s="124"/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>
        <v>1</v>
      </c>
      <c r="O172" s="124"/>
      <c r="P172" s="124"/>
      <c r="Q172" s="124"/>
      <c r="R172" s="124"/>
      <c r="S172" s="124"/>
      <c r="T172" s="124"/>
      <c r="U172" s="124"/>
      <c r="V172" s="124"/>
      <c r="W172" s="124"/>
      <c r="X172" s="124"/>
      <c r="Y172" s="124"/>
      <c r="Z172" s="124"/>
      <c r="AA172" s="124"/>
      <c r="AB172" s="124">
        <v>1</v>
      </c>
      <c r="AC172" s="124"/>
      <c r="AD172" s="124"/>
      <c r="AE172" s="124"/>
      <c r="AF172" s="123"/>
      <c r="AG172" s="122">
        <f t="shared" si="23"/>
        <v>3</v>
      </c>
    </row>
    <row r="173" spans="1:34" ht="19.5" thickBot="1" x14ac:dyDescent="0.3">
      <c r="A173" s="299" t="s">
        <v>55</v>
      </c>
      <c r="B173" s="247">
        <f>SUM(B174:B176)</f>
        <v>2</v>
      </c>
      <c r="C173" s="120">
        <f t="shared" ref="C173:AF173" si="27">SUM(C174:C176)</f>
        <v>2</v>
      </c>
      <c r="D173" s="120">
        <f t="shared" si="27"/>
        <v>0</v>
      </c>
      <c r="E173" s="120">
        <f t="shared" si="27"/>
        <v>1</v>
      </c>
      <c r="F173" s="120">
        <f t="shared" si="27"/>
        <v>1</v>
      </c>
      <c r="G173" s="120">
        <f t="shared" si="27"/>
        <v>1</v>
      </c>
      <c r="H173" s="120">
        <f t="shared" si="27"/>
        <v>1</v>
      </c>
      <c r="I173" s="120">
        <f t="shared" si="27"/>
        <v>0</v>
      </c>
      <c r="J173" s="120">
        <f t="shared" si="27"/>
        <v>1</v>
      </c>
      <c r="K173" s="120">
        <f t="shared" si="27"/>
        <v>1</v>
      </c>
      <c r="L173" s="120">
        <f t="shared" si="27"/>
        <v>0</v>
      </c>
      <c r="M173" s="120">
        <f t="shared" si="27"/>
        <v>2</v>
      </c>
      <c r="N173" s="120">
        <f t="shared" si="27"/>
        <v>0</v>
      </c>
      <c r="O173" s="120">
        <f t="shared" si="27"/>
        <v>0</v>
      </c>
      <c r="P173" s="120">
        <f t="shared" si="27"/>
        <v>1</v>
      </c>
      <c r="Q173" s="120">
        <f t="shared" si="27"/>
        <v>3</v>
      </c>
      <c r="R173" s="120">
        <f t="shared" si="27"/>
        <v>1</v>
      </c>
      <c r="S173" s="120">
        <f t="shared" si="27"/>
        <v>1</v>
      </c>
      <c r="T173" s="120">
        <f t="shared" si="27"/>
        <v>1</v>
      </c>
      <c r="U173" s="120">
        <f t="shared" si="27"/>
        <v>3</v>
      </c>
      <c r="V173" s="120">
        <f t="shared" si="27"/>
        <v>4</v>
      </c>
      <c r="W173" s="120">
        <f t="shared" si="27"/>
        <v>1</v>
      </c>
      <c r="X173" s="120">
        <f t="shared" si="27"/>
        <v>3</v>
      </c>
      <c r="Y173" s="120">
        <f t="shared" si="27"/>
        <v>1</v>
      </c>
      <c r="Z173" s="120">
        <f t="shared" si="27"/>
        <v>2</v>
      </c>
      <c r="AA173" s="120">
        <f t="shared" si="27"/>
        <v>2</v>
      </c>
      <c r="AB173" s="120">
        <f t="shared" si="27"/>
        <v>0</v>
      </c>
      <c r="AC173" s="120">
        <f t="shared" si="27"/>
        <v>0</v>
      </c>
      <c r="AD173" s="120">
        <f t="shared" si="27"/>
        <v>0</v>
      </c>
      <c r="AE173" s="120">
        <f t="shared" si="27"/>
        <v>0</v>
      </c>
      <c r="AF173" s="119">
        <f t="shared" si="27"/>
        <v>0</v>
      </c>
      <c r="AG173" s="118">
        <f t="shared" si="23"/>
        <v>35</v>
      </c>
      <c r="AH173" s="98" t="s">
        <v>54</v>
      </c>
    </row>
    <row r="174" spans="1:34" ht="18.75" x14ac:dyDescent="0.25">
      <c r="A174" s="337" t="s">
        <v>53</v>
      </c>
      <c r="B174" s="274">
        <v>1</v>
      </c>
      <c r="C174" s="116">
        <v>2</v>
      </c>
      <c r="D174" s="116">
        <v>0</v>
      </c>
      <c r="E174" s="116">
        <v>1</v>
      </c>
      <c r="F174" s="116">
        <v>1</v>
      </c>
      <c r="G174" s="116"/>
      <c r="H174" s="116">
        <v>1</v>
      </c>
      <c r="I174" s="116">
        <v>0</v>
      </c>
      <c r="J174" s="116">
        <v>1</v>
      </c>
      <c r="K174" s="116">
        <v>1</v>
      </c>
      <c r="L174" s="116">
        <v>0</v>
      </c>
      <c r="M174" s="116">
        <v>1</v>
      </c>
      <c r="N174" s="116">
        <v>0</v>
      </c>
      <c r="O174" s="116">
        <v>0</v>
      </c>
      <c r="P174" s="116">
        <v>1</v>
      </c>
      <c r="Q174" s="116">
        <v>3</v>
      </c>
      <c r="R174" s="116"/>
      <c r="S174" s="116">
        <v>1</v>
      </c>
      <c r="T174" s="116">
        <v>1</v>
      </c>
      <c r="U174" s="116">
        <v>3</v>
      </c>
      <c r="V174" s="116">
        <v>4</v>
      </c>
      <c r="W174" s="116">
        <v>1</v>
      </c>
      <c r="X174" s="116">
        <v>3</v>
      </c>
      <c r="Y174" s="116">
        <v>1</v>
      </c>
      <c r="Z174" s="116">
        <v>2</v>
      </c>
      <c r="AA174" s="116">
        <v>2</v>
      </c>
      <c r="AB174" s="116">
        <v>0</v>
      </c>
      <c r="AC174" s="116">
        <v>0</v>
      </c>
      <c r="AD174" s="116">
        <v>0</v>
      </c>
      <c r="AE174" s="116">
        <v>0</v>
      </c>
      <c r="AF174" s="115"/>
      <c r="AG174" s="114">
        <f t="shared" si="23"/>
        <v>31</v>
      </c>
      <c r="AH174" s="98"/>
    </row>
    <row r="175" spans="1:34" ht="18.75" x14ac:dyDescent="0.25">
      <c r="A175" s="338" t="s">
        <v>52</v>
      </c>
      <c r="B175" s="275">
        <v>1</v>
      </c>
      <c r="C175" s="112"/>
      <c r="D175" s="112"/>
      <c r="E175" s="112"/>
      <c r="F175" s="112"/>
      <c r="G175" s="112">
        <v>1</v>
      </c>
      <c r="H175" s="112"/>
      <c r="I175" s="112"/>
      <c r="J175" s="112"/>
      <c r="K175" s="112"/>
      <c r="L175" s="112"/>
      <c r="M175" s="112">
        <v>1</v>
      </c>
      <c r="N175" s="112"/>
      <c r="O175" s="112"/>
      <c r="P175" s="112"/>
      <c r="Q175" s="112"/>
      <c r="R175" s="112">
        <v>1</v>
      </c>
      <c r="S175" s="112"/>
      <c r="T175" s="112"/>
      <c r="U175" s="112"/>
      <c r="V175" s="112"/>
      <c r="W175" s="112"/>
      <c r="X175" s="112"/>
      <c r="Y175" s="112"/>
      <c r="Z175" s="112"/>
      <c r="AA175" s="112"/>
      <c r="AB175" s="112"/>
      <c r="AC175" s="112"/>
      <c r="AD175" s="112"/>
      <c r="AE175" s="112"/>
      <c r="AF175" s="111"/>
      <c r="AG175" s="110">
        <f t="shared" si="23"/>
        <v>4</v>
      </c>
      <c r="AH175" s="98"/>
    </row>
    <row r="176" spans="1:34" ht="19.5" thickBot="1" x14ac:dyDescent="0.3">
      <c r="A176" s="371" t="s">
        <v>168</v>
      </c>
      <c r="B176" s="372"/>
      <c r="C176" s="373"/>
      <c r="D176" s="373"/>
      <c r="E176" s="373"/>
      <c r="F176" s="373"/>
      <c r="G176" s="373"/>
      <c r="H176" s="373"/>
      <c r="I176" s="373"/>
      <c r="J176" s="373"/>
      <c r="K176" s="373"/>
      <c r="L176" s="373"/>
      <c r="M176" s="373"/>
      <c r="N176" s="373"/>
      <c r="O176" s="373"/>
      <c r="P176" s="373"/>
      <c r="Q176" s="373"/>
      <c r="R176" s="373"/>
      <c r="S176" s="373"/>
      <c r="T176" s="373"/>
      <c r="U176" s="373"/>
      <c r="V176" s="373"/>
      <c r="W176" s="373"/>
      <c r="X176" s="373"/>
      <c r="Y176" s="373"/>
      <c r="Z176" s="373"/>
      <c r="AA176" s="373"/>
      <c r="AB176" s="373"/>
      <c r="AC176" s="373"/>
      <c r="AD176" s="373"/>
      <c r="AE176" s="373"/>
      <c r="AF176" s="374"/>
      <c r="AG176" s="375">
        <f t="shared" si="23"/>
        <v>0</v>
      </c>
      <c r="AH176" s="98"/>
    </row>
    <row r="177" spans="1:34" ht="19.5" thickBot="1" x14ac:dyDescent="0.3">
      <c r="A177" s="312" t="s">
        <v>51</v>
      </c>
      <c r="B177" s="376">
        <f t="shared" ref="B177:AF177" si="28">SUM(B178:B179)</f>
        <v>5</v>
      </c>
      <c r="C177" s="377">
        <f t="shared" si="28"/>
        <v>5</v>
      </c>
      <c r="D177" s="377">
        <f t="shared" si="28"/>
        <v>1</v>
      </c>
      <c r="E177" s="377">
        <f t="shared" si="28"/>
        <v>4</v>
      </c>
      <c r="F177" s="377">
        <f t="shared" si="28"/>
        <v>4</v>
      </c>
      <c r="G177" s="377">
        <f t="shared" si="28"/>
        <v>5</v>
      </c>
      <c r="H177" s="377">
        <f t="shared" si="28"/>
        <v>3</v>
      </c>
      <c r="I177" s="377">
        <f t="shared" si="28"/>
        <v>8</v>
      </c>
      <c r="J177" s="377">
        <f t="shared" si="28"/>
        <v>2</v>
      </c>
      <c r="K177" s="377">
        <f t="shared" si="28"/>
        <v>2</v>
      </c>
      <c r="L177" s="377">
        <f t="shared" si="28"/>
        <v>1</v>
      </c>
      <c r="M177" s="377">
        <f t="shared" si="28"/>
        <v>2</v>
      </c>
      <c r="N177" s="377">
        <f t="shared" si="28"/>
        <v>4</v>
      </c>
      <c r="O177" s="377">
        <f t="shared" si="28"/>
        <v>2</v>
      </c>
      <c r="P177" s="377">
        <f t="shared" si="28"/>
        <v>5</v>
      </c>
      <c r="Q177" s="377">
        <f t="shared" si="28"/>
        <v>7</v>
      </c>
      <c r="R177" s="377">
        <f t="shared" si="28"/>
        <v>3</v>
      </c>
      <c r="S177" s="377">
        <f t="shared" si="28"/>
        <v>3</v>
      </c>
      <c r="T177" s="377">
        <f t="shared" si="28"/>
        <v>3</v>
      </c>
      <c r="U177" s="377">
        <f t="shared" si="28"/>
        <v>2</v>
      </c>
      <c r="V177" s="377">
        <f t="shared" si="28"/>
        <v>4</v>
      </c>
      <c r="W177" s="377">
        <f t="shared" si="28"/>
        <v>2</v>
      </c>
      <c r="X177" s="377">
        <f t="shared" si="28"/>
        <v>3</v>
      </c>
      <c r="Y177" s="377">
        <f t="shared" si="28"/>
        <v>1</v>
      </c>
      <c r="Z177" s="377">
        <f t="shared" si="28"/>
        <v>3</v>
      </c>
      <c r="AA177" s="377">
        <f t="shared" si="28"/>
        <v>4</v>
      </c>
      <c r="AB177" s="377">
        <f t="shared" si="28"/>
        <v>4</v>
      </c>
      <c r="AC177" s="377">
        <f t="shared" si="28"/>
        <v>2</v>
      </c>
      <c r="AD177" s="377">
        <f t="shared" si="28"/>
        <v>1</v>
      </c>
      <c r="AE177" s="377">
        <f t="shared" si="28"/>
        <v>3</v>
      </c>
      <c r="AF177" s="378">
        <f t="shared" si="28"/>
        <v>0</v>
      </c>
      <c r="AG177" s="379">
        <f t="shared" si="23"/>
        <v>98</v>
      </c>
      <c r="AH177" s="98" t="s">
        <v>48</v>
      </c>
    </row>
    <row r="178" spans="1:34" ht="18.75" x14ac:dyDescent="0.25">
      <c r="A178" s="340" t="s">
        <v>50</v>
      </c>
      <c r="B178" s="277">
        <v>0</v>
      </c>
      <c r="C178" s="105">
        <v>0</v>
      </c>
      <c r="D178" s="105">
        <v>0</v>
      </c>
      <c r="E178" s="105">
        <v>0</v>
      </c>
      <c r="F178" s="105">
        <v>0</v>
      </c>
      <c r="G178" s="105">
        <v>1</v>
      </c>
      <c r="H178" s="105">
        <v>0</v>
      </c>
      <c r="I178" s="105">
        <v>2</v>
      </c>
      <c r="J178" s="105">
        <v>0</v>
      </c>
      <c r="K178" s="105">
        <v>0</v>
      </c>
      <c r="L178" s="105">
        <v>0</v>
      </c>
      <c r="M178" s="105">
        <v>0</v>
      </c>
      <c r="N178" s="105">
        <v>1</v>
      </c>
      <c r="O178" s="105">
        <v>0</v>
      </c>
      <c r="P178" s="105">
        <v>1</v>
      </c>
      <c r="Q178" s="105">
        <v>1</v>
      </c>
      <c r="R178" s="105">
        <v>0</v>
      </c>
      <c r="S178" s="105">
        <v>0</v>
      </c>
      <c r="T178" s="105">
        <v>1</v>
      </c>
      <c r="U178" s="105">
        <v>1</v>
      </c>
      <c r="V178" s="105">
        <v>0</v>
      </c>
      <c r="W178" s="105">
        <v>0</v>
      </c>
      <c r="X178" s="105">
        <v>0</v>
      </c>
      <c r="Y178" s="105">
        <v>0</v>
      </c>
      <c r="Z178" s="105">
        <v>0</v>
      </c>
      <c r="AA178" s="105">
        <v>0</v>
      </c>
      <c r="AB178" s="105">
        <v>1</v>
      </c>
      <c r="AC178" s="105">
        <v>0</v>
      </c>
      <c r="AD178" s="105">
        <v>0</v>
      </c>
      <c r="AE178" s="105">
        <v>0</v>
      </c>
      <c r="AF178" s="104"/>
      <c r="AG178" s="103">
        <f t="shared" si="23"/>
        <v>9</v>
      </c>
      <c r="AH178" s="98" t="s">
        <v>48</v>
      </c>
    </row>
    <row r="179" spans="1:34" ht="19.5" thickBot="1" x14ac:dyDescent="0.3">
      <c r="A179" s="313" t="s">
        <v>49</v>
      </c>
      <c r="B179" s="278">
        <v>5</v>
      </c>
      <c r="C179" s="101">
        <v>5</v>
      </c>
      <c r="D179" s="101">
        <v>1</v>
      </c>
      <c r="E179" s="101">
        <v>4</v>
      </c>
      <c r="F179" s="101">
        <v>4</v>
      </c>
      <c r="G179" s="101">
        <v>4</v>
      </c>
      <c r="H179" s="101">
        <v>3</v>
      </c>
      <c r="I179" s="101">
        <v>6</v>
      </c>
      <c r="J179" s="101">
        <v>2</v>
      </c>
      <c r="K179" s="101">
        <v>2</v>
      </c>
      <c r="L179" s="101">
        <v>1</v>
      </c>
      <c r="M179" s="101">
        <v>2</v>
      </c>
      <c r="N179" s="101">
        <v>3</v>
      </c>
      <c r="O179" s="101">
        <v>2</v>
      </c>
      <c r="P179" s="101">
        <v>4</v>
      </c>
      <c r="Q179" s="101">
        <v>6</v>
      </c>
      <c r="R179" s="101">
        <v>3</v>
      </c>
      <c r="S179" s="101">
        <v>3</v>
      </c>
      <c r="T179" s="101">
        <v>2</v>
      </c>
      <c r="U179" s="101">
        <v>1</v>
      </c>
      <c r="V179" s="101">
        <v>4</v>
      </c>
      <c r="W179" s="101">
        <v>2</v>
      </c>
      <c r="X179" s="101">
        <v>3</v>
      </c>
      <c r="Y179" s="101">
        <v>1</v>
      </c>
      <c r="Z179" s="101">
        <v>3</v>
      </c>
      <c r="AA179" s="101">
        <v>4</v>
      </c>
      <c r="AB179" s="101">
        <v>3</v>
      </c>
      <c r="AC179" s="101">
        <v>2</v>
      </c>
      <c r="AD179" s="101">
        <v>1</v>
      </c>
      <c r="AE179" s="101">
        <v>3</v>
      </c>
      <c r="AF179" s="100"/>
      <c r="AG179" s="99">
        <f t="shared" si="23"/>
        <v>89</v>
      </c>
      <c r="AH179" s="98" t="s">
        <v>48</v>
      </c>
    </row>
    <row r="180" spans="1:34" ht="18.75" x14ac:dyDescent="0.25">
      <c r="A180" s="341" t="s">
        <v>47</v>
      </c>
      <c r="B180" s="279"/>
      <c r="C180" s="96"/>
      <c r="D180" s="96"/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  <c r="AA180" s="96"/>
      <c r="AB180" s="96"/>
      <c r="AC180" s="96"/>
      <c r="AD180" s="96"/>
      <c r="AE180" s="96"/>
      <c r="AF180" s="95"/>
      <c r="AG180" s="94">
        <f t="shared" ref="AG180:AG211" si="29">SUM(B180:AF180)</f>
        <v>0</v>
      </c>
    </row>
    <row r="181" spans="1:34" ht="19.5" thickBot="1" x14ac:dyDescent="0.3">
      <c r="A181" s="342" t="s">
        <v>46</v>
      </c>
      <c r="B181" s="280"/>
      <c r="C181" s="92"/>
      <c r="D181" s="92"/>
      <c r="E181" s="92"/>
      <c r="F181" s="92"/>
      <c r="G181" s="92"/>
      <c r="H181" s="92"/>
      <c r="I181" s="92"/>
      <c r="J181" s="92"/>
      <c r="K181" s="92"/>
      <c r="L181" s="92"/>
      <c r="M181" s="92"/>
      <c r="N181" s="92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2"/>
      <c r="AA181" s="92"/>
      <c r="AB181" s="92"/>
      <c r="AC181" s="92"/>
      <c r="AD181" s="92"/>
      <c r="AE181" s="92"/>
      <c r="AF181" s="91"/>
      <c r="AG181" s="90">
        <f t="shared" si="29"/>
        <v>0</v>
      </c>
    </row>
    <row r="182" spans="1:34" ht="19.5" thickBot="1" x14ac:dyDescent="0.3">
      <c r="A182" s="343" t="s">
        <v>45</v>
      </c>
      <c r="B182" s="281">
        <f t="shared" ref="B182:AF182" si="30">SUM(B183:B208)</f>
        <v>50</v>
      </c>
      <c r="C182" s="88">
        <f t="shared" si="30"/>
        <v>52</v>
      </c>
      <c r="D182" s="88">
        <f t="shared" si="30"/>
        <v>61</v>
      </c>
      <c r="E182" s="88">
        <f t="shared" si="30"/>
        <v>31</v>
      </c>
      <c r="F182" s="88">
        <f t="shared" si="30"/>
        <v>37</v>
      </c>
      <c r="G182" s="88">
        <f t="shared" si="30"/>
        <v>46</v>
      </c>
      <c r="H182" s="88">
        <f t="shared" si="30"/>
        <v>56</v>
      </c>
      <c r="I182" s="88">
        <f t="shared" si="30"/>
        <v>63</v>
      </c>
      <c r="J182" s="88">
        <f t="shared" si="30"/>
        <v>50</v>
      </c>
      <c r="K182" s="88">
        <f t="shared" si="30"/>
        <v>34</v>
      </c>
      <c r="L182" s="88">
        <f t="shared" si="30"/>
        <v>22</v>
      </c>
      <c r="M182" s="88">
        <f t="shared" si="30"/>
        <v>28</v>
      </c>
      <c r="N182" s="88">
        <f t="shared" si="30"/>
        <v>56</v>
      </c>
      <c r="O182" s="88">
        <f t="shared" si="30"/>
        <v>41</v>
      </c>
      <c r="P182" s="88">
        <f t="shared" si="30"/>
        <v>47</v>
      </c>
      <c r="Q182" s="88">
        <f t="shared" si="30"/>
        <v>50</v>
      </c>
      <c r="R182" s="88">
        <f t="shared" si="30"/>
        <v>43</v>
      </c>
      <c r="S182" s="88">
        <f t="shared" si="30"/>
        <v>32</v>
      </c>
      <c r="T182" s="88">
        <f t="shared" si="30"/>
        <v>39</v>
      </c>
      <c r="U182" s="88">
        <f t="shared" si="30"/>
        <v>70</v>
      </c>
      <c r="V182" s="88">
        <f t="shared" si="30"/>
        <v>77</v>
      </c>
      <c r="W182" s="88">
        <f t="shared" si="30"/>
        <v>45</v>
      </c>
      <c r="X182" s="88">
        <f t="shared" si="30"/>
        <v>73</v>
      </c>
      <c r="Y182" s="88">
        <f t="shared" si="30"/>
        <v>57</v>
      </c>
      <c r="Z182" s="88">
        <f t="shared" si="30"/>
        <v>59</v>
      </c>
      <c r="AA182" s="88">
        <f t="shared" si="30"/>
        <v>54</v>
      </c>
      <c r="AB182" s="88">
        <f t="shared" si="30"/>
        <v>86</v>
      </c>
      <c r="AC182" s="88">
        <f t="shared" si="30"/>
        <v>67</v>
      </c>
      <c r="AD182" s="88">
        <f t="shared" si="30"/>
        <v>44</v>
      </c>
      <c r="AE182" s="88">
        <f t="shared" si="30"/>
        <v>58</v>
      </c>
      <c r="AF182" s="87">
        <f t="shared" si="30"/>
        <v>0</v>
      </c>
      <c r="AG182" s="86">
        <f t="shared" si="29"/>
        <v>1528</v>
      </c>
      <c r="AH182" s="85"/>
    </row>
    <row r="183" spans="1:34" ht="18.75" x14ac:dyDescent="0.25">
      <c r="A183" s="76" t="s">
        <v>44</v>
      </c>
      <c r="B183" s="282">
        <v>2</v>
      </c>
      <c r="C183" s="84">
        <v>2</v>
      </c>
      <c r="D183" s="84">
        <v>9</v>
      </c>
      <c r="E183" s="84">
        <v>5</v>
      </c>
      <c r="F183" s="84">
        <v>3</v>
      </c>
      <c r="G183" s="84">
        <v>3</v>
      </c>
      <c r="H183" s="84">
        <v>7</v>
      </c>
      <c r="I183" s="84">
        <v>5</v>
      </c>
      <c r="J183" s="84">
        <v>1</v>
      </c>
      <c r="K183" s="84">
        <v>4</v>
      </c>
      <c r="L183" s="84">
        <v>1</v>
      </c>
      <c r="M183" s="84">
        <v>4</v>
      </c>
      <c r="N183" s="83">
        <v>3</v>
      </c>
      <c r="O183" s="83">
        <v>2</v>
      </c>
      <c r="P183" s="83">
        <v>8</v>
      </c>
      <c r="Q183" s="83">
        <v>2</v>
      </c>
      <c r="R183" s="83">
        <v>5</v>
      </c>
      <c r="S183" s="83">
        <v>10</v>
      </c>
      <c r="T183" s="83">
        <v>2</v>
      </c>
      <c r="U183" s="83">
        <v>2</v>
      </c>
      <c r="V183" s="83">
        <v>5</v>
      </c>
      <c r="W183" s="83">
        <v>2</v>
      </c>
      <c r="X183" s="83">
        <v>5</v>
      </c>
      <c r="Y183" s="83">
        <v>4</v>
      </c>
      <c r="Z183" s="83">
        <v>8</v>
      </c>
      <c r="AA183" s="83">
        <v>5</v>
      </c>
      <c r="AB183" s="83">
        <v>2</v>
      </c>
      <c r="AC183" s="83">
        <v>11</v>
      </c>
      <c r="AD183" s="83">
        <v>3</v>
      </c>
      <c r="AE183" s="83"/>
      <c r="AF183" s="82"/>
      <c r="AG183" s="11">
        <f t="shared" si="29"/>
        <v>125</v>
      </c>
    </row>
    <row r="184" spans="1:34" ht="18.75" x14ac:dyDescent="0.25">
      <c r="A184" s="76" t="s">
        <v>43</v>
      </c>
      <c r="B184" s="283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8"/>
      <c r="O184" s="68"/>
      <c r="P184" s="68"/>
      <c r="Q184" s="68">
        <v>1</v>
      </c>
      <c r="R184" s="68"/>
      <c r="S184" s="68"/>
      <c r="T184" s="68"/>
      <c r="U184" s="68"/>
      <c r="V184" s="68"/>
      <c r="W184" s="68"/>
      <c r="X184" s="68">
        <v>1</v>
      </c>
      <c r="Y184" s="68"/>
      <c r="Z184" s="68"/>
      <c r="AA184" s="68"/>
      <c r="AB184" s="68"/>
      <c r="AC184" s="68">
        <v>1</v>
      </c>
      <c r="AD184" s="68"/>
      <c r="AE184" s="68">
        <v>1</v>
      </c>
      <c r="AF184" s="67"/>
      <c r="AG184" s="64">
        <f t="shared" si="29"/>
        <v>4</v>
      </c>
    </row>
    <row r="185" spans="1:34" ht="18.75" x14ac:dyDescent="0.25">
      <c r="A185" s="76" t="s">
        <v>42</v>
      </c>
      <c r="B185" s="283"/>
      <c r="C185" s="69"/>
      <c r="D185" s="69">
        <v>2</v>
      </c>
      <c r="E185" s="69"/>
      <c r="F185" s="69"/>
      <c r="G185" s="69">
        <v>5</v>
      </c>
      <c r="H185" s="69">
        <v>6</v>
      </c>
      <c r="I185" s="69"/>
      <c r="J185" s="69"/>
      <c r="K185" s="69"/>
      <c r="L185" s="69"/>
      <c r="M185" s="69"/>
      <c r="N185" s="68"/>
      <c r="O185" s="68">
        <v>7</v>
      </c>
      <c r="P185" s="68"/>
      <c r="Q185" s="68"/>
      <c r="R185" s="68"/>
      <c r="S185" s="68"/>
      <c r="T185" s="68"/>
      <c r="U185" s="68">
        <v>11</v>
      </c>
      <c r="V185" s="68">
        <v>11</v>
      </c>
      <c r="W185" s="68"/>
      <c r="X185" s="68"/>
      <c r="Y185" s="68">
        <v>1</v>
      </c>
      <c r="Z185" s="68"/>
      <c r="AA185" s="68"/>
      <c r="AB185" s="68">
        <v>13</v>
      </c>
      <c r="AC185" s="68">
        <v>15</v>
      </c>
      <c r="AD185" s="68"/>
      <c r="AE185" s="68">
        <v>1</v>
      </c>
      <c r="AF185" s="67"/>
      <c r="AG185" s="64">
        <f t="shared" si="29"/>
        <v>72</v>
      </c>
    </row>
    <row r="186" spans="1:34" ht="18.75" x14ac:dyDescent="0.25">
      <c r="A186" s="76" t="s">
        <v>41</v>
      </c>
      <c r="B186" s="283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8"/>
      <c r="O186" s="68"/>
      <c r="P186" s="68"/>
      <c r="Q186" s="68">
        <v>1</v>
      </c>
      <c r="R186" s="68"/>
      <c r="S186" s="68"/>
      <c r="T186" s="68"/>
      <c r="U186" s="68"/>
      <c r="V186" s="68"/>
      <c r="W186" s="68"/>
      <c r="X186" s="68"/>
      <c r="Y186" s="68"/>
      <c r="Z186" s="68"/>
      <c r="AA186" s="68"/>
      <c r="AB186" s="68"/>
      <c r="AC186" s="68"/>
      <c r="AD186" s="68"/>
      <c r="AE186" s="68"/>
      <c r="AF186" s="67"/>
      <c r="AG186" s="64">
        <f t="shared" si="29"/>
        <v>1</v>
      </c>
    </row>
    <row r="187" spans="1:34" s="77" customFormat="1" ht="18.75" x14ac:dyDescent="0.25">
      <c r="A187" s="81" t="s">
        <v>40</v>
      </c>
      <c r="B187" s="284">
        <v>46</v>
      </c>
      <c r="C187" s="80">
        <v>40</v>
      </c>
      <c r="D187" s="80">
        <v>45</v>
      </c>
      <c r="E187" s="80">
        <v>22</v>
      </c>
      <c r="F187" s="80">
        <v>33</v>
      </c>
      <c r="G187" s="80">
        <v>36</v>
      </c>
      <c r="H187" s="80">
        <v>43</v>
      </c>
      <c r="I187" s="80">
        <v>58</v>
      </c>
      <c r="J187" s="80">
        <v>33</v>
      </c>
      <c r="K187" s="80">
        <v>27</v>
      </c>
      <c r="L187" s="80">
        <v>21</v>
      </c>
      <c r="M187" s="80">
        <v>24</v>
      </c>
      <c r="N187" s="79">
        <v>52</v>
      </c>
      <c r="O187" s="79">
        <v>32</v>
      </c>
      <c r="P187" s="79">
        <v>36</v>
      </c>
      <c r="Q187" s="79">
        <v>39</v>
      </c>
      <c r="R187" s="79">
        <v>35</v>
      </c>
      <c r="S187" s="79">
        <v>21</v>
      </c>
      <c r="T187" s="79">
        <v>37</v>
      </c>
      <c r="U187" s="79">
        <v>56</v>
      </c>
      <c r="V187" s="79">
        <v>57</v>
      </c>
      <c r="W187" s="79">
        <v>42</v>
      </c>
      <c r="X187" s="79">
        <v>54</v>
      </c>
      <c r="Y187" s="79">
        <v>46</v>
      </c>
      <c r="Z187" s="79">
        <v>45</v>
      </c>
      <c r="AA187" s="79">
        <v>47</v>
      </c>
      <c r="AB187" s="79">
        <v>67</v>
      </c>
      <c r="AC187" s="79">
        <v>37</v>
      </c>
      <c r="AD187" s="79">
        <v>39</v>
      </c>
      <c r="AE187" s="79">
        <v>48</v>
      </c>
      <c r="AF187" s="78"/>
      <c r="AG187" s="21">
        <f t="shared" si="29"/>
        <v>1218</v>
      </c>
    </row>
    <row r="188" spans="1:34" ht="18.75" x14ac:dyDescent="0.25">
      <c r="A188" s="76" t="s">
        <v>39</v>
      </c>
      <c r="B188" s="283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  <c r="AA188" s="68"/>
      <c r="AB188" s="68"/>
      <c r="AC188" s="68"/>
      <c r="AD188" s="68"/>
      <c r="AE188" s="68">
        <v>1</v>
      </c>
      <c r="AF188" s="67"/>
      <c r="AG188" s="64">
        <f t="shared" si="29"/>
        <v>1</v>
      </c>
    </row>
    <row r="189" spans="1:34" ht="18.75" x14ac:dyDescent="0.25">
      <c r="A189" s="76" t="s">
        <v>38</v>
      </c>
      <c r="B189" s="283"/>
      <c r="C189" s="69"/>
      <c r="D189" s="69"/>
      <c r="E189" s="69"/>
      <c r="F189" s="69"/>
      <c r="G189" s="69"/>
      <c r="H189" s="69"/>
      <c r="I189" s="69"/>
      <c r="J189" s="69">
        <v>1</v>
      </c>
      <c r="K189" s="69"/>
      <c r="L189" s="69"/>
      <c r="M189" s="69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>
        <v>4</v>
      </c>
      <c r="Y189" s="68"/>
      <c r="Z189" s="68"/>
      <c r="AA189" s="68"/>
      <c r="AB189" s="68"/>
      <c r="AC189" s="68"/>
      <c r="AD189" s="68"/>
      <c r="AE189" s="68"/>
      <c r="AF189" s="67"/>
      <c r="AG189" s="64">
        <f t="shared" si="29"/>
        <v>5</v>
      </c>
    </row>
    <row r="190" spans="1:34" ht="18.75" x14ac:dyDescent="0.25">
      <c r="A190" s="76" t="s">
        <v>37</v>
      </c>
      <c r="B190" s="283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  <c r="AA190" s="68"/>
      <c r="AB190" s="68"/>
      <c r="AC190" s="68"/>
      <c r="AD190" s="68"/>
      <c r="AE190" s="68"/>
      <c r="AF190" s="67"/>
      <c r="AG190" s="64">
        <f t="shared" si="29"/>
        <v>0</v>
      </c>
    </row>
    <row r="191" spans="1:34" ht="18.75" x14ac:dyDescent="0.25">
      <c r="A191" s="76" t="s">
        <v>36</v>
      </c>
      <c r="B191" s="283"/>
      <c r="C191" s="69">
        <v>7</v>
      </c>
      <c r="D191" s="69"/>
      <c r="E191" s="69"/>
      <c r="F191" s="69"/>
      <c r="G191" s="69"/>
      <c r="H191" s="69"/>
      <c r="I191" s="69"/>
      <c r="J191" s="69">
        <v>11</v>
      </c>
      <c r="K191" s="69">
        <v>2</v>
      </c>
      <c r="L191" s="69"/>
      <c r="M191" s="69"/>
      <c r="N191" s="68"/>
      <c r="O191" s="68"/>
      <c r="P191" s="68"/>
      <c r="Q191" s="68">
        <v>5</v>
      </c>
      <c r="R191" s="68"/>
      <c r="S191" s="68"/>
      <c r="T191" s="68"/>
      <c r="U191" s="68">
        <v>1</v>
      </c>
      <c r="V191" s="68"/>
      <c r="W191" s="68"/>
      <c r="X191" s="68">
        <v>9</v>
      </c>
      <c r="Y191" s="68">
        <v>1</v>
      </c>
      <c r="Z191" s="68"/>
      <c r="AA191" s="68"/>
      <c r="AB191" s="68"/>
      <c r="AC191" s="68"/>
      <c r="AD191" s="68"/>
      <c r="AE191" s="68">
        <v>6</v>
      </c>
      <c r="AF191" s="67"/>
      <c r="AG191" s="64">
        <f t="shared" si="29"/>
        <v>42</v>
      </c>
    </row>
    <row r="192" spans="1:34" ht="18.75" x14ac:dyDescent="0.25">
      <c r="A192" s="66" t="s">
        <v>35</v>
      </c>
      <c r="B192" s="283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8"/>
      <c r="O192" s="68"/>
      <c r="P192" s="68"/>
      <c r="Q192" s="68"/>
      <c r="R192" s="68"/>
      <c r="S192" s="68"/>
      <c r="T192" s="68"/>
      <c r="U192" s="68"/>
      <c r="V192" s="68"/>
      <c r="W192" s="68">
        <v>1</v>
      </c>
      <c r="X192" s="68"/>
      <c r="Y192" s="68"/>
      <c r="Z192" s="68"/>
      <c r="AA192" s="68"/>
      <c r="AB192" s="68"/>
      <c r="AC192" s="68"/>
      <c r="AD192" s="68"/>
      <c r="AE192" s="68"/>
      <c r="AF192" s="67"/>
      <c r="AG192" s="64">
        <f t="shared" si="29"/>
        <v>1</v>
      </c>
    </row>
    <row r="193" spans="1:33" ht="18.75" x14ac:dyDescent="0.25">
      <c r="A193" s="66" t="s">
        <v>34</v>
      </c>
      <c r="B193" s="283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  <c r="AA193" s="68"/>
      <c r="AB193" s="68"/>
      <c r="AC193" s="68"/>
      <c r="AD193" s="68"/>
      <c r="AE193" s="68"/>
      <c r="AF193" s="67"/>
      <c r="AG193" s="64">
        <f t="shared" si="29"/>
        <v>0</v>
      </c>
    </row>
    <row r="194" spans="1:33" ht="18.75" x14ac:dyDescent="0.25">
      <c r="A194" s="66" t="s">
        <v>33</v>
      </c>
      <c r="B194" s="283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  <c r="AA194" s="68"/>
      <c r="AB194" s="68"/>
      <c r="AC194" s="68"/>
      <c r="AD194" s="68"/>
      <c r="AE194" s="68"/>
      <c r="AF194" s="67"/>
      <c r="AG194" s="64">
        <f t="shared" si="29"/>
        <v>0</v>
      </c>
    </row>
    <row r="195" spans="1:33" ht="18.75" x14ac:dyDescent="0.25">
      <c r="A195" s="66" t="s">
        <v>32</v>
      </c>
      <c r="B195" s="283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  <c r="AA195" s="68"/>
      <c r="AB195" s="68"/>
      <c r="AC195" s="68"/>
      <c r="AD195" s="68"/>
      <c r="AE195" s="68"/>
      <c r="AF195" s="67"/>
      <c r="AG195" s="64">
        <f t="shared" si="29"/>
        <v>0</v>
      </c>
    </row>
    <row r="196" spans="1:33" ht="18.75" x14ac:dyDescent="0.25">
      <c r="A196" s="75" t="s">
        <v>31</v>
      </c>
      <c r="B196" s="285"/>
      <c r="C196" s="74">
        <v>1</v>
      </c>
      <c r="D196" s="74">
        <v>2</v>
      </c>
      <c r="E196" s="74">
        <v>3</v>
      </c>
      <c r="F196" s="74">
        <v>1</v>
      </c>
      <c r="G196" s="74">
        <v>1</v>
      </c>
      <c r="H196" s="74"/>
      <c r="I196" s="74"/>
      <c r="J196" s="74">
        <v>3</v>
      </c>
      <c r="K196" s="74">
        <v>1</v>
      </c>
      <c r="L196" s="74"/>
      <c r="M196" s="74"/>
      <c r="N196" s="73"/>
      <c r="O196" s="73"/>
      <c r="P196" s="73">
        <v>3</v>
      </c>
      <c r="Q196" s="73">
        <v>1</v>
      </c>
      <c r="R196" s="73">
        <v>1</v>
      </c>
      <c r="S196" s="73"/>
      <c r="T196" s="73"/>
      <c r="U196" s="73"/>
      <c r="V196" s="73"/>
      <c r="W196" s="73"/>
      <c r="X196" s="73"/>
      <c r="Y196" s="73">
        <v>3</v>
      </c>
      <c r="Z196" s="73">
        <v>6</v>
      </c>
      <c r="AA196" s="73">
        <v>2</v>
      </c>
      <c r="AB196" s="73">
        <v>2</v>
      </c>
      <c r="AC196" s="73"/>
      <c r="AD196" s="73"/>
      <c r="AE196" s="73"/>
      <c r="AF196" s="72"/>
      <c r="AG196" s="71">
        <f t="shared" si="29"/>
        <v>30</v>
      </c>
    </row>
    <row r="197" spans="1:33" ht="18.75" x14ac:dyDescent="0.25">
      <c r="A197" s="70" t="s">
        <v>30</v>
      </c>
      <c r="B197" s="283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  <c r="AA197" s="68"/>
      <c r="AB197" s="68"/>
      <c r="AC197" s="68"/>
      <c r="AD197" s="68"/>
      <c r="AE197" s="68"/>
      <c r="AF197" s="67"/>
      <c r="AG197" s="64">
        <f t="shared" si="29"/>
        <v>0</v>
      </c>
    </row>
    <row r="198" spans="1:33" ht="18.75" x14ac:dyDescent="0.25">
      <c r="A198" s="70" t="s">
        <v>29</v>
      </c>
      <c r="B198" s="283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  <c r="AA198" s="68"/>
      <c r="AB198" s="68"/>
      <c r="AC198" s="68"/>
      <c r="AD198" s="68"/>
      <c r="AE198" s="68"/>
      <c r="AF198" s="67"/>
      <c r="AG198" s="64">
        <f t="shared" si="29"/>
        <v>0</v>
      </c>
    </row>
    <row r="199" spans="1:33" ht="18.75" x14ac:dyDescent="0.25">
      <c r="A199" s="70" t="s">
        <v>28</v>
      </c>
      <c r="B199" s="283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  <c r="AA199" s="68"/>
      <c r="AB199" s="68"/>
      <c r="AC199" s="68"/>
      <c r="AD199" s="68"/>
      <c r="AE199" s="68"/>
      <c r="AF199" s="67"/>
      <c r="AG199" s="64">
        <f t="shared" si="29"/>
        <v>0</v>
      </c>
    </row>
    <row r="200" spans="1:33" ht="18.75" x14ac:dyDescent="0.25">
      <c r="A200" s="70" t="s">
        <v>27</v>
      </c>
      <c r="B200" s="283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  <c r="AA200" s="68"/>
      <c r="AB200" s="68"/>
      <c r="AC200" s="68"/>
      <c r="AD200" s="68"/>
      <c r="AE200" s="68"/>
      <c r="AF200" s="67"/>
      <c r="AG200" s="64">
        <f t="shared" si="29"/>
        <v>0</v>
      </c>
    </row>
    <row r="201" spans="1:33" ht="18.75" x14ac:dyDescent="0.25">
      <c r="A201" s="70" t="s">
        <v>26</v>
      </c>
      <c r="B201" s="283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  <c r="AA201" s="68"/>
      <c r="AB201" s="68"/>
      <c r="AC201" s="68"/>
      <c r="AD201" s="68"/>
      <c r="AE201" s="68"/>
      <c r="AF201" s="67"/>
      <c r="AG201" s="64">
        <f t="shared" si="29"/>
        <v>0</v>
      </c>
    </row>
    <row r="202" spans="1:33" ht="18.75" x14ac:dyDescent="0.25">
      <c r="A202" s="70" t="s">
        <v>25</v>
      </c>
      <c r="B202" s="283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  <c r="AA202" s="68"/>
      <c r="AB202" s="68"/>
      <c r="AC202" s="68"/>
      <c r="AD202" s="68"/>
      <c r="AE202" s="68"/>
      <c r="AF202" s="67"/>
      <c r="AG202" s="64">
        <f t="shared" si="29"/>
        <v>0</v>
      </c>
    </row>
    <row r="203" spans="1:33" ht="18.75" x14ac:dyDescent="0.25">
      <c r="A203" s="66" t="s">
        <v>24</v>
      </c>
      <c r="B203" s="283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8"/>
      <c r="O203" s="68"/>
      <c r="P203" s="68"/>
      <c r="Q203" s="68"/>
      <c r="R203" s="68"/>
      <c r="S203" s="68"/>
      <c r="T203" s="68"/>
      <c r="U203" s="68"/>
      <c r="V203" s="68">
        <v>4</v>
      </c>
      <c r="W203" s="68"/>
      <c r="X203" s="68"/>
      <c r="Y203" s="68"/>
      <c r="Z203" s="68"/>
      <c r="AA203" s="68"/>
      <c r="AB203" s="68"/>
      <c r="AC203" s="68"/>
      <c r="AD203" s="68"/>
      <c r="AE203" s="68">
        <v>1</v>
      </c>
      <c r="AF203" s="67"/>
      <c r="AG203" s="64">
        <f t="shared" si="29"/>
        <v>5</v>
      </c>
    </row>
    <row r="204" spans="1:33" ht="18.75" x14ac:dyDescent="0.25">
      <c r="A204" s="66" t="s">
        <v>23</v>
      </c>
      <c r="B204" s="283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  <c r="AA204" s="68"/>
      <c r="AB204" s="68"/>
      <c r="AC204" s="68"/>
      <c r="AD204" s="68"/>
      <c r="AE204" s="68"/>
      <c r="AF204" s="67"/>
      <c r="AG204" s="64">
        <f t="shared" si="29"/>
        <v>0</v>
      </c>
    </row>
    <row r="205" spans="1:33" ht="18.75" x14ac:dyDescent="0.25">
      <c r="A205" s="66" t="s">
        <v>22</v>
      </c>
      <c r="B205" s="283">
        <v>1</v>
      </c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8"/>
      <c r="O205" s="68"/>
      <c r="P205" s="68"/>
      <c r="Q205" s="68"/>
      <c r="R205" s="68"/>
      <c r="S205" s="68">
        <v>1</v>
      </c>
      <c r="T205" s="68"/>
      <c r="U205" s="68"/>
      <c r="V205" s="68"/>
      <c r="W205" s="68"/>
      <c r="X205" s="68"/>
      <c r="Y205" s="68">
        <v>1</v>
      </c>
      <c r="Z205" s="68"/>
      <c r="AA205" s="68"/>
      <c r="AB205" s="68"/>
      <c r="AC205" s="68"/>
      <c r="AD205" s="68"/>
      <c r="AE205" s="68"/>
      <c r="AF205" s="67"/>
      <c r="AG205" s="64">
        <f t="shared" si="29"/>
        <v>3</v>
      </c>
    </row>
    <row r="206" spans="1:33" ht="18.75" x14ac:dyDescent="0.25">
      <c r="A206" s="66" t="s">
        <v>21</v>
      </c>
      <c r="B206" s="286">
        <v>1</v>
      </c>
      <c r="C206" s="62">
        <v>1</v>
      </c>
      <c r="D206" s="62">
        <v>2</v>
      </c>
      <c r="E206" s="62">
        <v>1</v>
      </c>
      <c r="F206" s="62"/>
      <c r="G206" s="62"/>
      <c r="H206" s="62"/>
      <c r="I206" s="62"/>
      <c r="J206" s="62">
        <v>1</v>
      </c>
      <c r="K206" s="62"/>
      <c r="L206" s="62"/>
      <c r="M206" s="62"/>
      <c r="N206" s="61">
        <v>1</v>
      </c>
      <c r="O206" s="61"/>
      <c r="P206" s="61"/>
      <c r="Q206" s="61">
        <v>1</v>
      </c>
      <c r="R206" s="61">
        <v>2</v>
      </c>
      <c r="S206" s="61"/>
      <c r="T206" s="61"/>
      <c r="U206" s="61"/>
      <c r="V206" s="61"/>
      <c r="W206" s="61"/>
      <c r="X206" s="61"/>
      <c r="Y206" s="61">
        <v>1</v>
      </c>
      <c r="Z206" s="61"/>
      <c r="AA206" s="61"/>
      <c r="AB206" s="61">
        <v>1</v>
      </c>
      <c r="AC206" s="61">
        <v>2</v>
      </c>
      <c r="AD206" s="61">
        <v>1</v>
      </c>
      <c r="AE206" s="61"/>
      <c r="AF206" s="60"/>
      <c r="AG206" s="64">
        <f t="shared" si="29"/>
        <v>15</v>
      </c>
    </row>
    <row r="207" spans="1:33" ht="18.75" x14ac:dyDescent="0.25">
      <c r="A207" s="65" t="s">
        <v>20</v>
      </c>
      <c r="B207" s="286"/>
      <c r="C207" s="62">
        <v>1</v>
      </c>
      <c r="D207" s="62">
        <v>1</v>
      </c>
      <c r="E207" s="62"/>
      <c r="F207" s="62"/>
      <c r="G207" s="62">
        <v>1</v>
      </c>
      <c r="H207" s="62"/>
      <c r="I207" s="62"/>
      <c r="J207" s="62"/>
      <c r="K207" s="62"/>
      <c r="L207" s="62"/>
      <c r="M207" s="62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  <c r="AB207" s="61"/>
      <c r="AC207" s="61"/>
      <c r="AD207" s="61">
        <v>1</v>
      </c>
      <c r="AE207" s="61"/>
      <c r="AF207" s="60"/>
      <c r="AG207" s="64">
        <f t="shared" si="29"/>
        <v>4</v>
      </c>
    </row>
    <row r="208" spans="1:33" ht="19.5" thickBot="1" x14ac:dyDescent="0.3">
      <c r="A208" s="63" t="s">
        <v>19</v>
      </c>
      <c r="B208" s="286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  <c r="AA208" s="61"/>
      <c r="AB208" s="61">
        <v>1</v>
      </c>
      <c r="AC208" s="61">
        <v>1</v>
      </c>
      <c r="AD208" s="61"/>
      <c r="AE208" s="61"/>
      <c r="AF208" s="60"/>
      <c r="AG208" s="10">
        <f t="shared" si="29"/>
        <v>2</v>
      </c>
    </row>
    <row r="209" spans="1:34" ht="19.5" thickBot="1" x14ac:dyDescent="0.3">
      <c r="A209" s="59" t="s">
        <v>18</v>
      </c>
      <c r="B209" s="287">
        <f t="shared" ref="B209:AF209" si="31">SUM(B210:B214)</f>
        <v>129</v>
      </c>
      <c r="C209" s="57">
        <f t="shared" si="31"/>
        <v>118</v>
      </c>
      <c r="D209" s="57">
        <f t="shared" si="31"/>
        <v>125</v>
      </c>
      <c r="E209" s="57">
        <f t="shared" si="31"/>
        <v>140</v>
      </c>
      <c r="F209" s="57">
        <f t="shared" si="31"/>
        <v>122</v>
      </c>
      <c r="G209" s="57">
        <f t="shared" si="31"/>
        <v>125</v>
      </c>
      <c r="H209" s="57">
        <f t="shared" si="31"/>
        <v>129</v>
      </c>
      <c r="I209" s="57">
        <f t="shared" si="31"/>
        <v>140</v>
      </c>
      <c r="J209" s="57">
        <f t="shared" si="31"/>
        <v>93</v>
      </c>
      <c r="K209" s="57">
        <f t="shared" si="31"/>
        <v>103</v>
      </c>
      <c r="L209" s="57">
        <f t="shared" si="31"/>
        <v>72</v>
      </c>
      <c r="M209" s="57">
        <f t="shared" si="31"/>
        <v>111</v>
      </c>
      <c r="N209" s="56">
        <f t="shared" si="31"/>
        <v>144</v>
      </c>
      <c r="O209" s="56">
        <f t="shared" si="31"/>
        <v>106</v>
      </c>
      <c r="P209" s="56">
        <f t="shared" si="31"/>
        <v>123</v>
      </c>
      <c r="Q209" s="56">
        <f t="shared" si="31"/>
        <v>108</v>
      </c>
      <c r="R209" s="56">
        <f t="shared" si="31"/>
        <v>151</v>
      </c>
      <c r="S209" s="56">
        <f t="shared" si="31"/>
        <v>109</v>
      </c>
      <c r="T209" s="56">
        <f t="shared" si="31"/>
        <v>119</v>
      </c>
      <c r="U209" s="56">
        <f t="shared" si="31"/>
        <v>156</v>
      </c>
      <c r="V209" s="56">
        <f t="shared" si="31"/>
        <v>155</v>
      </c>
      <c r="W209" s="56">
        <f t="shared" si="31"/>
        <v>127</v>
      </c>
      <c r="X209" s="56">
        <f t="shared" si="31"/>
        <v>131</v>
      </c>
      <c r="Y209" s="56">
        <f t="shared" si="31"/>
        <v>131</v>
      </c>
      <c r="Z209" s="56">
        <f t="shared" si="31"/>
        <v>177</v>
      </c>
      <c r="AA209" s="56">
        <f t="shared" si="31"/>
        <v>161</v>
      </c>
      <c r="AB209" s="56">
        <f t="shared" si="31"/>
        <v>160</v>
      </c>
      <c r="AC209" s="56">
        <f t="shared" si="31"/>
        <v>144</v>
      </c>
      <c r="AD209" s="56">
        <f t="shared" si="31"/>
        <v>117</v>
      </c>
      <c r="AE209" s="56">
        <f t="shared" si="31"/>
        <v>119</v>
      </c>
      <c r="AF209" s="55">
        <f t="shared" si="31"/>
        <v>0</v>
      </c>
      <c r="AG209" s="54">
        <f t="shared" si="29"/>
        <v>3845</v>
      </c>
      <c r="AH209" s="53" t="str">
        <f>IF(AG209&lt;&gt;AG93,"X","")</f>
        <v/>
      </c>
    </row>
    <row r="210" spans="1:34" ht="18.75" x14ac:dyDescent="0.25">
      <c r="A210" s="344" t="s">
        <v>17</v>
      </c>
      <c r="B210" s="288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0"/>
      <c r="AB210" s="50"/>
      <c r="AC210" s="50"/>
      <c r="AD210" s="50"/>
      <c r="AE210" s="50"/>
      <c r="AF210" s="49"/>
      <c r="AG210" s="48">
        <f t="shared" si="29"/>
        <v>0</v>
      </c>
    </row>
    <row r="211" spans="1:34" ht="18.75" x14ac:dyDescent="0.25">
      <c r="A211" s="345" t="s">
        <v>16</v>
      </c>
      <c r="B211" s="289">
        <v>1</v>
      </c>
      <c r="C211" s="46"/>
      <c r="D211" s="46">
        <v>1</v>
      </c>
      <c r="E211" s="46">
        <v>1</v>
      </c>
      <c r="F211" s="46"/>
      <c r="G211" s="46">
        <v>2</v>
      </c>
      <c r="H211" s="46">
        <v>2</v>
      </c>
      <c r="I211" s="46">
        <v>1</v>
      </c>
      <c r="J211" s="46"/>
      <c r="K211" s="46"/>
      <c r="L211" s="46">
        <v>1</v>
      </c>
      <c r="M211" s="46"/>
      <c r="N211" s="45">
        <v>1</v>
      </c>
      <c r="O211" s="45">
        <v>1</v>
      </c>
      <c r="P211" s="45">
        <v>1</v>
      </c>
      <c r="Q211" s="45">
        <v>1</v>
      </c>
      <c r="R211" s="45"/>
      <c r="S211" s="45"/>
      <c r="T211" s="45">
        <v>1</v>
      </c>
      <c r="U211" s="45"/>
      <c r="V211" s="45">
        <v>1</v>
      </c>
      <c r="W211" s="45"/>
      <c r="X211" s="45"/>
      <c r="Y211" s="45">
        <v>3</v>
      </c>
      <c r="Z211" s="45"/>
      <c r="AA211" s="45">
        <v>2</v>
      </c>
      <c r="AB211" s="45">
        <v>1</v>
      </c>
      <c r="AC211" s="45">
        <v>1</v>
      </c>
      <c r="AD211" s="45"/>
      <c r="AE211" s="45"/>
      <c r="AF211" s="44"/>
      <c r="AG211" s="43">
        <f t="shared" si="29"/>
        <v>22</v>
      </c>
    </row>
    <row r="212" spans="1:34" ht="18.75" x14ac:dyDescent="0.25">
      <c r="A212" s="345" t="s">
        <v>15</v>
      </c>
      <c r="B212" s="289">
        <v>14</v>
      </c>
      <c r="C212" s="46">
        <v>6</v>
      </c>
      <c r="D212" s="46">
        <v>17</v>
      </c>
      <c r="E212" s="46">
        <v>18</v>
      </c>
      <c r="F212" s="46">
        <v>11</v>
      </c>
      <c r="G212" s="46">
        <v>10</v>
      </c>
      <c r="H212" s="46">
        <v>12</v>
      </c>
      <c r="I212" s="46">
        <v>9</v>
      </c>
      <c r="J212" s="46">
        <v>9</v>
      </c>
      <c r="K212" s="46">
        <v>13</v>
      </c>
      <c r="L212" s="46">
        <v>6</v>
      </c>
      <c r="M212" s="46">
        <v>6</v>
      </c>
      <c r="N212" s="45">
        <v>13</v>
      </c>
      <c r="O212" s="45">
        <v>5</v>
      </c>
      <c r="P212" s="45">
        <v>21</v>
      </c>
      <c r="Q212" s="45">
        <v>5</v>
      </c>
      <c r="R212" s="45">
        <v>16</v>
      </c>
      <c r="S212" s="45">
        <v>15</v>
      </c>
      <c r="T212" s="45">
        <v>7</v>
      </c>
      <c r="U212" s="45">
        <v>11</v>
      </c>
      <c r="V212" s="45">
        <v>10</v>
      </c>
      <c r="W212" s="45">
        <v>1</v>
      </c>
      <c r="X212" s="45">
        <v>13</v>
      </c>
      <c r="Y212" s="45">
        <v>14</v>
      </c>
      <c r="Z212" s="45">
        <v>19</v>
      </c>
      <c r="AA212" s="45">
        <v>15</v>
      </c>
      <c r="AB212" s="45">
        <v>11</v>
      </c>
      <c r="AC212" s="45">
        <v>21</v>
      </c>
      <c r="AD212" s="45">
        <v>12</v>
      </c>
      <c r="AE212" s="45">
        <v>5</v>
      </c>
      <c r="AF212" s="44"/>
      <c r="AG212" s="43">
        <f t="shared" ref="AG212:AG223" si="32">SUM(B212:AF212)</f>
        <v>345</v>
      </c>
    </row>
    <row r="213" spans="1:34" ht="18.75" x14ac:dyDescent="0.25">
      <c r="A213" s="345" t="s">
        <v>14</v>
      </c>
      <c r="B213" s="289">
        <v>91</v>
      </c>
      <c r="C213" s="46">
        <v>87</v>
      </c>
      <c r="D213" s="46">
        <v>88</v>
      </c>
      <c r="E213" s="46">
        <v>95</v>
      </c>
      <c r="F213" s="46">
        <v>94</v>
      </c>
      <c r="G213" s="46">
        <v>107</v>
      </c>
      <c r="H213" s="46">
        <v>95</v>
      </c>
      <c r="I213" s="46">
        <v>108</v>
      </c>
      <c r="J213" s="46">
        <v>63</v>
      </c>
      <c r="K213" s="46">
        <v>66</v>
      </c>
      <c r="L213" s="46">
        <v>52</v>
      </c>
      <c r="M213" s="46">
        <v>84</v>
      </c>
      <c r="N213" s="45">
        <v>106</v>
      </c>
      <c r="O213" s="45">
        <v>79</v>
      </c>
      <c r="P213" s="45">
        <v>73</v>
      </c>
      <c r="Q213" s="45">
        <v>84</v>
      </c>
      <c r="R213" s="45">
        <v>99</v>
      </c>
      <c r="S213" s="45">
        <v>60</v>
      </c>
      <c r="T213" s="45">
        <v>88</v>
      </c>
      <c r="U213" s="45">
        <v>124</v>
      </c>
      <c r="V213" s="45">
        <v>105</v>
      </c>
      <c r="W213" s="45">
        <v>108</v>
      </c>
      <c r="X213" s="45">
        <v>90</v>
      </c>
      <c r="Y213" s="45">
        <v>88</v>
      </c>
      <c r="Z213" s="45">
        <v>108</v>
      </c>
      <c r="AA213" s="45">
        <v>101</v>
      </c>
      <c r="AB213" s="45">
        <v>136</v>
      </c>
      <c r="AC213" s="45">
        <v>100</v>
      </c>
      <c r="AD213" s="45">
        <v>78</v>
      </c>
      <c r="AE213" s="45">
        <v>87</v>
      </c>
      <c r="AF213" s="44"/>
      <c r="AG213" s="43">
        <f t="shared" si="32"/>
        <v>2744</v>
      </c>
    </row>
    <row r="214" spans="1:34" ht="19.5" thickBot="1" x14ac:dyDescent="0.3">
      <c r="A214" s="346" t="s">
        <v>13</v>
      </c>
      <c r="B214" s="290">
        <v>23</v>
      </c>
      <c r="C214" s="41">
        <v>25</v>
      </c>
      <c r="D214" s="41">
        <v>19</v>
      </c>
      <c r="E214" s="41">
        <v>26</v>
      </c>
      <c r="F214" s="41">
        <v>17</v>
      </c>
      <c r="G214" s="41">
        <v>6</v>
      </c>
      <c r="H214" s="41">
        <v>20</v>
      </c>
      <c r="I214" s="41">
        <v>22</v>
      </c>
      <c r="J214" s="41">
        <v>21</v>
      </c>
      <c r="K214" s="41">
        <v>24</v>
      </c>
      <c r="L214" s="41">
        <v>13</v>
      </c>
      <c r="M214" s="41">
        <v>21</v>
      </c>
      <c r="N214" s="40">
        <v>24</v>
      </c>
      <c r="O214" s="40">
        <v>21</v>
      </c>
      <c r="P214" s="40">
        <v>28</v>
      </c>
      <c r="Q214" s="40">
        <v>18</v>
      </c>
      <c r="R214" s="40">
        <v>36</v>
      </c>
      <c r="S214" s="40">
        <v>34</v>
      </c>
      <c r="T214" s="40">
        <v>23</v>
      </c>
      <c r="U214" s="40">
        <v>21</v>
      </c>
      <c r="V214" s="40">
        <v>39</v>
      </c>
      <c r="W214" s="40">
        <v>18</v>
      </c>
      <c r="X214" s="40">
        <v>28</v>
      </c>
      <c r="Y214" s="40">
        <v>26</v>
      </c>
      <c r="Z214" s="40">
        <v>50</v>
      </c>
      <c r="AA214" s="40">
        <v>43</v>
      </c>
      <c r="AB214" s="40">
        <v>12</v>
      </c>
      <c r="AC214" s="40">
        <v>22</v>
      </c>
      <c r="AD214" s="40">
        <v>27</v>
      </c>
      <c r="AE214" s="40">
        <v>27</v>
      </c>
      <c r="AF214" s="39"/>
      <c r="AG214" s="38">
        <f t="shared" si="32"/>
        <v>734</v>
      </c>
    </row>
    <row r="215" spans="1:34" ht="19.5" thickBot="1" x14ac:dyDescent="0.3">
      <c r="A215" s="333" t="s">
        <v>12</v>
      </c>
      <c r="B215" s="291">
        <f t="shared" ref="B215:AF215" si="33">SUM(B216:B219)</f>
        <v>33</v>
      </c>
      <c r="C215" s="36">
        <f t="shared" si="33"/>
        <v>29</v>
      </c>
      <c r="D215" s="36">
        <f t="shared" si="33"/>
        <v>24</v>
      </c>
      <c r="E215" s="36">
        <f t="shared" si="33"/>
        <v>18</v>
      </c>
      <c r="F215" s="36">
        <f t="shared" si="33"/>
        <v>26</v>
      </c>
      <c r="G215" s="36">
        <f t="shared" si="33"/>
        <v>32</v>
      </c>
      <c r="H215" s="36">
        <f t="shared" si="33"/>
        <v>45</v>
      </c>
      <c r="I215" s="36">
        <f t="shared" si="33"/>
        <v>48</v>
      </c>
      <c r="J215" s="36">
        <f t="shared" si="33"/>
        <v>19</v>
      </c>
      <c r="K215" s="36">
        <f t="shared" si="33"/>
        <v>20</v>
      </c>
      <c r="L215" s="36">
        <f t="shared" si="33"/>
        <v>18</v>
      </c>
      <c r="M215" s="36">
        <f t="shared" si="33"/>
        <v>17</v>
      </c>
      <c r="N215" s="35">
        <f t="shared" si="33"/>
        <v>31</v>
      </c>
      <c r="O215" s="35">
        <f t="shared" si="33"/>
        <v>34</v>
      </c>
      <c r="P215" s="35">
        <f t="shared" si="33"/>
        <v>26</v>
      </c>
      <c r="Q215" s="35">
        <f t="shared" si="33"/>
        <v>30</v>
      </c>
      <c r="R215" s="35">
        <f t="shared" si="33"/>
        <v>36</v>
      </c>
      <c r="S215" s="35">
        <f t="shared" si="33"/>
        <v>23</v>
      </c>
      <c r="T215" s="35">
        <f t="shared" si="33"/>
        <v>23</v>
      </c>
      <c r="U215" s="35">
        <f t="shared" si="33"/>
        <v>41</v>
      </c>
      <c r="V215" s="35">
        <f t="shared" si="33"/>
        <v>49</v>
      </c>
      <c r="W215" s="35">
        <f t="shared" si="33"/>
        <v>37</v>
      </c>
      <c r="X215" s="35">
        <f t="shared" si="33"/>
        <v>55</v>
      </c>
      <c r="Y215" s="35">
        <f t="shared" si="33"/>
        <v>45</v>
      </c>
      <c r="Z215" s="35">
        <f t="shared" si="33"/>
        <v>39</v>
      </c>
      <c r="AA215" s="35">
        <f t="shared" si="33"/>
        <v>37</v>
      </c>
      <c r="AB215" s="35">
        <f t="shared" si="33"/>
        <v>44</v>
      </c>
      <c r="AC215" s="35">
        <f t="shared" si="33"/>
        <v>41</v>
      </c>
      <c r="AD215" s="35">
        <f t="shared" si="33"/>
        <v>37</v>
      </c>
      <c r="AE215" s="35">
        <f t="shared" si="33"/>
        <v>36</v>
      </c>
      <c r="AF215" s="34">
        <f t="shared" si="33"/>
        <v>0</v>
      </c>
      <c r="AG215" s="33">
        <f t="shared" si="32"/>
        <v>993</v>
      </c>
    </row>
    <row r="216" spans="1:34" ht="18.75" x14ac:dyDescent="0.25">
      <c r="A216" s="81" t="s">
        <v>7</v>
      </c>
      <c r="B216" s="292">
        <v>1</v>
      </c>
      <c r="C216" s="31">
        <v>1</v>
      </c>
      <c r="D216" s="31">
        <v>1</v>
      </c>
      <c r="E216" s="31">
        <v>0</v>
      </c>
      <c r="F216" s="31">
        <v>0</v>
      </c>
      <c r="G216" s="31">
        <v>0</v>
      </c>
      <c r="H216" s="31">
        <v>0</v>
      </c>
      <c r="I216" s="31">
        <v>0</v>
      </c>
      <c r="J216" s="31">
        <v>0</v>
      </c>
      <c r="K216" s="31">
        <v>0</v>
      </c>
      <c r="L216" s="31">
        <v>0</v>
      </c>
      <c r="M216" s="31">
        <v>1</v>
      </c>
      <c r="N216" s="30">
        <v>0</v>
      </c>
      <c r="O216" s="30">
        <v>2</v>
      </c>
      <c r="P216" s="30">
        <v>0</v>
      </c>
      <c r="Q216" s="30">
        <v>0</v>
      </c>
      <c r="R216" s="30">
        <v>1</v>
      </c>
      <c r="S216" s="30">
        <v>0</v>
      </c>
      <c r="T216" s="30">
        <v>0</v>
      </c>
      <c r="U216" s="30">
        <v>1</v>
      </c>
      <c r="V216" s="30">
        <v>1</v>
      </c>
      <c r="W216" s="30">
        <v>1</v>
      </c>
      <c r="X216" s="30">
        <v>1</v>
      </c>
      <c r="Y216" s="30">
        <v>0</v>
      </c>
      <c r="Z216" s="30">
        <v>0</v>
      </c>
      <c r="AA216" s="30">
        <v>1</v>
      </c>
      <c r="AB216" s="30">
        <v>0</v>
      </c>
      <c r="AC216" s="30">
        <v>0</v>
      </c>
      <c r="AD216" s="30">
        <v>0</v>
      </c>
      <c r="AE216" s="30">
        <v>0</v>
      </c>
      <c r="AF216" s="29"/>
      <c r="AG216" s="28">
        <f t="shared" si="32"/>
        <v>12</v>
      </c>
    </row>
    <row r="217" spans="1:34" ht="18.75" x14ac:dyDescent="0.25">
      <c r="A217" s="347" t="s">
        <v>11</v>
      </c>
      <c r="B217" s="293">
        <v>23</v>
      </c>
      <c r="C217" s="25">
        <v>21</v>
      </c>
      <c r="D217" s="25">
        <v>23</v>
      </c>
      <c r="E217" s="25">
        <v>18</v>
      </c>
      <c r="F217" s="25">
        <v>26</v>
      </c>
      <c r="G217" s="25">
        <v>31</v>
      </c>
      <c r="H217" s="25">
        <v>38</v>
      </c>
      <c r="I217" s="25">
        <v>47</v>
      </c>
      <c r="J217" s="25">
        <v>14</v>
      </c>
      <c r="K217" s="25">
        <v>20</v>
      </c>
      <c r="L217" s="25">
        <v>18</v>
      </c>
      <c r="M217" s="25">
        <v>15</v>
      </c>
      <c r="N217" s="24">
        <v>25</v>
      </c>
      <c r="O217" s="24">
        <v>30</v>
      </c>
      <c r="P217" s="24">
        <v>24</v>
      </c>
      <c r="Q217" s="24">
        <v>30</v>
      </c>
      <c r="R217" s="24">
        <v>35</v>
      </c>
      <c r="S217" s="24">
        <v>23</v>
      </c>
      <c r="T217" s="24">
        <v>21</v>
      </c>
      <c r="U217" s="24">
        <v>40</v>
      </c>
      <c r="V217" s="24">
        <v>46</v>
      </c>
      <c r="W217" s="24">
        <v>32</v>
      </c>
      <c r="X217" s="24">
        <v>47</v>
      </c>
      <c r="Y217" s="24">
        <v>45</v>
      </c>
      <c r="Z217" s="24">
        <v>39</v>
      </c>
      <c r="AA217" s="24">
        <v>32</v>
      </c>
      <c r="AB217" s="24">
        <v>42</v>
      </c>
      <c r="AC217" s="24">
        <v>35</v>
      </c>
      <c r="AD217" s="24">
        <v>36</v>
      </c>
      <c r="AE217" s="24">
        <v>33</v>
      </c>
      <c r="AF217" s="23"/>
      <c r="AG217" s="21">
        <f t="shared" si="32"/>
        <v>909</v>
      </c>
    </row>
    <row r="218" spans="1:34" ht="18.75" x14ac:dyDescent="0.25">
      <c r="A218" s="348" t="s">
        <v>169</v>
      </c>
      <c r="B218" s="293">
        <v>0</v>
      </c>
      <c r="C218" s="25">
        <v>0</v>
      </c>
      <c r="D218" s="25">
        <v>0</v>
      </c>
      <c r="E218" s="25">
        <v>0</v>
      </c>
      <c r="F218" s="25">
        <v>0</v>
      </c>
      <c r="G218" s="25">
        <v>0</v>
      </c>
      <c r="H218" s="25">
        <v>0</v>
      </c>
      <c r="I218" s="25">
        <v>0</v>
      </c>
      <c r="J218" s="25">
        <v>0</v>
      </c>
      <c r="K218" s="25">
        <v>0</v>
      </c>
      <c r="L218" s="25">
        <v>0</v>
      </c>
      <c r="M218" s="25">
        <v>0</v>
      </c>
      <c r="N218" s="24">
        <v>0</v>
      </c>
      <c r="O218" s="24">
        <v>0</v>
      </c>
      <c r="P218" s="24">
        <v>0</v>
      </c>
      <c r="Q218" s="24">
        <v>0</v>
      </c>
      <c r="R218" s="24">
        <v>0</v>
      </c>
      <c r="S218" s="24">
        <v>0</v>
      </c>
      <c r="T218" s="24">
        <v>0</v>
      </c>
      <c r="U218" s="24">
        <v>0</v>
      </c>
      <c r="V218" s="24">
        <v>0</v>
      </c>
      <c r="W218" s="24">
        <v>0</v>
      </c>
      <c r="X218" s="24">
        <v>0</v>
      </c>
      <c r="Y218" s="24">
        <v>0</v>
      </c>
      <c r="Z218" s="24">
        <v>0</v>
      </c>
      <c r="AA218" s="24">
        <v>0</v>
      </c>
      <c r="AB218" s="24">
        <v>0</v>
      </c>
      <c r="AC218" s="24">
        <v>0</v>
      </c>
      <c r="AD218" s="24">
        <v>0</v>
      </c>
      <c r="AE218" s="24">
        <v>0</v>
      </c>
      <c r="AF218" s="23"/>
      <c r="AG218" s="21">
        <f t="shared" si="32"/>
        <v>0</v>
      </c>
    </row>
    <row r="219" spans="1:34" ht="19.5" thickBot="1" x14ac:dyDescent="0.3">
      <c r="A219" s="348" t="s">
        <v>8</v>
      </c>
      <c r="B219" s="293">
        <v>9</v>
      </c>
      <c r="C219" s="25">
        <v>7</v>
      </c>
      <c r="D219" s="25">
        <v>0</v>
      </c>
      <c r="E219" s="25">
        <v>0</v>
      </c>
      <c r="F219" s="25">
        <v>0</v>
      </c>
      <c r="G219" s="25">
        <v>1</v>
      </c>
      <c r="H219" s="25">
        <v>7</v>
      </c>
      <c r="I219" s="25">
        <v>1</v>
      </c>
      <c r="J219" s="25">
        <v>5</v>
      </c>
      <c r="K219" s="25">
        <v>0</v>
      </c>
      <c r="L219" s="25">
        <v>0</v>
      </c>
      <c r="M219" s="25">
        <v>1</v>
      </c>
      <c r="N219" s="24">
        <v>6</v>
      </c>
      <c r="O219" s="24">
        <v>2</v>
      </c>
      <c r="P219" s="24">
        <v>2</v>
      </c>
      <c r="Q219" s="24">
        <v>0</v>
      </c>
      <c r="R219" s="24">
        <v>0</v>
      </c>
      <c r="S219" s="24">
        <v>0</v>
      </c>
      <c r="T219" s="24">
        <v>2</v>
      </c>
      <c r="U219" s="24">
        <v>0</v>
      </c>
      <c r="V219" s="24">
        <v>2</v>
      </c>
      <c r="W219" s="24">
        <v>4</v>
      </c>
      <c r="X219" s="24">
        <v>7</v>
      </c>
      <c r="Y219" s="24">
        <v>0</v>
      </c>
      <c r="Z219" s="24">
        <v>0</v>
      </c>
      <c r="AA219" s="24">
        <v>4</v>
      </c>
      <c r="AB219" s="24">
        <v>2</v>
      </c>
      <c r="AC219" s="24">
        <v>6</v>
      </c>
      <c r="AD219" s="24">
        <v>1</v>
      </c>
      <c r="AE219" s="24">
        <v>3</v>
      </c>
      <c r="AF219" s="23"/>
      <c r="AG219" s="21">
        <f t="shared" si="32"/>
        <v>72</v>
      </c>
    </row>
    <row r="220" spans="1:34" ht="19.5" thickBot="1" x14ac:dyDescent="0.3">
      <c r="A220" s="327" t="s">
        <v>164</v>
      </c>
      <c r="B220" s="266">
        <f t="shared" ref="B220:AF220" si="34">SUM(B221:B223)</f>
        <v>5</v>
      </c>
      <c r="C220" s="143">
        <f t="shared" si="34"/>
        <v>4</v>
      </c>
      <c r="D220" s="143">
        <f t="shared" si="34"/>
        <v>10</v>
      </c>
      <c r="E220" s="143">
        <f t="shared" si="34"/>
        <v>0</v>
      </c>
      <c r="F220" s="143">
        <f t="shared" si="34"/>
        <v>0</v>
      </c>
      <c r="G220" s="143">
        <f t="shared" si="34"/>
        <v>3</v>
      </c>
      <c r="H220" s="143">
        <f t="shared" si="34"/>
        <v>2</v>
      </c>
      <c r="I220" s="143">
        <f t="shared" si="34"/>
        <v>2</v>
      </c>
      <c r="J220" s="143">
        <f t="shared" si="34"/>
        <v>8</v>
      </c>
      <c r="K220" s="143">
        <f t="shared" si="34"/>
        <v>5</v>
      </c>
      <c r="L220" s="143">
        <f t="shared" si="34"/>
        <v>0</v>
      </c>
      <c r="M220" s="143">
        <f t="shared" si="34"/>
        <v>0</v>
      </c>
      <c r="N220" s="143">
        <f t="shared" si="34"/>
        <v>8</v>
      </c>
      <c r="O220" s="143">
        <f t="shared" si="34"/>
        <v>2</v>
      </c>
      <c r="P220" s="143">
        <f t="shared" si="34"/>
        <v>1</v>
      </c>
      <c r="Q220" s="143">
        <f t="shared" si="34"/>
        <v>4</v>
      </c>
      <c r="R220" s="143">
        <f t="shared" si="34"/>
        <v>2</v>
      </c>
      <c r="S220" s="143">
        <f t="shared" si="34"/>
        <v>0</v>
      </c>
      <c r="T220" s="143">
        <f t="shared" si="34"/>
        <v>0</v>
      </c>
      <c r="U220" s="143">
        <f t="shared" si="34"/>
        <v>6</v>
      </c>
      <c r="V220" s="143">
        <f t="shared" si="34"/>
        <v>2</v>
      </c>
      <c r="W220" s="143">
        <f t="shared" si="34"/>
        <v>6</v>
      </c>
      <c r="X220" s="143">
        <f t="shared" si="34"/>
        <v>9</v>
      </c>
      <c r="Y220" s="143">
        <f t="shared" si="34"/>
        <v>6</v>
      </c>
      <c r="Z220" s="143">
        <f t="shared" si="34"/>
        <v>0</v>
      </c>
      <c r="AA220" s="143">
        <f t="shared" si="34"/>
        <v>0</v>
      </c>
      <c r="AB220" s="143">
        <f t="shared" si="34"/>
        <v>5</v>
      </c>
      <c r="AC220" s="143">
        <f t="shared" si="34"/>
        <v>1</v>
      </c>
      <c r="AD220" s="143">
        <f t="shared" si="34"/>
        <v>2</v>
      </c>
      <c r="AE220" s="143">
        <f t="shared" si="34"/>
        <v>9</v>
      </c>
      <c r="AF220" s="143">
        <f t="shared" si="34"/>
        <v>0</v>
      </c>
      <c r="AG220" s="86">
        <f t="shared" si="32"/>
        <v>102</v>
      </c>
    </row>
    <row r="221" spans="1:34" ht="18.75" x14ac:dyDescent="0.25">
      <c r="A221" s="349" t="s">
        <v>165</v>
      </c>
      <c r="B221" s="355">
        <v>0</v>
      </c>
      <c r="C221" s="218">
        <v>0</v>
      </c>
      <c r="D221" s="218">
        <v>2</v>
      </c>
      <c r="E221" s="218">
        <v>0</v>
      </c>
      <c r="F221" s="218">
        <v>0</v>
      </c>
      <c r="G221" s="218">
        <v>0</v>
      </c>
      <c r="H221" s="218">
        <v>0</v>
      </c>
      <c r="I221" s="218">
        <v>0</v>
      </c>
      <c r="J221" s="218">
        <v>0</v>
      </c>
      <c r="K221" s="218">
        <v>0</v>
      </c>
      <c r="L221" s="218">
        <v>0</v>
      </c>
      <c r="M221" s="218">
        <v>0</v>
      </c>
      <c r="N221" s="218">
        <v>0</v>
      </c>
      <c r="O221" s="218">
        <v>1</v>
      </c>
      <c r="P221" s="218">
        <v>0</v>
      </c>
      <c r="Q221" s="218">
        <v>0</v>
      </c>
      <c r="R221" s="218">
        <v>1</v>
      </c>
      <c r="S221" s="218">
        <v>0</v>
      </c>
      <c r="T221" s="218">
        <v>0</v>
      </c>
      <c r="U221" s="218">
        <v>0</v>
      </c>
      <c r="V221" s="218">
        <v>0</v>
      </c>
      <c r="W221" s="218">
        <v>1</v>
      </c>
      <c r="X221" s="218">
        <v>1</v>
      </c>
      <c r="Y221" s="218">
        <v>0</v>
      </c>
      <c r="Z221" s="218">
        <v>0</v>
      </c>
      <c r="AA221" s="218">
        <v>0</v>
      </c>
      <c r="AB221" s="218">
        <v>0</v>
      </c>
      <c r="AC221" s="218">
        <v>0</v>
      </c>
      <c r="AD221" s="218">
        <v>1</v>
      </c>
      <c r="AE221" s="218">
        <v>0</v>
      </c>
      <c r="AF221" s="218"/>
      <c r="AG221" s="225">
        <f t="shared" si="32"/>
        <v>7</v>
      </c>
    </row>
    <row r="222" spans="1:34" ht="18.75" x14ac:dyDescent="0.25">
      <c r="A222" s="350" t="s">
        <v>166</v>
      </c>
      <c r="B222" s="273">
        <v>5</v>
      </c>
      <c r="C222" s="124">
        <v>4</v>
      </c>
      <c r="D222" s="124">
        <v>8</v>
      </c>
      <c r="E222" s="124">
        <v>0</v>
      </c>
      <c r="F222" s="124">
        <v>0</v>
      </c>
      <c r="G222" s="124">
        <v>3</v>
      </c>
      <c r="H222" s="124">
        <v>2</v>
      </c>
      <c r="I222" s="124">
        <v>2</v>
      </c>
      <c r="J222" s="124">
        <v>8</v>
      </c>
      <c r="K222" s="124">
        <v>5</v>
      </c>
      <c r="L222" s="124">
        <v>0</v>
      </c>
      <c r="M222" s="124">
        <v>0</v>
      </c>
      <c r="N222" s="124">
        <v>8</v>
      </c>
      <c r="O222" s="124">
        <v>1</v>
      </c>
      <c r="P222" s="124">
        <v>1</v>
      </c>
      <c r="Q222" s="124">
        <v>4</v>
      </c>
      <c r="R222" s="124">
        <v>1</v>
      </c>
      <c r="S222" s="124">
        <v>0</v>
      </c>
      <c r="T222" s="124">
        <v>0</v>
      </c>
      <c r="U222" s="124">
        <v>6</v>
      </c>
      <c r="V222" s="124">
        <v>2</v>
      </c>
      <c r="W222" s="124">
        <v>5</v>
      </c>
      <c r="X222" s="124">
        <v>8</v>
      </c>
      <c r="Y222" s="124">
        <v>6</v>
      </c>
      <c r="Z222" s="124">
        <v>0</v>
      </c>
      <c r="AA222" s="124">
        <v>0</v>
      </c>
      <c r="AB222" s="124">
        <v>5</v>
      </c>
      <c r="AC222" s="124">
        <v>1</v>
      </c>
      <c r="AD222" s="124">
        <v>1</v>
      </c>
      <c r="AE222" s="124">
        <v>9</v>
      </c>
      <c r="AF222" s="124"/>
      <c r="AG222" s="122">
        <f t="shared" si="32"/>
        <v>95</v>
      </c>
    </row>
    <row r="223" spans="1:34" ht="19.5" thickBot="1" x14ac:dyDescent="0.3">
      <c r="A223" s="324" t="s">
        <v>167</v>
      </c>
      <c r="B223" s="263">
        <v>0</v>
      </c>
      <c r="C223" s="140">
        <v>0</v>
      </c>
      <c r="D223" s="140">
        <v>0</v>
      </c>
      <c r="E223" s="140">
        <v>0</v>
      </c>
      <c r="F223" s="140">
        <v>0</v>
      </c>
      <c r="G223" s="140">
        <v>0</v>
      </c>
      <c r="H223" s="140">
        <v>0</v>
      </c>
      <c r="I223" s="140">
        <v>0</v>
      </c>
      <c r="J223" s="140">
        <v>0</v>
      </c>
      <c r="K223" s="140">
        <v>0</v>
      </c>
      <c r="L223" s="140">
        <v>0</v>
      </c>
      <c r="M223" s="140">
        <v>0</v>
      </c>
      <c r="N223" s="140">
        <v>0</v>
      </c>
      <c r="O223" s="140">
        <v>0</v>
      </c>
      <c r="P223" s="140">
        <v>0</v>
      </c>
      <c r="Q223" s="140">
        <v>0</v>
      </c>
      <c r="R223" s="140">
        <v>0</v>
      </c>
      <c r="S223" s="140">
        <v>0</v>
      </c>
      <c r="T223" s="140">
        <v>0</v>
      </c>
      <c r="U223" s="140">
        <v>0</v>
      </c>
      <c r="V223" s="140">
        <v>0</v>
      </c>
      <c r="W223" s="140">
        <v>0</v>
      </c>
      <c r="X223" s="140">
        <v>0</v>
      </c>
      <c r="Y223" s="140">
        <v>0</v>
      </c>
      <c r="Z223" s="140">
        <v>0</v>
      </c>
      <c r="AA223" s="140">
        <v>0</v>
      </c>
      <c r="AB223" s="140">
        <v>0</v>
      </c>
      <c r="AC223" s="140">
        <v>0</v>
      </c>
      <c r="AD223" s="140">
        <v>0</v>
      </c>
      <c r="AE223" s="140">
        <v>0</v>
      </c>
      <c r="AF223" s="140"/>
      <c r="AG223" s="138">
        <f t="shared" si="32"/>
        <v>0</v>
      </c>
    </row>
    <row r="224" spans="1:34" ht="18.75" x14ac:dyDescent="0.25">
      <c r="A224" s="351" t="s">
        <v>4</v>
      </c>
      <c r="B224" s="265">
        <f t="shared" ref="B224:AF224" si="35">SUM(B225:B227)</f>
        <v>8</v>
      </c>
      <c r="C224" s="8">
        <f t="shared" si="35"/>
        <v>7</v>
      </c>
      <c r="D224" s="8">
        <f t="shared" si="35"/>
        <v>8</v>
      </c>
      <c r="E224" s="8">
        <f t="shared" si="35"/>
        <v>9</v>
      </c>
      <c r="F224" s="8">
        <f t="shared" si="35"/>
        <v>3</v>
      </c>
      <c r="G224" s="8">
        <f t="shared" si="35"/>
        <v>10</v>
      </c>
      <c r="H224" s="8">
        <f t="shared" si="35"/>
        <v>9</v>
      </c>
      <c r="I224" s="8">
        <f t="shared" si="35"/>
        <v>8</v>
      </c>
      <c r="J224" s="8">
        <f t="shared" si="35"/>
        <v>8</v>
      </c>
      <c r="K224" s="8">
        <f t="shared" si="35"/>
        <v>11</v>
      </c>
      <c r="L224" s="8">
        <f t="shared" si="35"/>
        <v>3</v>
      </c>
      <c r="M224" s="8">
        <f t="shared" si="35"/>
        <v>6</v>
      </c>
      <c r="N224" s="8">
        <f t="shared" si="35"/>
        <v>8</v>
      </c>
      <c r="O224" s="8">
        <f t="shared" si="35"/>
        <v>6</v>
      </c>
      <c r="P224" s="8">
        <f t="shared" si="35"/>
        <v>10</v>
      </c>
      <c r="Q224" s="8">
        <f t="shared" si="35"/>
        <v>12</v>
      </c>
      <c r="R224" s="8">
        <f t="shared" si="35"/>
        <v>7</v>
      </c>
      <c r="S224" s="8">
        <f t="shared" si="35"/>
        <v>3</v>
      </c>
      <c r="T224" s="8">
        <f t="shared" si="35"/>
        <v>3</v>
      </c>
      <c r="U224" s="8">
        <f t="shared" si="35"/>
        <v>8</v>
      </c>
      <c r="V224" s="8">
        <f t="shared" si="35"/>
        <v>7</v>
      </c>
      <c r="W224" s="8">
        <f t="shared" si="35"/>
        <v>8</v>
      </c>
      <c r="X224" s="8">
        <f t="shared" si="35"/>
        <v>12</v>
      </c>
      <c r="Y224" s="8">
        <f t="shared" si="35"/>
        <v>8</v>
      </c>
      <c r="Z224" s="8">
        <f t="shared" si="35"/>
        <v>2</v>
      </c>
      <c r="AA224" s="8">
        <f t="shared" si="35"/>
        <v>5</v>
      </c>
      <c r="AB224" s="8">
        <f t="shared" si="35"/>
        <v>7</v>
      </c>
      <c r="AC224" s="8">
        <f t="shared" si="35"/>
        <v>9</v>
      </c>
      <c r="AD224" s="8">
        <f t="shared" si="35"/>
        <v>9</v>
      </c>
      <c r="AE224" s="8">
        <f t="shared" si="35"/>
        <v>0</v>
      </c>
      <c r="AF224" s="8">
        <f t="shared" si="35"/>
        <v>0</v>
      </c>
      <c r="AG224" s="7">
        <f t="shared" ref="AG224:AG227" si="36">SUM(B224:AF224)</f>
        <v>214</v>
      </c>
      <c r="AH224" s="406" t="s">
        <v>3</v>
      </c>
    </row>
    <row r="225" spans="1:34" ht="18.75" x14ac:dyDescent="0.25">
      <c r="A225" s="352" t="s">
        <v>2</v>
      </c>
      <c r="B225" s="5">
        <v>5</v>
      </c>
      <c r="C225" s="3">
        <v>4</v>
      </c>
      <c r="D225" s="3">
        <v>5</v>
      </c>
      <c r="E225" s="3">
        <v>1</v>
      </c>
      <c r="F225" s="3">
        <v>1</v>
      </c>
      <c r="G225" s="3">
        <v>6</v>
      </c>
      <c r="H225" s="3">
        <v>5</v>
      </c>
      <c r="I225" s="3">
        <v>4</v>
      </c>
      <c r="J225" s="3">
        <v>6</v>
      </c>
      <c r="K225" s="3">
        <v>8</v>
      </c>
      <c r="L225" s="3">
        <v>1</v>
      </c>
      <c r="M225" s="3">
        <v>0</v>
      </c>
      <c r="N225" s="5">
        <v>3</v>
      </c>
      <c r="O225" s="3">
        <v>4</v>
      </c>
      <c r="P225" s="3">
        <v>4</v>
      </c>
      <c r="Q225" s="3">
        <v>8</v>
      </c>
      <c r="R225" s="3">
        <v>1</v>
      </c>
      <c r="S225" s="3">
        <v>2</v>
      </c>
      <c r="T225" s="3">
        <v>1</v>
      </c>
      <c r="U225" s="3">
        <v>4</v>
      </c>
      <c r="V225" s="3">
        <v>3</v>
      </c>
      <c r="W225" s="3">
        <v>5</v>
      </c>
      <c r="X225" s="3">
        <v>8</v>
      </c>
      <c r="Y225" s="3">
        <v>4</v>
      </c>
      <c r="Z225" s="4">
        <v>2</v>
      </c>
      <c r="AA225" s="3"/>
      <c r="AB225" s="3">
        <v>5</v>
      </c>
      <c r="AC225" s="3">
        <v>7</v>
      </c>
      <c r="AD225" s="3">
        <v>7</v>
      </c>
      <c r="AE225" s="3"/>
      <c r="AF225" s="2"/>
      <c r="AG225" s="1">
        <f t="shared" si="36"/>
        <v>114</v>
      </c>
      <c r="AH225" s="407"/>
    </row>
    <row r="226" spans="1:34" ht="18.75" x14ac:dyDescent="0.25">
      <c r="A226" s="352" t="s">
        <v>1</v>
      </c>
      <c r="B226" s="5">
        <v>3</v>
      </c>
      <c r="C226" s="3">
        <v>3</v>
      </c>
      <c r="D226" s="3">
        <v>3</v>
      </c>
      <c r="E226" s="3">
        <v>8</v>
      </c>
      <c r="F226" s="3">
        <v>2</v>
      </c>
      <c r="G226" s="3">
        <v>4</v>
      </c>
      <c r="H226" s="3">
        <v>4</v>
      </c>
      <c r="I226" s="3">
        <v>4</v>
      </c>
      <c r="J226" s="3">
        <v>2</v>
      </c>
      <c r="K226" s="3">
        <v>3</v>
      </c>
      <c r="L226" s="3">
        <v>2</v>
      </c>
      <c r="M226" s="3">
        <v>6</v>
      </c>
      <c r="N226" s="5">
        <v>5</v>
      </c>
      <c r="O226" s="3">
        <v>2</v>
      </c>
      <c r="P226" s="3">
        <v>6</v>
      </c>
      <c r="Q226" s="3">
        <v>4</v>
      </c>
      <c r="R226" s="3">
        <v>6</v>
      </c>
      <c r="S226" s="3">
        <v>1</v>
      </c>
      <c r="T226" s="3">
        <v>2</v>
      </c>
      <c r="U226" s="3">
        <v>4</v>
      </c>
      <c r="V226" s="3">
        <v>4</v>
      </c>
      <c r="W226" s="3">
        <v>3</v>
      </c>
      <c r="X226" s="3">
        <v>4</v>
      </c>
      <c r="Y226" s="3">
        <v>4</v>
      </c>
      <c r="Z226" s="4"/>
      <c r="AA226" s="3">
        <v>5</v>
      </c>
      <c r="AB226" s="3">
        <v>2</v>
      </c>
      <c r="AC226" s="3">
        <v>2</v>
      </c>
      <c r="AD226" s="3">
        <v>2</v>
      </c>
      <c r="AE226" s="3"/>
      <c r="AF226" s="2"/>
      <c r="AG226" s="1">
        <f t="shared" si="36"/>
        <v>100</v>
      </c>
      <c r="AH226" s="407"/>
    </row>
    <row r="227" spans="1:34" ht="19.5" thickBot="1" x14ac:dyDescent="0.3">
      <c r="A227" s="353" t="s">
        <v>0</v>
      </c>
      <c r="B227" s="297"/>
      <c r="C227" s="240"/>
      <c r="D227" s="240"/>
      <c r="E227" s="240"/>
      <c r="F227" s="240"/>
      <c r="G227" s="240"/>
      <c r="H227" s="240"/>
      <c r="I227" s="240"/>
      <c r="J227" s="240"/>
      <c r="K227" s="241"/>
      <c r="L227" s="241"/>
      <c r="M227" s="241"/>
      <c r="N227" s="242"/>
      <c r="O227" s="243"/>
      <c r="P227" s="243"/>
      <c r="Q227" s="243"/>
      <c r="R227" s="243"/>
      <c r="S227" s="243"/>
      <c r="T227" s="243"/>
      <c r="U227" s="243"/>
      <c r="V227" s="243"/>
      <c r="W227" s="243"/>
      <c r="X227" s="243"/>
      <c r="Y227" s="243"/>
      <c r="Z227" s="243"/>
      <c r="AA227" s="243"/>
      <c r="AB227" s="243"/>
      <c r="AC227" s="243"/>
      <c r="AD227" s="243"/>
      <c r="AE227" s="243"/>
      <c r="AF227" s="244"/>
      <c r="AG227" s="10">
        <f t="shared" si="36"/>
        <v>0</v>
      </c>
      <c r="AH227" s="408"/>
    </row>
    <row r="247" ht="18.75" customHeight="1" x14ac:dyDescent="0.25"/>
    <row r="248" ht="18.75" customHeight="1" x14ac:dyDescent="0.25"/>
    <row r="249" ht="18.75" customHeight="1" x14ac:dyDescent="0.25"/>
    <row r="250" ht="18.75" customHeight="1" x14ac:dyDescent="0.25"/>
    <row r="251" ht="18.75" customHeight="1" x14ac:dyDescent="0.25"/>
    <row r="252" ht="18.75" customHeight="1" x14ac:dyDescent="0.25"/>
    <row r="253" ht="18.75" customHeight="1" x14ac:dyDescent="0.25"/>
    <row r="254" ht="18.75" customHeight="1" x14ac:dyDescent="0.25"/>
    <row r="255" ht="18.75" customHeight="1" x14ac:dyDescent="0.25"/>
    <row r="256" ht="18.75" customHeight="1" x14ac:dyDescent="0.25"/>
    <row r="257" ht="18.75" customHeight="1" x14ac:dyDescent="0.25"/>
    <row r="258" ht="19.5" customHeight="1" x14ac:dyDescent="0.25"/>
    <row r="260" ht="18.75" customHeight="1" x14ac:dyDescent="0.25"/>
    <row r="263" ht="18.75" customHeight="1" x14ac:dyDescent="0.25"/>
  </sheetData>
  <dataConsolidate link="1"/>
  <mergeCells count="3">
    <mergeCell ref="A1:AG1"/>
    <mergeCell ref="AI84:AI86"/>
    <mergeCell ref="AH224:AH227"/>
  </mergeCells>
  <conditionalFormatting sqref="B29:AF52">
    <cfRule type="cellIs" dxfId="39" priority="6" operator="lessThan">
      <formula>0</formula>
    </cfRule>
  </conditionalFormatting>
  <conditionalFormatting sqref="D54:D77">
    <cfRule type="cellIs" dxfId="38" priority="2" operator="lessThan">
      <formula>0</formula>
    </cfRule>
  </conditionalFormatting>
  <conditionalFormatting sqref="G54:G77">
    <cfRule type="cellIs" dxfId="37" priority="1" operator="lessThan">
      <formula>0</formula>
    </cfRule>
  </conditionalFormatting>
  <conditionalFormatting sqref="AH81">
    <cfRule type="cellIs" dxfId="36" priority="4" operator="equal">
      <formula>"*"</formula>
    </cfRule>
  </conditionalFormatting>
  <conditionalFormatting sqref="AH84 AH87">
    <cfRule type="cellIs" dxfId="35" priority="5" operator="equal">
      <formula>"*"</formula>
    </cfRule>
  </conditionalFormatting>
  <conditionalFormatting sqref="AH93">
    <cfRule type="cellIs" dxfId="34" priority="10" operator="equal">
      <formula>"*"</formula>
    </cfRule>
  </conditionalFormatting>
  <conditionalFormatting sqref="AH130">
    <cfRule type="cellIs" dxfId="33" priority="8" operator="equal">
      <formula>"*"</formula>
    </cfRule>
  </conditionalFormatting>
  <conditionalFormatting sqref="AH144:AH145">
    <cfRule type="cellIs" dxfId="32" priority="9" operator="equal">
      <formula>"*"</formula>
    </cfRule>
  </conditionalFormatting>
  <conditionalFormatting sqref="AH182">
    <cfRule type="cellIs" dxfId="31" priority="7" operator="equal">
      <formula>"*"</formula>
    </cfRule>
  </conditionalFormatting>
  <conditionalFormatting sqref="AH209">
    <cfRule type="cellIs" dxfId="30" priority="3" operator="equal">
      <formula>"X"</formula>
    </cfRule>
  </conditionalFormatting>
  <dataValidations disablePrompts="1" count="1">
    <dataValidation type="whole" allowBlank="1" showInputMessage="1" showErrorMessage="1" errorTitle="ERROR" error="Por favor ingrese solo Números" sqref="A98:A99 A101:A115" xr:uid="{6FF1EC4D-74FE-405E-AA1E-74372B25560A}">
      <formula1>0</formula1>
      <formula2>1000000000</formula2>
    </dataValidation>
  </dataValidations>
  <pageMargins left="0.7" right="0.7" top="0.75" bottom="0.75" header="0.3" footer="0.3"/>
  <pageSetup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4F7B7-0DCC-43D4-8639-B428A18BB0CE}">
  <dimension ref="A1:AI263"/>
  <sheetViews>
    <sheetView zoomScale="80" zoomScaleNormal="80" workbookViewId="0">
      <pane xSplit="1" ySplit="3" topLeftCell="B4" activePane="bottomRight" state="frozen"/>
      <selection activeCell="AG3" sqref="AG3"/>
      <selection pane="topRight" activeCell="AG3" sqref="AG3"/>
      <selection pane="bottomLeft" activeCell="AG3" sqref="AG3"/>
      <selection pane="bottomRight" activeCell="B4" sqref="B4"/>
    </sheetView>
  </sheetViews>
  <sheetFormatPr baseColWidth="10" defaultRowHeight="15" x14ac:dyDescent="0.25"/>
  <cols>
    <col min="1" max="1" width="34.7109375" customWidth="1"/>
    <col min="2" max="13" width="8.28515625" customWidth="1"/>
    <col min="14" max="14" width="10.140625" customWidth="1"/>
    <col min="15" max="27" width="8.28515625" customWidth="1"/>
    <col min="28" max="28" width="9.7109375" customWidth="1"/>
    <col min="29" max="32" width="8.28515625" customWidth="1"/>
    <col min="33" max="33" width="11.140625" customWidth="1"/>
    <col min="34" max="34" width="12.42578125" customWidth="1"/>
  </cols>
  <sheetData>
    <row r="1" spans="1:33" ht="21.75" thickBot="1" x14ac:dyDescent="0.3">
      <c r="A1" s="400"/>
      <c r="B1" s="401"/>
      <c r="C1" s="401"/>
      <c r="D1" s="401"/>
      <c r="E1" s="401"/>
      <c r="F1" s="401"/>
      <c r="G1" s="401"/>
      <c r="H1" s="401"/>
      <c r="I1" s="401"/>
      <c r="J1" s="401"/>
      <c r="K1" s="401"/>
      <c r="L1" s="401"/>
      <c r="M1" s="401"/>
      <c r="N1" s="401"/>
      <c r="O1" s="401"/>
      <c r="P1" s="401"/>
      <c r="Q1" s="401"/>
      <c r="R1" s="401"/>
      <c r="S1" s="401"/>
      <c r="T1" s="401"/>
      <c r="U1" s="401"/>
      <c r="V1" s="401"/>
      <c r="W1" s="401"/>
      <c r="X1" s="401"/>
      <c r="Y1" s="401"/>
      <c r="Z1" s="401"/>
      <c r="AA1" s="401"/>
      <c r="AB1" s="401"/>
      <c r="AC1" s="401"/>
      <c r="AD1" s="401"/>
      <c r="AE1" s="401"/>
      <c r="AF1" s="401"/>
      <c r="AG1" s="402"/>
    </row>
    <row r="2" spans="1:33" ht="21.75" thickBot="1" x14ac:dyDescent="0.3">
      <c r="A2" s="298" t="s">
        <v>161</v>
      </c>
      <c r="B2" s="246">
        <v>1</v>
      </c>
      <c r="C2" s="217">
        <f t="shared" ref="C2:AA2" si="0">+B2+1</f>
        <v>2</v>
      </c>
      <c r="D2" s="217">
        <f t="shared" si="0"/>
        <v>3</v>
      </c>
      <c r="E2" s="215">
        <f t="shared" si="0"/>
        <v>4</v>
      </c>
      <c r="F2" s="215">
        <f t="shared" si="0"/>
        <v>5</v>
      </c>
      <c r="G2" s="215">
        <f t="shared" si="0"/>
        <v>6</v>
      </c>
      <c r="H2" s="215">
        <f t="shared" si="0"/>
        <v>7</v>
      </c>
      <c r="I2" s="215">
        <f t="shared" si="0"/>
        <v>8</v>
      </c>
      <c r="J2" s="217">
        <f t="shared" si="0"/>
        <v>9</v>
      </c>
      <c r="K2" s="217">
        <f t="shared" si="0"/>
        <v>10</v>
      </c>
      <c r="L2" s="217">
        <f t="shared" si="0"/>
        <v>11</v>
      </c>
      <c r="M2" s="215">
        <f t="shared" si="0"/>
        <v>12</v>
      </c>
      <c r="N2" s="215">
        <f t="shared" si="0"/>
        <v>13</v>
      </c>
      <c r="O2" s="215">
        <f t="shared" si="0"/>
        <v>14</v>
      </c>
      <c r="P2" s="215">
        <f t="shared" si="0"/>
        <v>15</v>
      </c>
      <c r="Q2" s="217">
        <f t="shared" si="0"/>
        <v>16</v>
      </c>
      <c r="R2" s="217">
        <f t="shared" si="0"/>
        <v>17</v>
      </c>
      <c r="S2" s="215">
        <f t="shared" si="0"/>
        <v>18</v>
      </c>
      <c r="T2" s="215">
        <f t="shared" si="0"/>
        <v>19</v>
      </c>
      <c r="U2" s="215">
        <f t="shared" si="0"/>
        <v>20</v>
      </c>
      <c r="V2" s="215">
        <f t="shared" si="0"/>
        <v>21</v>
      </c>
      <c r="W2" s="215">
        <f t="shared" si="0"/>
        <v>22</v>
      </c>
      <c r="X2" s="217">
        <f t="shared" si="0"/>
        <v>23</v>
      </c>
      <c r="Y2" s="217">
        <f t="shared" si="0"/>
        <v>24</v>
      </c>
      <c r="Z2" s="215">
        <f t="shared" si="0"/>
        <v>25</v>
      </c>
      <c r="AA2" s="215">
        <f t="shared" si="0"/>
        <v>26</v>
      </c>
      <c r="AB2" s="215">
        <v>27</v>
      </c>
      <c r="AC2" s="215">
        <f>+AB2+1</f>
        <v>28</v>
      </c>
      <c r="AD2" s="215">
        <v>29</v>
      </c>
      <c r="AE2" s="217">
        <v>30</v>
      </c>
      <c r="AF2" s="217">
        <v>31</v>
      </c>
      <c r="AG2" s="214" t="s">
        <v>148</v>
      </c>
    </row>
    <row r="3" spans="1:33" ht="19.5" thickBot="1" x14ac:dyDescent="0.3">
      <c r="A3" s="299" t="s">
        <v>147</v>
      </c>
      <c r="B3" s="247">
        <f t="shared" ref="B3:AF3" si="1">SUM(B4:B27)</f>
        <v>118</v>
      </c>
      <c r="C3" s="120">
        <f t="shared" si="1"/>
        <v>112</v>
      </c>
      <c r="D3" s="120">
        <f t="shared" si="1"/>
        <v>155</v>
      </c>
      <c r="E3" s="120">
        <f t="shared" si="1"/>
        <v>159</v>
      </c>
      <c r="F3" s="120">
        <f t="shared" si="1"/>
        <v>157</v>
      </c>
      <c r="G3" s="120">
        <f t="shared" si="1"/>
        <v>152</v>
      </c>
      <c r="H3" s="120">
        <f t="shared" si="1"/>
        <v>134</v>
      </c>
      <c r="I3" s="120">
        <f t="shared" si="1"/>
        <v>130</v>
      </c>
      <c r="J3" s="120">
        <f t="shared" si="1"/>
        <v>135</v>
      </c>
      <c r="K3" s="120">
        <f t="shared" si="1"/>
        <v>152</v>
      </c>
      <c r="L3" s="120">
        <f t="shared" si="1"/>
        <v>176</v>
      </c>
      <c r="M3" s="120">
        <f t="shared" si="1"/>
        <v>180</v>
      </c>
      <c r="N3" s="120">
        <f t="shared" si="1"/>
        <v>136</v>
      </c>
      <c r="O3" s="120">
        <f t="shared" si="1"/>
        <v>146</v>
      </c>
      <c r="P3" s="120">
        <f t="shared" si="1"/>
        <v>122</v>
      </c>
      <c r="Q3" s="120">
        <f t="shared" si="1"/>
        <v>180</v>
      </c>
      <c r="R3" s="120">
        <f t="shared" si="1"/>
        <v>181</v>
      </c>
      <c r="S3" s="120">
        <f t="shared" si="1"/>
        <v>164</v>
      </c>
      <c r="T3" s="120">
        <f t="shared" si="1"/>
        <v>152</v>
      </c>
      <c r="U3" s="120">
        <f t="shared" si="1"/>
        <v>174</v>
      </c>
      <c r="V3" s="120">
        <f t="shared" si="1"/>
        <v>158</v>
      </c>
      <c r="W3" s="120">
        <f t="shared" si="1"/>
        <v>147</v>
      </c>
      <c r="X3" s="120">
        <f t="shared" si="1"/>
        <v>170</v>
      </c>
      <c r="Y3" s="120">
        <f t="shared" si="1"/>
        <v>173</v>
      </c>
      <c r="Z3" s="120">
        <f t="shared" si="1"/>
        <v>175</v>
      </c>
      <c r="AA3" s="120">
        <f t="shared" si="1"/>
        <v>139</v>
      </c>
      <c r="AB3" s="120">
        <f t="shared" si="1"/>
        <v>155</v>
      </c>
      <c r="AC3" s="120">
        <f t="shared" si="1"/>
        <v>159</v>
      </c>
      <c r="AD3" s="120">
        <f t="shared" si="1"/>
        <v>158</v>
      </c>
      <c r="AE3" s="120">
        <f t="shared" si="1"/>
        <v>157</v>
      </c>
      <c r="AF3" s="120">
        <f t="shared" si="1"/>
        <v>154</v>
      </c>
      <c r="AG3" s="118">
        <f t="shared" ref="AG3:AG66" si="2">SUM(B3:AF3)</f>
        <v>4760</v>
      </c>
    </row>
    <row r="4" spans="1:33" ht="18.75" x14ac:dyDescent="0.25">
      <c r="A4" s="300" t="s">
        <v>144</v>
      </c>
      <c r="B4" s="248">
        <v>1</v>
      </c>
      <c r="C4" s="199">
        <v>3</v>
      </c>
      <c r="D4" s="199">
        <v>3</v>
      </c>
      <c r="E4" s="199">
        <v>2</v>
      </c>
      <c r="F4" s="199">
        <v>3</v>
      </c>
      <c r="G4" s="199">
        <v>2</v>
      </c>
      <c r="H4" s="199">
        <v>1</v>
      </c>
      <c r="I4" s="199">
        <v>1</v>
      </c>
      <c r="J4" s="199">
        <v>3</v>
      </c>
      <c r="K4" s="199">
        <v>4</v>
      </c>
      <c r="L4" s="199">
        <v>5</v>
      </c>
      <c r="M4" s="199">
        <v>1</v>
      </c>
      <c r="N4" s="199">
        <v>1</v>
      </c>
      <c r="O4" s="199">
        <v>1</v>
      </c>
      <c r="P4" s="199">
        <v>2</v>
      </c>
      <c r="Q4" s="199">
        <v>1</v>
      </c>
      <c r="R4" s="199">
        <v>3</v>
      </c>
      <c r="S4" s="199">
        <v>1</v>
      </c>
      <c r="T4" s="199">
        <v>1</v>
      </c>
      <c r="U4" s="199">
        <v>3</v>
      </c>
      <c r="V4" s="199">
        <v>5</v>
      </c>
      <c r="W4" s="199">
        <v>1</v>
      </c>
      <c r="X4" s="199">
        <v>5</v>
      </c>
      <c r="Y4" s="199">
        <v>5</v>
      </c>
      <c r="Z4" s="199">
        <v>6</v>
      </c>
      <c r="AA4" s="199">
        <v>3</v>
      </c>
      <c r="AB4" s="199">
        <v>1</v>
      </c>
      <c r="AC4" s="199">
        <v>1</v>
      </c>
      <c r="AD4" s="199">
        <v>3</v>
      </c>
      <c r="AE4" s="199">
        <v>1</v>
      </c>
      <c r="AF4" s="206">
        <v>7</v>
      </c>
      <c r="AG4" s="134">
        <f t="shared" si="2"/>
        <v>80</v>
      </c>
    </row>
    <row r="5" spans="1:33" ht="18.75" x14ac:dyDescent="0.25">
      <c r="A5" s="301" t="s">
        <v>143</v>
      </c>
      <c r="B5" s="249"/>
      <c r="C5" s="162">
        <v>3</v>
      </c>
      <c r="D5" s="162">
        <v>4</v>
      </c>
      <c r="E5" s="162">
        <v>1</v>
      </c>
      <c r="F5" s="162">
        <v>5</v>
      </c>
      <c r="G5" s="162">
        <v>1</v>
      </c>
      <c r="H5" s="162">
        <v>2</v>
      </c>
      <c r="I5" s="162">
        <v>7</v>
      </c>
      <c r="J5" s="162">
        <v>8</v>
      </c>
      <c r="K5" s="162">
        <v>2</v>
      </c>
      <c r="L5" s="162">
        <v>9</v>
      </c>
      <c r="M5" s="162">
        <v>4</v>
      </c>
      <c r="N5" s="162">
        <v>4</v>
      </c>
      <c r="O5" s="162">
        <v>5</v>
      </c>
      <c r="P5" s="162">
        <v>2</v>
      </c>
      <c r="Q5" s="162">
        <v>18</v>
      </c>
      <c r="R5" s="162">
        <v>9</v>
      </c>
      <c r="S5" s="162"/>
      <c r="T5" s="162">
        <v>3</v>
      </c>
      <c r="U5" s="162">
        <v>5</v>
      </c>
      <c r="V5" s="162">
        <v>6</v>
      </c>
      <c r="W5" s="162">
        <v>1</v>
      </c>
      <c r="X5" s="162">
        <v>9</v>
      </c>
      <c r="Y5" s="162">
        <v>12</v>
      </c>
      <c r="Z5" s="162">
        <v>6</v>
      </c>
      <c r="AA5" s="162">
        <v>4</v>
      </c>
      <c r="AB5" s="162">
        <v>4</v>
      </c>
      <c r="AC5" s="162">
        <v>5</v>
      </c>
      <c r="AD5" s="162">
        <v>6</v>
      </c>
      <c r="AE5" s="162">
        <v>9</v>
      </c>
      <c r="AF5" s="161">
        <v>9</v>
      </c>
      <c r="AG5" s="64">
        <f t="shared" si="2"/>
        <v>163</v>
      </c>
    </row>
    <row r="6" spans="1:33" ht="18.75" x14ac:dyDescent="0.25">
      <c r="A6" s="301" t="s">
        <v>142</v>
      </c>
      <c r="B6" s="249">
        <v>2</v>
      </c>
      <c r="C6" s="162">
        <v>3</v>
      </c>
      <c r="D6" s="162">
        <v>4</v>
      </c>
      <c r="E6" s="162">
        <v>3</v>
      </c>
      <c r="F6" s="162">
        <v>4</v>
      </c>
      <c r="G6" s="162">
        <v>1</v>
      </c>
      <c r="H6" s="162">
        <v>1</v>
      </c>
      <c r="I6" s="162">
        <v>4</v>
      </c>
      <c r="J6" s="162">
        <v>7</v>
      </c>
      <c r="K6" s="162">
        <v>9</v>
      </c>
      <c r="L6" s="162">
        <v>13</v>
      </c>
      <c r="M6" s="162">
        <v>4</v>
      </c>
      <c r="N6" s="162">
        <v>3</v>
      </c>
      <c r="O6" s="162"/>
      <c r="P6" s="162"/>
      <c r="Q6" s="162">
        <v>15</v>
      </c>
      <c r="R6" s="162">
        <v>10</v>
      </c>
      <c r="S6" s="162">
        <v>1</v>
      </c>
      <c r="T6" s="162">
        <v>1</v>
      </c>
      <c r="U6" s="162">
        <v>2</v>
      </c>
      <c r="V6" s="162">
        <v>2</v>
      </c>
      <c r="W6" s="162">
        <v>2</v>
      </c>
      <c r="X6" s="162">
        <v>6</v>
      </c>
      <c r="Y6" s="162">
        <v>8</v>
      </c>
      <c r="Z6" s="162">
        <v>2</v>
      </c>
      <c r="AA6" s="162">
        <v>4</v>
      </c>
      <c r="AB6" s="162">
        <v>3</v>
      </c>
      <c r="AC6" s="162">
        <v>4</v>
      </c>
      <c r="AD6" s="162">
        <v>3</v>
      </c>
      <c r="AE6" s="162">
        <v>9</v>
      </c>
      <c r="AF6" s="161">
        <v>12</v>
      </c>
      <c r="AG6" s="64">
        <f t="shared" si="2"/>
        <v>142</v>
      </c>
    </row>
    <row r="7" spans="1:33" ht="18.75" x14ac:dyDescent="0.25">
      <c r="A7" s="301" t="s">
        <v>141</v>
      </c>
      <c r="B7" s="249"/>
      <c r="C7" s="162">
        <v>7</v>
      </c>
      <c r="D7" s="162">
        <v>9</v>
      </c>
      <c r="E7" s="162">
        <v>3</v>
      </c>
      <c r="F7" s="162">
        <v>2</v>
      </c>
      <c r="G7" s="162">
        <v>2</v>
      </c>
      <c r="H7" s="162">
        <v>2</v>
      </c>
      <c r="I7" s="162">
        <v>2</v>
      </c>
      <c r="J7" s="162">
        <v>5</v>
      </c>
      <c r="K7" s="162">
        <v>10</v>
      </c>
      <c r="L7" s="162">
        <v>7</v>
      </c>
      <c r="M7" s="162">
        <v>3</v>
      </c>
      <c r="N7" s="162">
        <v>1</v>
      </c>
      <c r="O7" s="162"/>
      <c r="P7" s="162">
        <v>2</v>
      </c>
      <c r="Q7" s="162">
        <v>12</v>
      </c>
      <c r="R7" s="162">
        <v>13</v>
      </c>
      <c r="S7" s="162">
        <v>1</v>
      </c>
      <c r="T7" s="162"/>
      <c r="U7" s="162">
        <v>2</v>
      </c>
      <c r="V7" s="162">
        <v>1</v>
      </c>
      <c r="W7" s="162">
        <v>3</v>
      </c>
      <c r="X7" s="162">
        <v>9</v>
      </c>
      <c r="Y7" s="162">
        <v>10</v>
      </c>
      <c r="Z7" s="162">
        <v>4</v>
      </c>
      <c r="AA7" s="162">
        <v>2</v>
      </c>
      <c r="AB7" s="162">
        <v>1</v>
      </c>
      <c r="AC7" s="162">
        <v>4</v>
      </c>
      <c r="AD7" s="162">
        <v>3</v>
      </c>
      <c r="AE7" s="162">
        <v>9</v>
      </c>
      <c r="AF7" s="161">
        <v>11</v>
      </c>
      <c r="AG7" s="64">
        <f t="shared" si="2"/>
        <v>140</v>
      </c>
    </row>
    <row r="8" spans="1:33" ht="18.75" x14ac:dyDescent="0.25">
      <c r="A8" s="301" t="s">
        <v>140</v>
      </c>
      <c r="B8" s="249">
        <v>2</v>
      </c>
      <c r="C8" s="162">
        <v>7</v>
      </c>
      <c r="D8" s="162">
        <v>17</v>
      </c>
      <c r="E8" s="162">
        <v>4</v>
      </c>
      <c r="F8" s="162">
        <v>5</v>
      </c>
      <c r="G8" s="162">
        <v>3</v>
      </c>
      <c r="H8" s="162">
        <v>1</v>
      </c>
      <c r="I8" s="162"/>
      <c r="J8" s="162">
        <v>7</v>
      </c>
      <c r="K8" s="162">
        <v>17</v>
      </c>
      <c r="L8" s="162">
        <v>10</v>
      </c>
      <c r="M8" s="162">
        <v>4</v>
      </c>
      <c r="N8" s="162">
        <v>1</v>
      </c>
      <c r="O8" s="162">
        <v>2</v>
      </c>
      <c r="P8" s="162">
        <v>6</v>
      </c>
      <c r="Q8" s="162">
        <v>10</v>
      </c>
      <c r="R8" s="162">
        <v>18</v>
      </c>
      <c r="S8" s="162">
        <v>2</v>
      </c>
      <c r="T8" s="162"/>
      <c r="U8" s="162">
        <v>3</v>
      </c>
      <c r="V8" s="162">
        <v>2</v>
      </c>
      <c r="W8" s="162">
        <v>5</v>
      </c>
      <c r="X8" s="162">
        <v>12</v>
      </c>
      <c r="Y8" s="162">
        <v>7</v>
      </c>
      <c r="Z8" s="162">
        <v>6</v>
      </c>
      <c r="AA8" s="162">
        <v>2</v>
      </c>
      <c r="AB8" s="162">
        <v>1</v>
      </c>
      <c r="AC8" s="162">
        <v>1</v>
      </c>
      <c r="AD8" s="162">
        <v>3</v>
      </c>
      <c r="AE8" s="162">
        <v>8</v>
      </c>
      <c r="AF8" s="161">
        <v>13</v>
      </c>
      <c r="AG8" s="64">
        <f t="shared" si="2"/>
        <v>179</v>
      </c>
    </row>
    <row r="9" spans="1:33" ht="18.75" x14ac:dyDescent="0.25">
      <c r="A9" s="301" t="s">
        <v>139</v>
      </c>
      <c r="B9" s="249">
        <v>3</v>
      </c>
      <c r="C9" s="162">
        <v>7</v>
      </c>
      <c r="D9" s="162">
        <v>13</v>
      </c>
      <c r="E9" s="162">
        <v>3</v>
      </c>
      <c r="F9" s="162">
        <v>4</v>
      </c>
      <c r="G9" s="162">
        <v>1</v>
      </c>
      <c r="H9" s="162">
        <v>3</v>
      </c>
      <c r="I9" s="162">
        <v>2</v>
      </c>
      <c r="J9" s="162">
        <v>9</v>
      </c>
      <c r="K9" s="162">
        <v>8</v>
      </c>
      <c r="L9" s="162">
        <v>8</v>
      </c>
      <c r="M9" s="162">
        <v>3</v>
      </c>
      <c r="N9" s="162">
        <v>1</v>
      </c>
      <c r="O9" s="162">
        <v>2</v>
      </c>
      <c r="P9" s="162">
        <v>1</v>
      </c>
      <c r="Q9" s="162">
        <v>9</v>
      </c>
      <c r="R9" s="162">
        <v>6</v>
      </c>
      <c r="S9" s="162">
        <v>2</v>
      </c>
      <c r="T9" s="162">
        <v>3</v>
      </c>
      <c r="U9" s="162">
        <v>6</v>
      </c>
      <c r="V9" s="162">
        <v>5</v>
      </c>
      <c r="W9" s="162">
        <v>4</v>
      </c>
      <c r="X9" s="162">
        <v>11</v>
      </c>
      <c r="Y9" s="162">
        <v>6</v>
      </c>
      <c r="Z9" s="162"/>
      <c r="AA9" s="162">
        <v>2</v>
      </c>
      <c r="AB9" s="162">
        <v>3</v>
      </c>
      <c r="AC9" s="162">
        <v>4</v>
      </c>
      <c r="AD9" s="162">
        <v>1</v>
      </c>
      <c r="AE9" s="162">
        <v>6</v>
      </c>
      <c r="AF9" s="161">
        <v>15</v>
      </c>
      <c r="AG9" s="64">
        <f t="shared" si="2"/>
        <v>151</v>
      </c>
    </row>
    <row r="10" spans="1:33" ht="18.75" x14ac:dyDescent="0.25">
      <c r="A10" s="301" t="s">
        <v>138</v>
      </c>
      <c r="B10" s="249"/>
      <c r="C10" s="162">
        <v>9</v>
      </c>
      <c r="D10" s="162">
        <v>5</v>
      </c>
      <c r="E10" s="162">
        <v>5</v>
      </c>
      <c r="F10" s="162">
        <v>3</v>
      </c>
      <c r="G10" s="162">
        <v>1</v>
      </c>
      <c r="H10" s="162">
        <v>1</v>
      </c>
      <c r="I10" s="162">
        <v>1</v>
      </c>
      <c r="J10" s="162">
        <v>6</v>
      </c>
      <c r="K10" s="162">
        <v>6</v>
      </c>
      <c r="L10" s="162">
        <v>13</v>
      </c>
      <c r="M10" s="162">
        <v>3</v>
      </c>
      <c r="N10" s="162">
        <v>1</v>
      </c>
      <c r="O10" s="162">
        <v>2</v>
      </c>
      <c r="P10" s="162">
        <v>2</v>
      </c>
      <c r="Q10" s="162">
        <v>8</v>
      </c>
      <c r="R10" s="162">
        <v>7</v>
      </c>
      <c r="S10" s="162">
        <v>3</v>
      </c>
      <c r="T10" s="162"/>
      <c r="U10" s="162">
        <v>3</v>
      </c>
      <c r="V10" s="162">
        <v>2</v>
      </c>
      <c r="W10" s="162">
        <v>11</v>
      </c>
      <c r="X10" s="162">
        <v>12</v>
      </c>
      <c r="Y10" s="162">
        <v>19</v>
      </c>
      <c r="Z10" s="162">
        <v>1</v>
      </c>
      <c r="AA10" s="162">
        <v>5</v>
      </c>
      <c r="AB10" s="162">
        <v>2</v>
      </c>
      <c r="AC10" s="162">
        <v>1</v>
      </c>
      <c r="AD10" s="162">
        <v>1</v>
      </c>
      <c r="AE10" s="162">
        <v>12</v>
      </c>
      <c r="AF10" s="161">
        <v>10</v>
      </c>
      <c r="AG10" s="64">
        <f t="shared" si="2"/>
        <v>155</v>
      </c>
    </row>
    <row r="11" spans="1:33" ht="18.75" x14ac:dyDescent="0.25">
      <c r="A11" s="301" t="s">
        <v>137</v>
      </c>
      <c r="B11" s="249">
        <v>6</v>
      </c>
      <c r="C11" s="162">
        <v>6</v>
      </c>
      <c r="D11" s="162">
        <v>11</v>
      </c>
      <c r="E11" s="162">
        <v>2</v>
      </c>
      <c r="F11" s="162">
        <v>1</v>
      </c>
      <c r="G11" s="162">
        <v>1</v>
      </c>
      <c r="H11" s="162">
        <v>3</v>
      </c>
      <c r="I11" s="162">
        <v>1</v>
      </c>
      <c r="J11" s="162">
        <v>10</v>
      </c>
      <c r="K11" s="162">
        <v>9</v>
      </c>
      <c r="L11" s="162">
        <v>8</v>
      </c>
      <c r="M11" s="162">
        <v>4</v>
      </c>
      <c r="N11" s="162">
        <v>2</v>
      </c>
      <c r="O11" s="162">
        <v>5</v>
      </c>
      <c r="P11" s="162">
        <v>2</v>
      </c>
      <c r="Q11" s="162">
        <v>5</v>
      </c>
      <c r="R11" s="162">
        <v>12</v>
      </c>
      <c r="S11" s="162">
        <v>3</v>
      </c>
      <c r="T11" s="162">
        <v>4</v>
      </c>
      <c r="U11" s="162">
        <v>5</v>
      </c>
      <c r="V11" s="162">
        <v>4</v>
      </c>
      <c r="W11" s="162">
        <v>6</v>
      </c>
      <c r="X11" s="162">
        <v>9</v>
      </c>
      <c r="Y11" s="162">
        <v>12</v>
      </c>
      <c r="Z11" s="162">
        <v>2</v>
      </c>
      <c r="AA11" s="162"/>
      <c r="AB11" s="162">
        <v>4</v>
      </c>
      <c r="AC11" s="162">
        <v>3</v>
      </c>
      <c r="AD11" s="162">
        <v>1</v>
      </c>
      <c r="AE11" s="162">
        <v>14</v>
      </c>
      <c r="AF11" s="161">
        <v>9</v>
      </c>
      <c r="AG11" s="64">
        <f t="shared" si="2"/>
        <v>164</v>
      </c>
    </row>
    <row r="12" spans="1:33" ht="18.75" x14ac:dyDescent="0.25">
      <c r="A12" s="301" t="s">
        <v>136</v>
      </c>
      <c r="B12" s="249">
        <v>5</v>
      </c>
      <c r="C12" s="162">
        <v>5</v>
      </c>
      <c r="D12" s="162">
        <v>9</v>
      </c>
      <c r="E12" s="162">
        <v>5</v>
      </c>
      <c r="F12" s="162">
        <v>4</v>
      </c>
      <c r="G12" s="162">
        <v>7</v>
      </c>
      <c r="H12" s="162">
        <v>3</v>
      </c>
      <c r="I12" s="162">
        <v>2</v>
      </c>
      <c r="J12" s="162">
        <v>12</v>
      </c>
      <c r="K12" s="162">
        <v>11</v>
      </c>
      <c r="L12" s="162">
        <v>8</v>
      </c>
      <c r="M12" s="162">
        <v>5</v>
      </c>
      <c r="N12" s="162">
        <v>4</v>
      </c>
      <c r="O12" s="162">
        <v>4</v>
      </c>
      <c r="P12" s="162">
        <v>5</v>
      </c>
      <c r="Q12" s="162">
        <v>16</v>
      </c>
      <c r="R12" s="162">
        <v>12</v>
      </c>
      <c r="S12" s="162">
        <v>10</v>
      </c>
      <c r="T12" s="162">
        <v>7</v>
      </c>
      <c r="U12" s="162">
        <v>11</v>
      </c>
      <c r="V12" s="162">
        <v>1</v>
      </c>
      <c r="W12" s="162">
        <v>19</v>
      </c>
      <c r="X12" s="162">
        <v>7</v>
      </c>
      <c r="Y12" s="162">
        <v>17</v>
      </c>
      <c r="Z12" s="162">
        <v>4</v>
      </c>
      <c r="AA12" s="162">
        <v>3</v>
      </c>
      <c r="AB12" s="162">
        <v>3</v>
      </c>
      <c r="AC12" s="162">
        <v>9</v>
      </c>
      <c r="AD12" s="162">
        <v>1</v>
      </c>
      <c r="AE12" s="162">
        <v>13</v>
      </c>
      <c r="AF12" s="161">
        <v>4</v>
      </c>
      <c r="AG12" s="64">
        <f t="shared" si="2"/>
        <v>226</v>
      </c>
    </row>
    <row r="13" spans="1:33" ht="18.75" x14ac:dyDescent="0.25">
      <c r="A13" s="301" t="s">
        <v>135</v>
      </c>
      <c r="B13" s="249">
        <v>32</v>
      </c>
      <c r="C13" s="162">
        <v>7</v>
      </c>
      <c r="D13" s="162">
        <v>13</v>
      </c>
      <c r="E13" s="162">
        <v>53</v>
      </c>
      <c r="F13" s="162">
        <v>47</v>
      </c>
      <c r="G13" s="162">
        <v>47</v>
      </c>
      <c r="H13" s="162">
        <v>36</v>
      </c>
      <c r="I13" s="162">
        <v>37</v>
      </c>
      <c r="J13" s="162">
        <v>12</v>
      </c>
      <c r="K13" s="162">
        <v>9</v>
      </c>
      <c r="L13" s="162">
        <v>20</v>
      </c>
      <c r="M13" s="162">
        <v>54</v>
      </c>
      <c r="N13" s="162">
        <v>29</v>
      </c>
      <c r="O13" s="162">
        <v>47</v>
      </c>
      <c r="P13" s="162">
        <v>38</v>
      </c>
      <c r="Q13" s="162">
        <v>8</v>
      </c>
      <c r="R13" s="162">
        <v>19</v>
      </c>
      <c r="S13" s="162">
        <v>43</v>
      </c>
      <c r="T13" s="162">
        <v>53</v>
      </c>
      <c r="U13" s="162">
        <v>48</v>
      </c>
      <c r="V13" s="162">
        <v>46</v>
      </c>
      <c r="W13" s="162">
        <v>23</v>
      </c>
      <c r="X13" s="162">
        <v>12</v>
      </c>
      <c r="Y13" s="162">
        <v>19</v>
      </c>
      <c r="Z13" s="162">
        <v>51</v>
      </c>
      <c r="AA13" s="162">
        <v>38</v>
      </c>
      <c r="AB13" s="162">
        <v>32</v>
      </c>
      <c r="AC13" s="162">
        <v>36</v>
      </c>
      <c r="AD13" s="162">
        <v>46</v>
      </c>
      <c r="AE13" s="162">
        <v>15</v>
      </c>
      <c r="AF13" s="161">
        <v>14</v>
      </c>
      <c r="AG13" s="64">
        <f t="shared" si="2"/>
        <v>984</v>
      </c>
    </row>
    <row r="14" spans="1:33" ht="18.75" x14ac:dyDescent="0.25">
      <c r="A14" s="301" t="s">
        <v>134</v>
      </c>
      <c r="B14" s="249">
        <v>14</v>
      </c>
      <c r="C14" s="162">
        <v>6</v>
      </c>
      <c r="D14" s="162">
        <v>10</v>
      </c>
      <c r="E14" s="162">
        <v>16</v>
      </c>
      <c r="F14" s="162">
        <v>15</v>
      </c>
      <c r="G14" s="162">
        <v>17</v>
      </c>
      <c r="H14" s="162">
        <v>15</v>
      </c>
      <c r="I14" s="162">
        <v>13</v>
      </c>
      <c r="J14" s="162">
        <v>13</v>
      </c>
      <c r="K14" s="162">
        <v>15</v>
      </c>
      <c r="L14" s="162">
        <v>11</v>
      </c>
      <c r="M14" s="162">
        <v>32</v>
      </c>
      <c r="N14" s="162">
        <v>22</v>
      </c>
      <c r="O14" s="162">
        <v>18</v>
      </c>
      <c r="P14" s="162">
        <v>10</v>
      </c>
      <c r="Q14" s="162">
        <v>14</v>
      </c>
      <c r="R14" s="162">
        <v>11</v>
      </c>
      <c r="S14" s="162">
        <v>22</v>
      </c>
      <c r="T14" s="162">
        <v>14</v>
      </c>
      <c r="U14" s="162">
        <v>22</v>
      </c>
      <c r="V14" s="162">
        <v>21</v>
      </c>
      <c r="W14" s="162">
        <v>17</v>
      </c>
      <c r="X14" s="162">
        <v>11</v>
      </c>
      <c r="Y14" s="162">
        <v>13</v>
      </c>
      <c r="Z14" s="162">
        <v>10</v>
      </c>
      <c r="AA14" s="162">
        <v>12</v>
      </c>
      <c r="AB14" s="162">
        <v>23</v>
      </c>
      <c r="AC14" s="162">
        <v>12</v>
      </c>
      <c r="AD14" s="162">
        <v>16</v>
      </c>
      <c r="AE14" s="162">
        <v>6</v>
      </c>
      <c r="AF14" s="161">
        <v>14</v>
      </c>
      <c r="AG14" s="64">
        <f t="shared" si="2"/>
        <v>465</v>
      </c>
    </row>
    <row r="15" spans="1:33" ht="18.75" x14ac:dyDescent="0.25">
      <c r="A15" s="301" t="s">
        <v>133</v>
      </c>
      <c r="B15" s="249">
        <v>11</v>
      </c>
      <c r="C15" s="162">
        <v>9</v>
      </c>
      <c r="D15" s="162">
        <v>17</v>
      </c>
      <c r="E15" s="162">
        <v>17</v>
      </c>
      <c r="F15" s="162">
        <v>24</v>
      </c>
      <c r="G15" s="162">
        <v>19</v>
      </c>
      <c r="H15" s="162">
        <v>18</v>
      </c>
      <c r="I15" s="162">
        <v>21</v>
      </c>
      <c r="J15" s="162">
        <v>13</v>
      </c>
      <c r="K15" s="162">
        <v>7</v>
      </c>
      <c r="L15" s="162">
        <v>17</v>
      </c>
      <c r="M15" s="162">
        <v>14</v>
      </c>
      <c r="N15" s="162">
        <v>15</v>
      </c>
      <c r="O15" s="162">
        <v>7</v>
      </c>
      <c r="P15" s="162">
        <v>12</v>
      </c>
      <c r="Q15" s="162">
        <v>12</v>
      </c>
      <c r="R15" s="162">
        <v>9</v>
      </c>
      <c r="S15" s="162">
        <v>23</v>
      </c>
      <c r="T15" s="162">
        <v>16</v>
      </c>
      <c r="U15" s="162">
        <v>5</v>
      </c>
      <c r="V15" s="162">
        <v>6</v>
      </c>
      <c r="W15" s="162">
        <v>9</v>
      </c>
      <c r="X15" s="162">
        <v>9</v>
      </c>
      <c r="Y15" s="162">
        <v>11</v>
      </c>
      <c r="Z15" s="162">
        <v>18</v>
      </c>
      <c r="AA15" s="162">
        <v>14</v>
      </c>
      <c r="AB15" s="162">
        <v>15</v>
      </c>
      <c r="AC15" s="162">
        <v>20</v>
      </c>
      <c r="AD15" s="162">
        <v>13</v>
      </c>
      <c r="AE15" s="162">
        <v>10</v>
      </c>
      <c r="AF15" s="161">
        <v>11</v>
      </c>
      <c r="AG15" s="64">
        <f t="shared" si="2"/>
        <v>422</v>
      </c>
    </row>
    <row r="16" spans="1:33" ht="18.75" x14ac:dyDescent="0.25">
      <c r="A16" s="301" t="s">
        <v>132</v>
      </c>
      <c r="B16" s="249">
        <v>8</v>
      </c>
      <c r="C16" s="162">
        <v>4</v>
      </c>
      <c r="D16" s="162">
        <v>17</v>
      </c>
      <c r="E16" s="162">
        <v>15</v>
      </c>
      <c r="F16" s="162">
        <v>12</v>
      </c>
      <c r="G16" s="162">
        <v>14</v>
      </c>
      <c r="H16" s="162">
        <v>13</v>
      </c>
      <c r="I16" s="162">
        <v>9</v>
      </c>
      <c r="J16" s="162">
        <v>5</v>
      </c>
      <c r="K16" s="162">
        <v>4</v>
      </c>
      <c r="L16" s="162">
        <v>5</v>
      </c>
      <c r="M16" s="162">
        <v>19</v>
      </c>
      <c r="N16" s="162">
        <v>14</v>
      </c>
      <c r="O16" s="162">
        <v>18</v>
      </c>
      <c r="P16" s="162">
        <v>10</v>
      </c>
      <c r="Q16" s="162">
        <v>13</v>
      </c>
      <c r="R16" s="162">
        <v>12</v>
      </c>
      <c r="S16" s="162">
        <v>14</v>
      </c>
      <c r="T16" s="162">
        <v>13</v>
      </c>
      <c r="U16" s="162">
        <v>10</v>
      </c>
      <c r="V16" s="162">
        <v>17</v>
      </c>
      <c r="W16" s="162">
        <v>12</v>
      </c>
      <c r="X16" s="162">
        <v>11</v>
      </c>
      <c r="Y16" s="162">
        <v>7</v>
      </c>
      <c r="Z16" s="162">
        <v>16</v>
      </c>
      <c r="AA16" s="162">
        <v>15</v>
      </c>
      <c r="AB16" s="162">
        <v>27</v>
      </c>
      <c r="AC16" s="162">
        <v>13</v>
      </c>
      <c r="AD16" s="162">
        <v>24</v>
      </c>
      <c r="AE16" s="162">
        <v>10</v>
      </c>
      <c r="AF16" s="161">
        <v>5</v>
      </c>
      <c r="AG16" s="64">
        <f t="shared" si="2"/>
        <v>386</v>
      </c>
    </row>
    <row r="17" spans="1:33" ht="18.75" x14ac:dyDescent="0.25">
      <c r="A17" s="301" t="s">
        <v>131</v>
      </c>
      <c r="B17" s="249">
        <v>13</v>
      </c>
      <c r="C17" s="162">
        <v>9</v>
      </c>
      <c r="D17" s="162">
        <v>4</v>
      </c>
      <c r="E17" s="162">
        <v>8</v>
      </c>
      <c r="F17" s="162">
        <v>13</v>
      </c>
      <c r="G17" s="162">
        <v>10</v>
      </c>
      <c r="H17" s="162">
        <v>12</v>
      </c>
      <c r="I17" s="162">
        <v>6</v>
      </c>
      <c r="J17" s="162">
        <v>5</v>
      </c>
      <c r="K17" s="162">
        <v>13</v>
      </c>
      <c r="L17" s="162">
        <v>11</v>
      </c>
      <c r="M17" s="162">
        <v>10</v>
      </c>
      <c r="N17" s="162">
        <v>13</v>
      </c>
      <c r="O17" s="162">
        <v>7</v>
      </c>
      <c r="P17" s="162">
        <v>8</v>
      </c>
      <c r="Q17" s="162">
        <v>11</v>
      </c>
      <c r="R17" s="162">
        <v>7</v>
      </c>
      <c r="S17" s="162">
        <v>12</v>
      </c>
      <c r="T17" s="162">
        <v>4</v>
      </c>
      <c r="U17" s="162">
        <v>16</v>
      </c>
      <c r="V17" s="162">
        <v>9</v>
      </c>
      <c r="W17" s="162">
        <v>7</v>
      </c>
      <c r="X17" s="162">
        <v>9</v>
      </c>
      <c r="Y17" s="162">
        <v>2</v>
      </c>
      <c r="Z17" s="162">
        <v>11</v>
      </c>
      <c r="AA17" s="162">
        <v>12</v>
      </c>
      <c r="AB17" s="162">
        <v>12</v>
      </c>
      <c r="AC17" s="162">
        <v>9</v>
      </c>
      <c r="AD17" s="162">
        <v>8</v>
      </c>
      <c r="AE17" s="162">
        <v>6</v>
      </c>
      <c r="AF17" s="161">
        <v>5</v>
      </c>
      <c r="AG17" s="64">
        <f t="shared" si="2"/>
        <v>282</v>
      </c>
    </row>
    <row r="18" spans="1:33" ht="18.75" x14ac:dyDescent="0.25">
      <c r="A18" s="301" t="s">
        <v>130</v>
      </c>
      <c r="B18" s="249">
        <v>4</v>
      </c>
      <c r="C18" s="162">
        <v>5</v>
      </c>
      <c r="D18" s="162">
        <v>8</v>
      </c>
      <c r="E18" s="162">
        <v>10</v>
      </c>
      <c r="F18" s="162">
        <v>10</v>
      </c>
      <c r="G18" s="162">
        <v>13</v>
      </c>
      <c r="H18" s="162">
        <v>12</v>
      </c>
      <c r="I18" s="162">
        <v>5</v>
      </c>
      <c r="J18" s="162">
        <v>3</v>
      </c>
      <c r="K18" s="162">
        <v>5</v>
      </c>
      <c r="L18" s="162">
        <v>17</v>
      </c>
      <c r="M18" s="162">
        <v>13</v>
      </c>
      <c r="N18" s="162">
        <v>13</v>
      </c>
      <c r="O18" s="162">
        <v>9</v>
      </c>
      <c r="P18" s="162">
        <v>6</v>
      </c>
      <c r="Q18" s="162">
        <v>10</v>
      </c>
      <c r="R18" s="162">
        <v>7</v>
      </c>
      <c r="S18" s="162">
        <v>14</v>
      </c>
      <c r="T18" s="162">
        <v>16</v>
      </c>
      <c r="U18" s="162">
        <v>12</v>
      </c>
      <c r="V18" s="162">
        <v>16</v>
      </c>
      <c r="W18" s="162">
        <v>9</v>
      </c>
      <c r="X18" s="162">
        <v>15</v>
      </c>
      <c r="Y18" s="162">
        <v>11</v>
      </c>
      <c r="Z18" s="162">
        <v>13</v>
      </c>
      <c r="AA18" s="162">
        <v>10</v>
      </c>
      <c r="AB18" s="162">
        <v>8</v>
      </c>
      <c r="AC18" s="162">
        <v>9</v>
      </c>
      <c r="AD18" s="162">
        <v>11</v>
      </c>
      <c r="AE18" s="162">
        <v>10</v>
      </c>
      <c r="AF18" s="161">
        <v>3</v>
      </c>
      <c r="AG18" s="64">
        <f t="shared" si="2"/>
        <v>307</v>
      </c>
    </row>
    <row r="19" spans="1:33" ht="18.75" x14ac:dyDescent="0.25">
      <c r="A19" s="301" t="s">
        <v>129</v>
      </c>
      <c r="B19" s="249">
        <v>3</v>
      </c>
      <c r="C19" s="162">
        <v>7</v>
      </c>
      <c r="D19" s="162">
        <v>5</v>
      </c>
      <c r="E19" s="162">
        <v>9</v>
      </c>
      <c r="F19" s="162">
        <v>3</v>
      </c>
      <c r="G19" s="162">
        <v>4</v>
      </c>
      <c r="H19" s="162">
        <v>2</v>
      </c>
      <c r="I19" s="162">
        <v>9</v>
      </c>
      <c r="J19" s="162">
        <v>4</v>
      </c>
      <c r="K19" s="162">
        <v>6</v>
      </c>
      <c r="L19" s="162"/>
      <c r="M19" s="162">
        <v>3</v>
      </c>
      <c r="N19" s="162">
        <v>2</v>
      </c>
      <c r="O19" s="162">
        <v>4</v>
      </c>
      <c r="P19" s="162">
        <v>5</v>
      </c>
      <c r="Q19" s="162">
        <v>3</v>
      </c>
      <c r="R19" s="162">
        <v>9</v>
      </c>
      <c r="S19" s="162">
        <v>3</v>
      </c>
      <c r="T19" s="162">
        <v>5</v>
      </c>
      <c r="U19" s="162">
        <v>7</v>
      </c>
      <c r="V19" s="162">
        <v>8</v>
      </c>
      <c r="W19" s="162">
        <v>11</v>
      </c>
      <c r="X19" s="162">
        <v>11</v>
      </c>
      <c r="Y19" s="162">
        <v>8</v>
      </c>
      <c r="Z19" s="162">
        <v>10</v>
      </c>
      <c r="AA19" s="162">
        <v>4</v>
      </c>
      <c r="AB19" s="162">
        <v>4</v>
      </c>
      <c r="AC19" s="162">
        <v>10</v>
      </c>
      <c r="AD19" s="162">
        <v>3</v>
      </c>
      <c r="AE19" s="162">
        <v>6</v>
      </c>
      <c r="AF19" s="161">
        <v>6</v>
      </c>
      <c r="AG19" s="64">
        <f t="shared" si="2"/>
        <v>174</v>
      </c>
    </row>
    <row r="20" spans="1:33" ht="18.75" x14ac:dyDescent="0.25">
      <c r="A20" s="301" t="s">
        <v>128</v>
      </c>
      <c r="B20" s="249">
        <v>5</v>
      </c>
      <c r="C20" s="162">
        <v>3</v>
      </c>
      <c r="D20" s="162">
        <v>1</v>
      </c>
      <c r="E20" s="162">
        <v>1</v>
      </c>
      <c r="F20" s="162"/>
      <c r="G20" s="162">
        <v>4</v>
      </c>
      <c r="H20" s="162">
        <v>2</v>
      </c>
      <c r="I20" s="162">
        <v>3</v>
      </c>
      <c r="J20" s="162">
        <v>4</v>
      </c>
      <c r="K20" s="162">
        <v>5</v>
      </c>
      <c r="L20" s="162">
        <v>4</v>
      </c>
      <c r="M20" s="162">
        <v>1</v>
      </c>
      <c r="N20" s="162">
        <v>1</v>
      </c>
      <c r="O20" s="162">
        <v>8</v>
      </c>
      <c r="P20" s="162">
        <v>3</v>
      </c>
      <c r="Q20" s="162">
        <v>4</v>
      </c>
      <c r="R20" s="162">
        <v>7</v>
      </c>
      <c r="S20" s="162">
        <v>3</v>
      </c>
      <c r="T20" s="162">
        <v>5</v>
      </c>
      <c r="U20" s="162">
        <v>2</v>
      </c>
      <c r="V20" s="162">
        <v>2</v>
      </c>
      <c r="W20" s="162">
        <v>4</v>
      </c>
      <c r="X20" s="162">
        <v>2</v>
      </c>
      <c r="Y20" s="162"/>
      <c r="Z20" s="162">
        <v>6</v>
      </c>
      <c r="AA20" s="162">
        <v>1</v>
      </c>
      <c r="AB20" s="162">
        <v>2</v>
      </c>
      <c r="AC20" s="162">
        <v>5</v>
      </c>
      <c r="AD20" s="162">
        <v>4</v>
      </c>
      <c r="AE20" s="162">
        <v>3</v>
      </c>
      <c r="AF20" s="161">
        <v>2</v>
      </c>
      <c r="AG20" s="64">
        <f t="shared" si="2"/>
        <v>97</v>
      </c>
    </row>
    <row r="21" spans="1:33" ht="18.75" x14ac:dyDescent="0.25">
      <c r="A21" s="301" t="s">
        <v>127</v>
      </c>
      <c r="B21" s="249">
        <v>3</v>
      </c>
      <c r="C21" s="162">
        <v>3</v>
      </c>
      <c r="D21" s="162">
        <v>1</v>
      </c>
      <c r="E21" s="162">
        <v>1</v>
      </c>
      <c r="F21" s="162">
        <v>1</v>
      </c>
      <c r="G21" s="162">
        <v>1</v>
      </c>
      <c r="H21" s="162">
        <v>3</v>
      </c>
      <c r="I21" s="162">
        <v>3</v>
      </c>
      <c r="J21" s="162">
        <v>4</v>
      </c>
      <c r="K21" s="162">
        <v>2</v>
      </c>
      <c r="L21" s="162">
        <v>3</v>
      </c>
      <c r="M21" s="162"/>
      <c r="N21" s="162">
        <v>2</v>
      </c>
      <c r="O21" s="162">
        <v>2</v>
      </c>
      <c r="P21" s="162">
        <v>1</v>
      </c>
      <c r="Q21" s="162">
        <v>4</v>
      </c>
      <c r="R21" s="162">
        <v>1</v>
      </c>
      <c r="S21" s="162">
        <v>2</v>
      </c>
      <c r="T21" s="162">
        <v>1</v>
      </c>
      <c r="U21" s="162">
        <v>4</v>
      </c>
      <c r="V21" s="162">
        <v>2</v>
      </c>
      <c r="W21" s="162"/>
      <c r="X21" s="162">
        <v>6</v>
      </c>
      <c r="Y21" s="162">
        <v>1</v>
      </c>
      <c r="Z21" s="162">
        <v>1</v>
      </c>
      <c r="AA21" s="162">
        <v>3</v>
      </c>
      <c r="AB21" s="162">
        <v>4</v>
      </c>
      <c r="AC21" s="162">
        <v>7</v>
      </c>
      <c r="AD21" s="162">
        <v>2</v>
      </c>
      <c r="AE21" s="162">
        <v>2</v>
      </c>
      <c r="AF21" s="161">
        <v>1</v>
      </c>
      <c r="AG21" s="64">
        <f t="shared" si="2"/>
        <v>71</v>
      </c>
    </row>
    <row r="22" spans="1:33" ht="18.75" x14ac:dyDescent="0.25">
      <c r="A22" s="301" t="s">
        <v>126</v>
      </c>
      <c r="B22" s="249">
        <v>2</v>
      </c>
      <c r="C22" s="162"/>
      <c r="D22" s="162">
        <v>2</v>
      </c>
      <c r="E22" s="162"/>
      <c r="F22" s="162">
        <v>1</v>
      </c>
      <c r="G22" s="162"/>
      <c r="H22" s="162">
        <v>1</v>
      </c>
      <c r="I22" s="162"/>
      <c r="J22" s="162"/>
      <c r="K22" s="162">
        <v>2</v>
      </c>
      <c r="L22" s="162">
        <v>4</v>
      </c>
      <c r="M22" s="162">
        <v>2</v>
      </c>
      <c r="N22" s="162">
        <v>3</v>
      </c>
      <c r="O22" s="162">
        <v>1</v>
      </c>
      <c r="P22" s="162"/>
      <c r="Q22" s="162">
        <v>2</v>
      </c>
      <c r="R22" s="162">
        <v>4</v>
      </c>
      <c r="S22" s="162">
        <v>1</v>
      </c>
      <c r="T22" s="162">
        <v>2</v>
      </c>
      <c r="U22" s="162"/>
      <c r="V22" s="162">
        <v>2</v>
      </c>
      <c r="W22" s="162">
        <v>2</v>
      </c>
      <c r="X22" s="162">
        <v>1</v>
      </c>
      <c r="Y22" s="162">
        <v>1</v>
      </c>
      <c r="Z22" s="162">
        <v>3</v>
      </c>
      <c r="AA22" s="162">
        <v>2</v>
      </c>
      <c r="AB22" s="162">
        <v>2</v>
      </c>
      <c r="AC22" s="162">
        <v>1</v>
      </c>
      <c r="AD22" s="162">
        <v>3</v>
      </c>
      <c r="AE22" s="162"/>
      <c r="AF22" s="161"/>
      <c r="AG22" s="64">
        <f t="shared" si="2"/>
        <v>44</v>
      </c>
    </row>
    <row r="23" spans="1:33" ht="18.75" x14ac:dyDescent="0.25">
      <c r="A23" s="301" t="s">
        <v>125</v>
      </c>
      <c r="B23" s="249">
        <v>1</v>
      </c>
      <c r="C23" s="162">
        <v>2</v>
      </c>
      <c r="D23" s="162"/>
      <c r="E23" s="162"/>
      <c r="F23" s="162"/>
      <c r="G23" s="162">
        <v>3</v>
      </c>
      <c r="H23" s="162">
        <v>2</v>
      </c>
      <c r="I23" s="162"/>
      <c r="J23" s="162">
        <v>1</v>
      </c>
      <c r="K23" s="162">
        <v>5</v>
      </c>
      <c r="L23" s="162">
        <v>1</v>
      </c>
      <c r="M23" s="162"/>
      <c r="N23" s="162">
        <v>2</v>
      </c>
      <c r="O23" s="162">
        <v>1</v>
      </c>
      <c r="P23" s="162">
        <v>2</v>
      </c>
      <c r="Q23" s="162">
        <v>1</v>
      </c>
      <c r="R23" s="162">
        <v>2</v>
      </c>
      <c r="S23" s="162"/>
      <c r="T23" s="162">
        <v>1</v>
      </c>
      <c r="U23" s="162">
        <v>5</v>
      </c>
      <c r="V23" s="162"/>
      <c r="W23" s="162"/>
      <c r="X23" s="162">
        <v>1</v>
      </c>
      <c r="Y23" s="162">
        <v>1</v>
      </c>
      <c r="Z23" s="162">
        <v>1</v>
      </c>
      <c r="AA23" s="162"/>
      <c r="AB23" s="162"/>
      <c r="AC23" s="162">
        <v>1</v>
      </c>
      <c r="AD23" s="162"/>
      <c r="AE23" s="162"/>
      <c r="AF23" s="161"/>
      <c r="AG23" s="64">
        <f t="shared" si="2"/>
        <v>33</v>
      </c>
    </row>
    <row r="24" spans="1:33" ht="18.75" x14ac:dyDescent="0.25">
      <c r="A24" s="301" t="s">
        <v>124</v>
      </c>
      <c r="B24" s="249">
        <v>1</v>
      </c>
      <c r="C24" s="162">
        <v>4</v>
      </c>
      <c r="D24" s="162">
        <v>1</v>
      </c>
      <c r="E24" s="162">
        <v>1</v>
      </c>
      <c r="F24" s="162"/>
      <c r="G24" s="162"/>
      <c r="H24" s="162"/>
      <c r="I24" s="162">
        <v>2</v>
      </c>
      <c r="J24" s="162">
        <v>1</v>
      </c>
      <c r="K24" s="162">
        <v>1</v>
      </c>
      <c r="L24" s="162">
        <v>1</v>
      </c>
      <c r="M24" s="162"/>
      <c r="N24" s="162"/>
      <c r="O24" s="162">
        <v>2</v>
      </c>
      <c r="P24" s="162">
        <v>3</v>
      </c>
      <c r="Q24" s="162">
        <v>1</v>
      </c>
      <c r="R24" s="162">
        <v>2</v>
      </c>
      <c r="S24" s="162">
        <v>2</v>
      </c>
      <c r="T24" s="162"/>
      <c r="U24" s="162">
        <v>1</v>
      </c>
      <c r="V24" s="162"/>
      <c r="W24" s="162"/>
      <c r="X24" s="162">
        <v>1</v>
      </c>
      <c r="Y24" s="162">
        <v>2</v>
      </c>
      <c r="Z24" s="162">
        <v>2</v>
      </c>
      <c r="AA24" s="162"/>
      <c r="AB24" s="162">
        <v>4</v>
      </c>
      <c r="AC24" s="162">
        <v>2</v>
      </c>
      <c r="AD24" s="162">
        <v>1</v>
      </c>
      <c r="AE24" s="162">
        <v>2</v>
      </c>
      <c r="AF24" s="161"/>
      <c r="AG24" s="64">
        <f t="shared" si="2"/>
        <v>37</v>
      </c>
    </row>
    <row r="25" spans="1:33" ht="18.75" x14ac:dyDescent="0.25">
      <c r="A25" s="301" t="s">
        <v>123</v>
      </c>
      <c r="B25" s="249"/>
      <c r="C25" s="162">
        <v>1</v>
      </c>
      <c r="D25" s="162">
        <v>1</v>
      </c>
      <c r="E25" s="162"/>
      <c r="F25" s="162"/>
      <c r="G25" s="162"/>
      <c r="H25" s="162"/>
      <c r="I25" s="162">
        <v>1</v>
      </c>
      <c r="J25" s="162">
        <v>3</v>
      </c>
      <c r="K25" s="162"/>
      <c r="L25" s="162"/>
      <c r="M25" s="162"/>
      <c r="N25" s="162">
        <v>2</v>
      </c>
      <c r="O25" s="162"/>
      <c r="P25" s="162"/>
      <c r="Q25" s="162"/>
      <c r="R25" s="162"/>
      <c r="S25" s="162"/>
      <c r="T25" s="162">
        <v>1</v>
      </c>
      <c r="U25" s="162"/>
      <c r="V25" s="162"/>
      <c r="W25" s="162"/>
      <c r="X25" s="162"/>
      <c r="Y25" s="162"/>
      <c r="Z25" s="162">
        <v>1</v>
      </c>
      <c r="AA25" s="162"/>
      <c r="AB25" s="162"/>
      <c r="AC25" s="162"/>
      <c r="AD25" s="162">
        <v>3</v>
      </c>
      <c r="AE25" s="162">
        <v>2</v>
      </c>
      <c r="AF25" s="161">
        <v>2</v>
      </c>
      <c r="AG25" s="64">
        <f t="shared" si="2"/>
        <v>17</v>
      </c>
    </row>
    <row r="26" spans="1:33" ht="18.75" x14ac:dyDescent="0.25">
      <c r="A26" s="301" t="s">
        <v>122</v>
      </c>
      <c r="B26" s="249">
        <v>2</v>
      </c>
      <c r="C26" s="162"/>
      <c r="D26" s="162"/>
      <c r="E26" s="162"/>
      <c r="F26" s="162"/>
      <c r="G26" s="162">
        <v>1</v>
      </c>
      <c r="H26" s="162">
        <v>1</v>
      </c>
      <c r="I26" s="162"/>
      <c r="J26" s="162"/>
      <c r="K26" s="162">
        <v>1</v>
      </c>
      <c r="L26" s="162">
        <v>1</v>
      </c>
      <c r="M26" s="162"/>
      <c r="N26" s="162"/>
      <c r="O26" s="162">
        <v>1</v>
      </c>
      <c r="P26" s="162">
        <v>1</v>
      </c>
      <c r="Q26" s="162">
        <v>3</v>
      </c>
      <c r="R26" s="162">
        <v>1</v>
      </c>
      <c r="S26" s="162">
        <v>2</v>
      </c>
      <c r="T26" s="162">
        <v>1</v>
      </c>
      <c r="U26" s="162">
        <v>2</v>
      </c>
      <c r="V26" s="162">
        <v>1</v>
      </c>
      <c r="W26" s="162">
        <v>1</v>
      </c>
      <c r="X26" s="162"/>
      <c r="Y26" s="162">
        <v>1</v>
      </c>
      <c r="Z26" s="162"/>
      <c r="AA26" s="162">
        <v>2</v>
      </c>
      <c r="AB26" s="162"/>
      <c r="AC26" s="162">
        <v>1</v>
      </c>
      <c r="AD26" s="162"/>
      <c r="AE26" s="162">
        <v>1</v>
      </c>
      <c r="AF26" s="161"/>
      <c r="AG26" s="64">
        <f t="shared" si="2"/>
        <v>24</v>
      </c>
    </row>
    <row r="27" spans="1:33" ht="19.5" thickBot="1" x14ac:dyDescent="0.3">
      <c r="A27" s="302" t="s">
        <v>121</v>
      </c>
      <c r="B27" s="250"/>
      <c r="C27" s="212">
        <v>2</v>
      </c>
      <c r="D27" s="212"/>
      <c r="E27" s="212"/>
      <c r="F27" s="212"/>
      <c r="G27" s="212"/>
      <c r="H27" s="212"/>
      <c r="I27" s="212">
        <v>1</v>
      </c>
      <c r="J27" s="212"/>
      <c r="K27" s="212">
        <v>1</v>
      </c>
      <c r="L27" s="212"/>
      <c r="M27" s="212">
        <v>1</v>
      </c>
      <c r="N27" s="212"/>
      <c r="O27" s="212"/>
      <c r="P27" s="212">
        <v>1</v>
      </c>
      <c r="Q27" s="212"/>
      <c r="R27" s="212"/>
      <c r="S27" s="212"/>
      <c r="T27" s="212">
        <v>1</v>
      </c>
      <c r="U27" s="212"/>
      <c r="V27" s="212"/>
      <c r="W27" s="212"/>
      <c r="X27" s="212">
        <v>1</v>
      </c>
      <c r="Y27" s="212"/>
      <c r="Z27" s="212">
        <v>1</v>
      </c>
      <c r="AA27" s="212">
        <v>1</v>
      </c>
      <c r="AB27" s="212"/>
      <c r="AC27" s="212">
        <v>1</v>
      </c>
      <c r="AD27" s="212">
        <v>2</v>
      </c>
      <c r="AE27" s="212">
        <v>3</v>
      </c>
      <c r="AF27" s="211">
        <v>1</v>
      </c>
      <c r="AG27" s="64">
        <f t="shared" si="2"/>
        <v>17</v>
      </c>
    </row>
    <row r="28" spans="1:33" ht="18.75" x14ac:dyDescent="0.25">
      <c r="A28" s="303" t="s">
        <v>146</v>
      </c>
      <c r="B28" s="251">
        <f t="shared" ref="B28:AF28" si="3">SUM(B29:B52)</f>
        <v>113</v>
      </c>
      <c r="C28" s="209">
        <f t="shared" si="3"/>
        <v>112</v>
      </c>
      <c r="D28" s="209">
        <f t="shared" si="3"/>
        <v>154</v>
      </c>
      <c r="E28" s="209">
        <f t="shared" si="3"/>
        <v>148</v>
      </c>
      <c r="F28" s="209">
        <f t="shared" si="3"/>
        <v>153</v>
      </c>
      <c r="G28" s="209">
        <f t="shared" si="3"/>
        <v>143</v>
      </c>
      <c r="H28" s="209">
        <f t="shared" si="3"/>
        <v>128</v>
      </c>
      <c r="I28" s="209">
        <f t="shared" si="3"/>
        <v>126</v>
      </c>
      <c r="J28" s="209">
        <f t="shared" si="3"/>
        <v>131</v>
      </c>
      <c r="K28" s="209">
        <f t="shared" si="3"/>
        <v>146</v>
      </c>
      <c r="L28" s="209">
        <f t="shared" si="3"/>
        <v>173</v>
      </c>
      <c r="M28" s="209">
        <f t="shared" si="3"/>
        <v>157</v>
      </c>
      <c r="N28" s="209">
        <f t="shared" si="3"/>
        <v>132</v>
      </c>
      <c r="O28" s="209">
        <f t="shared" si="3"/>
        <v>137</v>
      </c>
      <c r="P28" s="209">
        <f t="shared" si="3"/>
        <v>119</v>
      </c>
      <c r="Q28" s="209">
        <f t="shared" si="3"/>
        <v>179</v>
      </c>
      <c r="R28" s="209">
        <f t="shared" si="3"/>
        <v>180</v>
      </c>
      <c r="S28" s="209">
        <f t="shared" si="3"/>
        <v>151</v>
      </c>
      <c r="T28" s="209">
        <f t="shared" si="3"/>
        <v>143</v>
      </c>
      <c r="U28" s="209">
        <f t="shared" si="3"/>
        <v>157</v>
      </c>
      <c r="V28" s="209">
        <f t="shared" si="3"/>
        <v>144</v>
      </c>
      <c r="W28" s="209">
        <f t="shared" si="3"/>
        <v>143</v>
      </c>
      <c r="X28" s="209">
        <f t="shared" si="3"/>
        <v>167</v>
      </c>
      <c r="Y28" s="209">
        <f t="shared" si="3"/>
        <v>172</v>
      </c>
      <c r="Z28" s="209">
        <f t="shared" si="3"/>
        <v>147</v>
      </c>
      <c r="AA28" s="209">
        <f t="shared" si="3"/>
        <v>138</v>
      </c>
      <c r="AB28" s="209">
        <f t="shared" si="3"/>
        <v>152</v>
      </c>
      <c r="AC28" s="209">
        <f t="shared" si="3"/>
        <v>152</v>
      </c>
      <c r="AD28" s="209">
        <f t="shared" si="3"/>
        <v>147</v>
      </c>
      <c r="AE28" s="209">
        <f t="shared" si="3"/>
        <v>152</v>
      </c>
      <c r="AF28" s="209">
        <f t="shared" si="3"/>
        <v>153</v>
      </c>
      <c r="AG28" s="164">
        <f t="shared" si="2"/>
        <v>4549</v>
      </c>
    </row>
    <row r="29" spans="1:33" ht="18.75" x14ac:dyDescent="0.25">
      <c r="A29" s="301" t="s">
        <v>144</v>
      </c>
      <c r="B29" s="249">
        <v>2</v>
      </c>
      <c r="C29" s="162">
        <v>2</v>
      </c>
      <c r="D29" s="162">
        <v>2</v>
      </c>
      <c r="E29" s="162">
        <v>2</v>
      </c>
      <c r="F29" s="162"/>
      <c r="G29" s="162">
        <v>2</v>
      </c>
      <c r="H29" s="162"/>
      <c r="I29" s="162">
        <v>1</v>
      </c>
      <c r="J29" s="162">
        <v>3</v>
      </c>
      <c r="K29" s="162">
        <v>5</v>
      </c>
      <c r="L29" s="162">
        <v>1</v>
      </c>
      <c r="M29" s="162">
        <v>1</v>
      </c>
      <c r="N29" s="162"/>
      <c r="O29" s="162"/>
      <c r="P29" s="162"/>
      <c r="Q29" s="162"/>
      <c r="R29" s="162"/>
      <c r="S29" s="162">
        <v>1</v>
      </c>
      <c r="T29" s="162">
        <v>1</v>
      </c>
      <c r="U29" s="162">
        <v>1</v>
      </c>
      <c r="V29" s="162">
        <v>2</v>
      </c>
      <c r="W29" s="162">
        <v>1</v>
      </c>
      <c r="X29" s="162">
        <v>1</v>
      </c>
      <c r="Y29" s="162">
        <v>1</v>
      </c>
      <c r="Z29" s="162">
        <v>1</v>
      </c>
      <c r="AA29" s="162">
        <v>1</v>
      </c>
      <c r="AB29" s="162">
        <v>1</v>
      </c>
      <c r="AC29" s="162">
        <v>1</v>
      </c>
      <c r="AD29" s="162">
        <v>5</v>
      </c>
      <c r="AE29" s="162">
        <v>2</v>
      </c>
      <c r="AF29" s="161">
        <v>4</v>
      </c>
      <c r="AG29" s="64">
        <f t="shared" si="2"/>
        <v>44</v>
      </c>
    </row>
    <row r="30" spans="1:33" ht="18.75" x14ac:dyDescent="0.25">
      <c r="A30" s="301" t="s">
        <v>143</v>
      </c>
      <c r="B30" s="249"/>
      <c r="C30" s="162">
        <v>1</v>
      </c>
      <c r="D30" s="162">
        <v>4</v>
      </c>
      <c r="E30" s="162">
        <v>1</v>
      </c>
      <c r="F30" s="162">
        <v>5</v>
      </c>
      <c r="G30" s="162">
        <v>1</v>
      </c>
      <c r="H30" s="162">
        <v>3</v>
      </c>
      <c r="I30" s="162">
        <v>4</v>
      </c>
      <c r="J30" s="162">
        <v>3</v>
      </c>
      <c r="K30" s="162">
        <v>1</v>
      </c>
      <c r="L30" s="162">
        <v>5</v>
      </c>
      <c r="M30" s="162">
        <v>4</v>
      </c>
      <c r="N30" s="162">
        <v>3</v>
      </c>
      <c r="O30" s="162">
        <v>3</v>
      </c>
      <c r="P30" s="162">
        <v>4</v>
      </c>
      <c r="Q30" s="162">
        <v>11</v>
      </c>
      <c r="R30" s="162">
        <v>7</v>
      </c>
      <c r="S30" s="162"/>
      <c r="T30" s="162">
        <v>1</v>
      </c>
      <c r="U30" s="162">
        <v>3</v>
      </c>
      <c r="V30" s="162">
        <v>4</v>
      </c>
      <c r="W30" s="162">
        <v>1</v>
      </c>
      <c r="X30" s="162">
        <v>10</v>
      </c>
      <c r="Y30" s="162">
        <v>8</v>
      </c>
      <c r="Z30" s="162">
        <v>6</v>
      </c>
      <c r="AA30" s="162">
        <v>3</v>
      </c>
      <c r="AB30" s="162">
        <v>3</v>
      </c>
      <c r="AC30" s="162">
        <v>2</v>
      </c>
      <c r="AD30" s="162">
        <v>4</v>
      </c>
      <c r="AE30" s="162">
        <v>3</v>
      </c>
      <c r="AF30" s="161">
        <v>7</v>
      </c>
      <c r="AG30" s="64">
        <f t="shared" si="2"/>
        <v>115</v>
      </c>
    </row>
    <row r="31" spans="1:33" ht="18.75" x14ac:dyDescent="0.25">
      <c r="A31" s="301" t="s">
        <v>142</v>
      </c>
      <c r="B31" s="249">
        <v>1</v>
      </c>
      <c r="C31" s="162">
        <v>4</v>
      </c>
      <c r="D31" s="162">
        <v>4</v>
      </c>
      <c r="E31" s="162">
        <v>2</v>
      </c>
      <c r="F31" s="162">
        <v>6</v>
      </c>
      <c r="G31" s="162"/>
      <c r="H31" s="162"/>
      <c r="I31" s="162">
        <v>8</v>
      </c>
      <c r="J31" s="162">
        <v>8</v>
      </c>
      <c r="K31" s="162">
        <v>7</v>
      </c>
      <c r="L31" s="162">
        <v>13</v>
      </c>
      <c r="M31" s="162">
        <v>4</v>
      </c>
      <c r="N31" s="162">
        <v>2</v>
      </c>
      <c r="O31" s="162">
        <v>2</v>
      </c>
      <c r="P31" s="162">
        <v>1</v>
      </c>
      <c r="Q31" s="162">
        <v>12</v>
      </c>
      <c r="R31" s="162">
        <v>9</v>
      </c>
      <c r="S31" s="162">
        <v>1</v>
      </c>
      <c r="T31" s="162">
        <v>1</v>
      </c>
      <c r="U31" s="162">
        <v>3</v>
      </c>
      <c r="V31" s="162">
        <v>5</v>
      </c>
      <c r="W31" s="162">
        <v>1</v>
      </c>
      <c r="X31" s="162">
        <v>7</v>
      </c>
      <c r="Y31" s="162">
        <v>12</v>
      </c>
      <c r="Z31" s="162">
        <v>5</v>
      </c>
      <c r="AA31" s="162">
        <v>4</v>
      </c>
      <c r="AB31" s="162">
        <v>2</v>
      </c>
      <c r="AC31" s="162">
        <v>3</v>
      </c>
      <c r="AD31" s="162">
        <v>5</v>
      </c>
      <c r="AE31" s="162">
        <v>12</v>
      </c>
      <c r="AF31" s="161">
        <v>9</v>
      </c>
      <c r="AG31" s="64">
        <f t="shared" si="2"/>
        <v>153</v>
      </c>
    </row>
    <row r="32" spans="1:33" ht="18.75" x14ac:dyDescent="0.25">
      <c r="A32" s="301" t="s">
        <v>141</v>
      </c>
      <c r="B32" s="249">
        <v>1</v>
      </c>
      <c r="C32" s="162">
        <v>8</v>
      </c>
      <c r="D32" s="162">
        <v>6</v>
      </c>
      <c r="E32" s="162">
        <v>4</v>
      </c>
      <c r="F32" s="162">
        <v>3</v>
      </c>
      <c r="G32" s="162">
        <v>1</v>
      </c>
      <c r="H32" s="162">
        <v>1</v>
      </c>
      <c r="I32" s="162">
        <v>2</v>
      </c>
      <c r="J32" s="162">
        <v>8</v>
      </c>
      <c r="K32" s="162">
        <v>11</v>
      </c>
      <c r="L32" s="162">
        <v>13</v>
      </c>
      <c r="M32" s="162">
        <v>3</v>
      </c>
      <c r="N32" s="162">
        <v>4</v>
      </c>
      <c r="O32" s="162">
        <v>1</v>
      </c>
      <c r="P32" s="162"/>
      <c r="Q32" s="162">
        <v>15</v>
      </c>
      <c r="R32" s="162">
        <v>15</v>
      </c>
      <c r="S32" s="162">
        <v>1</v>
      </c>
      <c r="T32" s="162">
        <v>1</v>
      </c>
      <c r="U32" s="162">
        <v>3</v>
      </c>
      <c r="V32" s="162">
        <v>3</v>
      </c>
      <c r="W32" s="162">
        <v>2</v>
      </c>
      <c r="X32" s="162">
        <v>6</v>
      </c>
      <c r="Y32" s="162">
        <v>8</v>
      </c>
      <c r="Z32" s="162">
        <v>3</v>
      </c>
      <c r="AA32" s="162">
        <v>4</v>
      </c>
      <c r="AB32" s="162">
        <v>3</v>
      </c>
      <c r="AC32" s="162">
        <v>2</v>
      </c>
      <c r="AD32" s="162">
        <v>2</v>
      </c>
      <c r="AE32" s="162">
        <v>8</v>
      </c>
      <c r="AF32" s="161">
        <v>13</v>
      </c>
      <c r="AG32" s="64">
        <f t="shared" si="2"/>
        <v>155</v>
      </c>
    </row>
    <row r="33" spans="1:33" ht="18.75" x14ac:dyDescent="0.25">
      <c r="A33" s="301" t="s">
        <v>140</v>
      </c>
      <c r="B33" s="249">
        <v>1</v>
      </c>
      <c r="C33" s="162">
        <v>9</v>
      </c>
      <c r="D33" s="162">
        <v>10</v>
      </c>
      <c r="E33" s="162">
        <v>2</v>
      </c>
      <c r="F33" s="162">
        <v>3</v>
      </c>
      <c r="G33" s="162">
        <v>3</v>
      </c>
      <c r="H33" s="162">
        <v>3</v>
      </c>
      <c r="I33" s="162"/>
      <c r="J33" s="162">
        <v>2</v>
      </c>
      <c r="K33" s="162">
        <v>9</v>
      </c>
      <c r="L33" s="162">
        <v>8</v>
      </c>
      <c r="M33" s="162">
        <v>3</v>
      </c>
      <c r="N33" s="162"/>
      <c r="O33" s="162">
        <v>2</v>
      </c>
      <c r="P33" s="162">
        <v>5</v>
      </c>
      <c r="Q33" s="162">
        <v>11</v>
      </c>
      <c r="R33" s="162">
        <v>11</v>
      </c>
      <c r="S33" s="162">
        <v>1</v>
      </c>
      <c r="T33" s="162"/>
      <c r="U33" s="162">
        <v>2</v>
      </c>
      <c r="V33" s="162">
        <v>2</v>
      </c>
      <c r="W33" s="162">
        <v>7</v>
      </c>
      <c r="X33" s="162">
        <v>9</v>
      </c>
      <c r="Y33" s="162">
        <v>8</v>
      </c>
      <c r="Z33" s="162">
        <v>5</v>
      </c>
      <c r="AA33" s="162">
        <v>3</v>
      </c>
      <c r="AB33" s="162">
        <v>1</v>
      </c>
      <c r="AC33" s="162">
        <v>4</v>
      </c>
      <c r="AD33" s="162">
        <v>3</v>
      </c>
      <c r="AE33" s="162">
        <v>9</v>
      </c>
      <c r="AF33" s="161">
        <v>13</v>
      </c>
      <c r="AG33" s="64">
        <f t="shared" si="2"/>
        <v>149</v>
      </c>
    </row>
    <row r="34" spans="1:33" ht="18.75" x14ac:dyDescent="0.25">
      <c r="A34" s="301" t="s">
        <v>139</v>
      </c>
      <c r="B34" s="249">
        <v>3</v>
      </c>
      <c r="C34" s="162">
        <v>6</v>
      </c>
      <c r="D34" s="162">
        <v>10</v>
      </c>
      <c r="E34" s="162">
        <v>2</v>
      </c>
      <c r="F34" s="162">
        <v>5</v>
      </c>
      <c r="G34" s="162">
        <v>3</v>
      </c>
      <c r="H34" s="162">
        <v>2</v>
      </c>
      <c r="I34" s="162"/>
      <c r="J34" s="162">
        <v>6</v>
      </c>
      <c r="K34" s="162">
        <v>8</v>
      </c>
      <c r="L34" s="162">
        <v>4</v>
      </c>
      <c r="M34" s="162">
        <v>1</v>
      </c>
      <c r="N34" s="162">
        <v>1</v>
      </c>
      <c r="O34" s="162">
        <v>1</v>
      </c>
      <c r="P34" s="162">
        <v>3</v>
      </c>
      <c r="Q34" s="162">
        <v>13</v>
      </c>
      <c r="R34" s="162">
        <v>9</v>
      </c>
      <c r="S34" s="162">
        <v>2</v>
      </c>
      <c r="T34" s="162"/>
      <c r="U34" s="162">
        <v>2</v>
      </c>
      <c r="V34" s="162">
        <v>1</v>
      </c>
      <c r="W34" s="162">
        <v>1</v>
      </c>
      <c r="X34" s="162">
        <v>14</v>
      </c>
      <c r="Y34" s="162">
        <v>10</v>
      </c>
      <c r="Z34" s="162">
        <v>3</v>
      </c>
      <c r="AA34" s="162">
        <v>1</v>
      </c>
      <c r="AB34" s="162"/>
      <c r="AC34" s="162">
        <v>4</v>
      </c>
      <c r="AD34" s="162"/>
      <c r="AE34" s="162">
        <v>4</v>
      </c>
      <c r="AF34" s="161">
        <v>13</v>
      </c>
      <c r="AG34" s="64">
        <f t="shared" si="2"/>
        <v>132</v>
      </c>
    </row>
    <row r="35" spans="1:33" ht="18.75" x14ac:dyDescent="0.25">
      <c r="A35" s="301" t="s">
        <v>138</v>
      </c>
      <c r="B35" s="249">
        <v>1</v>
      </c>
      <c r="C35" s="162">
        <v>5</v>
      </c>
      <c r="D35" s="162">
        <v>12</v>
      </c>
      <c r="E35" s="162">
        <v>6</v>
      </c>
      <c r="F35" s="162">
        <v>3</v>
      </c>
      <c r="G35" s="162">
        <v>1</v>
      </c>
      <c r="H35" s="162">
        <v>2</v>
      </c>
      <c r="I35" s="162">
        <v>3</v>
      </c>
      <c r="J35" s="162">
        <v>12</v>
      </c>
      <c r="K35" s="162">
        <v>2</v>
      </c>
      <c r="L35" s="162">
        <v>10</v>
      </c>
      <c r="M35" s="162">
        <v>3</v>
      </c>
      <c r="N35" s="162">
        <v>1</v>
      </c>
      <c r="O35" s="162">
        <v>2</v>
      </c>
      <c r="P35" s="162">
        <v>3</v>
      </c>
      <c r="Q35" s="162">
        <v>7</v>
      </c>
      <c r="R35" s="162">
        <v>12</v>
      </c>
      <c r="S35" s="162">
        <v>1</v>
      </c>
      <c r="T35" s="162">
        <v>3</v>
      </c>
      <c r="U35" s="162">
        <v>1</v>
      </c>
      <c r="V35" s="162">
        <v>4</v>
      </c>
      <c r="W35" s="162">
        <v>8</v>
      </c>
      <c r="X35" s="162">
        <v>10</v>
      </c>
      <c r="Y35" s="162">
        <v>14</v>
      </c>
      <c r="Z35" s="162">
        <v>2</v>
      </c>
      <c r="AA35" s="162">
        <v>2</v>
      </c>
      <c r="AB35" s="162">
        <v>2</v>
      </c>
      <c r="AC35" s="162">
        <v>3</v>
      </c>
      <c r="AD35" s="162">
        <v>2</v>
      </c>
      <c r="AE35" s="162">
        <v>10</v>
      </c>
      <c r="AF35" s="161">
        <v>9</v>
      </c>
      <c r="AG35" s="64">
        <f t="shared" si="2"/>
        <v>156</v>
      </c>
    </row>
    <row r="36" spans="1:33" ht="18.75" x14ac:dyDescent="0.25">
      <c r="A36" s="301" t="s">
        <v>137</v>
      </c>
      <c r="B36" s="249">
        <v>2</v>
      </c>
      <c r="C36" s="162">
        <v>9</v>
      </c>
      <c r="D36" s="162">
        <v>8</v>
      </c>
      <c r="E36" s="162">
        <v>3</v>
      </c>
      <c r="F36" s="162"/>
      <c r="G36" s="162">
        <v>1</v>
      </c>
      <c r="H36" s="162">
        <v>2</v>
      </c>
      <c r="I36" s="162">
        <v>1</v>
      </c>
      <c r="J36" s="162">
        <v>5</v>
      </c>
      <c r="K36" s="162">
        <v>12</v>
      </c>
      <c r="L36" s="162">
        <v>12</v>
      </c>
      <c r="M36" s="162">
        <v>4</v>
      </c>
      <c r="N36" s="162">
        <v>3</v>
      </c>
      <c r="O36" s="162">
        <v>2</v>
      </c>
      <c r="P36" s="162">
        <v>1</v>
      </c>
      <c r="Q36" s="162">
        <v>8</v>
      </c>
      <c r="R36" s="162">
        <v>10</v>
      </c>
      <c r="S36" s="162">
        <v>5</v>
      </c>
      <c r="T36" s="162">
        <v>2</v>
      </c>
      <c r="U36" s="162">
        <v>8</v>
      </c>
      <c r="V36" s="162">
        <v>2</v>
      </c>
      <c r="W36" s="162">
        <v>7</v>
      </c>
      <c r="X36" s="162">
        <v>12</v>
      </c>
      <c r="Y36" s="162">
        <v>11</v>
      </c>
      <c r="Z36" s="162">
        <v>1</v>
      </c>
      <c r="AA36" s="162">
        <v>4</v>
      </c>
      <c r="AB36" s="162">
        <v>4</v>
      </c>
      <c r="AC36" s="162">
        <v>2</v>
      </c>
      <c r="AD36" s="162">
        <v>2</v>
      </c>
      <c r="AE36" s="162">
        <v>13</v>
      </c>
      <c r="AF36" s="161">
        <v>12</v>
      </c>
      <c r="AG36" s="64">
        <f t="shared" si="2"/>
        <v>168</v>
      </c>
    </row>
    <row r="37" spans="1:33" ht="18.75" x14ac:dyDescent="0.25">
      <c r="A37" s="301" t="s">
        <v>136</v>
      </c>
      <c r="B37" s="249">
        <v>6</v>
      </c>
      <c r="C37" s="162">
        <v>5</v>
      </c>
      <c r="D37" s="162">
        <v>13</v>
      </c>
      <c r="E37" s="162">
        <v>4</v>
      </c>
      <c r="F37" s="162">
        <v>2</v>
      </c>
      <c r="G37" s="162">
        <v>2</v>
      </c>
      <c r="H37" s="162">
        <v>2</v>
      </c>
      <c r="I37" s="162">
        <v>2</v>
      </c>
      <c r="J37" s="162">
        <v>13</v>
      </c>
      <c r="K37" s="162">
        <v>11</v>
      </c>
      <c r="L37" s="162">
        <v>5</v>
      </c>
      <c r="M37" s="162">
        <v>4</v>
      </c>
      <c r="N37" s="162">
        <v>2</v>
      </c>
      <c r="O37" s="162">
        <v>5</v>
      </c>
      <c r="P37" s="162">
        <v>2</v>
      </c>
      <c r="Q37" s="162">
        <v>9</v>
      </c>
      <c r="R37" s="162">
        <v>11</v>
      </c>
      <c r="S37" s="162">
        <v>5</v>
      </c>
      <c r="T37" s="162">
        <v>4</v>
      </c>
      <c r="U37" s="162">
        <v>7</v>
      </c>
      <c r="V37" s="162">
        <v>4</v>
      </c>
      <c r="W37" s="162">
        <v>9</v>
      </c>
      <c r="X37" s="162">
        <v>8</v>
      </c>
      <c r="Y37" s="162">
        <v>15</v>
      </c>
      <c r="Z37" s="162">
        <v>3</v>
      </c>
      <c r="AA37" s="162">
        <v>3</v>
      </c>
      <c r="AB37" s="162">
        <v>3</v>
      </c>
      <c r="AC37" s="162">
        <v>5</v>
      </c>
      <c r="AD37" s="162">
        <v>1</v>
      </c>
      <c r="AE37" s="162">
        <v>11</v>
      </c>
      <c r="AF37" s="161">
        <v>6</v>
      </c>
      <c r="AG37" s="64">
        <f t="shared" si="2"/>
        <v>182</v>
      </c>
    </row>
    <row r="38" spans="1:33" ht="18.75" x14ac:dyDescent="0.25">
      <c r="A38" s="301" t="s">
        <v>135</v>
      </c>
      <c r="B38" s="249">
        <v>7</v>
      </c>
      <c r="C38" s="162">
        <v>6</v>
      </c>
      <c r="D38" s="162">
        <v>15</v>
      </c>
      <c r="E38" s="162">
        <v>7</v>
      </c>
      <c r="F38" s="162">
        <v>12</v>
      </c>
      <c r="G38" s="162">
        <v>7</v>
      </c>
      <c r="H38" s="162">
        <v>12</v>
      </c>
      <c r="I38" s="162">
        <v>6</v>
      </c>
      <c r="J38" s="162">
        <v>12</v>
      </c>
      <c r="K38" s="162">
        <v>12</v>
      </c>
      <c r="L38" s="162">
        <v>21</v>
      </c>
      <c r="M38" s="162">
        <v>14</v>
      </c>
      <c r="N38" s="162">
        <v>6</v>
      </c>
      <c r="O38" s="162">
        <v>8</v>
      </c>
      <c r="P38" s="162">
        <v>10</v>
      </c>
      <c r="Q38" s="162">
        <v>8</v>
      </c>
      <c r="R38" s="162">
        <v>16</v>
      </c>
      <c r="S38" s="162">
        <v>6</v>
      </c>
      <c r="T38" s="162">
        <v>8</v>
      </c>
      <c r="U38" s="162">
        <v>2</v>
      </c>
      <c r="V38" s="162">
        <v>7</v>
      </c>
      <c r="W38" s="162">
        <v>11</v>
      </c>
      <c r="X38" s="162">
        <v>11</v>
      </c>
      <c r="Y38" s="162">
        <v>17</v>
      </c>
      <c r="Z38" s="162">
        <v>2</v>
      </c>
      <c r="AA38" s="162">
        <v>6</v>
      </c>
      <c r="AB38" s="162">
        <v>9</v>
      </c>
      <c r="AC38" s="162">
        <v>7</v>
      </c>
      <c r="AD38" s="162">
        <v>8</v>
      </c>
      <c r="AE38" s="162">
        <v>14</v>
      </c>
      <c r="AF38" s="161">
        <v>12</v>
      </c>
      <c r="AG38" s="64">
        <f t="shared" si="2"/>
        <v>299</v>
      </c>
    </row>
    <row r="39" spans="1:33" ht="18.75" x14ac:dyDescent="0.25">
      <c r="A39" s="301" t="s">
        <v>134</v>
      </c>
      <c r="B39" s="249">
        <v>18</v>
      </c>
      <c r="C39" s="162">
        <v>8</v>
      </c>
      <c r="D39" s="162">
        <v>11</v>
      </c>
      <c r="E39" s="162">
        <v>21</v>
      </c>
      <c r="F39" s="162">
        <v>27</v>
      </c>
      <c r="G39" s="162">
        <v>14</v>
      </c>
      <c r="H39" s="162">
        <v>23</v>
      </c>
      <c r="I39" s="162">
        <v>21</v>
      </c>
      <c r="J39" s="162">
        <v>15</v>
      </c>
      <c r="K39" s="162">
        <v>8</v>
      </c>
      <c r="L39" s="162">
        <v>9</v>
      </c>
      <c r="M39" s="162">
        <v>20</v>
      </c>
      <c r="N39" s="162">
        <v>22</v>
      </c>
      <c r="O39" s="162">
        <v>17</v>
      </c>
      <c r="P39" s="162">
        <v>22</v>
      </c>
      <c r="Q39" s="162">
        <v>18</v>
      </c>
      <c r="R39" s="162">
        <v>16</v>
      </c>
      <c r="S39" s="162">
        <v>21</v>
      </c>
      <c r="T39" s="162">
        <v>21</v>
      </c>
      <c r="U39" s="162">
        <v>17</v>
      </c>
      <c r="V39" s="162">
        <v>17</v>
      </c>
      <c r="W39" s="162">
        <v>21</v>
      </c>
      <c r="X39" s="162">
        <v>10</v>
      </c>
      <c r="Y39" s="162">
        <v>15</v>
      </c>
      <c r="Z39" s="162">
        <v>9</v>
      </c>
      <c r="AA39" s="162">
        <v>24</v>
      </c>
      <c r="AB39" s="162">
        <v>22</v>
      </c>
      <c r="AC39" s="162">
        <v>18</v>
      </c>
      <c r="AD39" s="162">
        <v>19</v>
      </c>
      <c r="AE39" s="162">
        <v>10</v>
      </c>
      <c r="AF39" s="161">
        <v>18</v>
      </c>
      <c r="AG39" s="64">
        <f t="shared" si="2"/>
        <v>532</v>
      </c>
    </row>
    <row r="40" spans="1:33" ht="18.75" x14ac:dyDescent="0.25">
      <c r="A40" s="301" t="s">
        <v>133</v>
      </c>
      <c r="B40" s="249">
        <v>23</v>
      </c>
      <c r="C40" s="162">
        <v>3</v>
      </c>
      <c r="D40" s="162">
        <v>9</v>
      </c>
      <c r="E40" s="162">
        <v>23</v>
      </c>
      <c r="F40" s="162">
        <v>22</v>
      </c>
      <c r="G40" s="162">
        <v>25</v>
      </c>
      <c r="H40" s="162">
        <v>16</v>
      </c>
      <c r="I40" s="162">
        <v>26</v>
      </c>
      <c r="J40" s="162">
        <v>11</v>
      </c>
      <c r="K40" s="162">
        <v>14</v>
      </c>
      <c r="L40" s="162">
        <v>21</v>
      </c>
      <c r="M40" s="162">
        <v>27</v>
      </c>
      <c r="N40" s="162">
        <v>21</v>
      </c>
      <c r="O40" s="162">
        <v>15</v>
      </c>
      <c r="P40" s="162">
        <v>21</v>
      </c>
      <c r="Q40" s="162">
        <v>11</v>
      </c>
      <c r="R40" s="162">
        <v>10</v>
      </c>
      <c r="S40" s="162">
        <v>23</v>
      </c>
      <c r="T40" s="162">
        <v>18</v>
      </c>
      <c r="U40" s="162">
        <v>24</v>
      </c>
      <c r="V40" s="162">
        <v>18</v>
      </c>
      <c r="W40" s="162">
        <v>18</v>
      </c>
      <c r="X40" s="162">
        <v>7</v>
      </c>
      <c r="Y40" s="162">
        <v>16</v>
      </c>
      <c r="Z40" s="162">
        <v>19</v>
      </c>
      <c r="AA40" s="162">
        <v>21</v>
      </c>
      <c r="AB40" s="162">
        <v>23</v>
      </c>
      <c r="AC40" s="162">
        <v>18</v>
      </c>
      <c r="AD40" s="162">
        <v>22</v>
      </c>
      <c r="AE40" s="162">
        <v>10</v>
      </c>
      <c r="AF40" s="161">
        <v>10</v>
      </c>
      <c r="AG40" s="64">
        <f t="shared" si="2"/>
        <v>545</v>
      </c>
    </row>
    <row r="41" spans="1:33" ht="18.75" x14ac:dyDescent="0.25">
      <c r="A41" s="301" t="s">
        <v>132</v>
      </c>
      <c r="B41" s="249">
        <v>13</v>
      </c>
      <c r="C41" s="162">
        <v>9</v>
      </c>
      <c r="D41" s="162">
        <v>14</v>
      </c>
      <c r="E41" s="162">
        <v>19</v>
      </c>
      <c r="F41" s="162">
        <v>23</v>
      </c>
      <c r="G41" s="162">
        <v>22</v>
      </c>
      <c r="H41" s="162">
        <v>14</v>
      </c>
      <c r="I41" s="162">
        <v>13</v>
      </c>
      <c r="J41" s="162">
        <v>7</v>
      </c>
      <c r="K41" s="162">
        <v>3</v>
      </c>
      <c r="L41" s="162">
        <v>8</v>
      </c>
      <c r="M41" s="162">
        <v>15</v>
      </c>
      <c r="N41" s="162">
        <v>14</v>
      </c>
      <c r="O41" s="162">
        <v>18</v>
      </c>
      <c r="P41" s="162">
        <v>13</v>
      </c>
      <c r="Q41" s="162">
        <v>14</v>
      </c>
      <c r="R41" s="162">
        <v>10</v>
      </c>
      <c r="S41" s="162">
        <v>15</v>
      </c>
      <c r="T41" s="162">
        <v>17</v>
      </c>
      <c r="U41" s="162">
        <v>17</v>
      </c>
      <c r="V41" s="162">
        <v>17</v>
      </c>
      <c r="W41" s="162">
        <v>15</v>
      </c>
      <c r="X41" s="162">
        <v>12</v>
      </c>
      <c r="Y41" s="162">
        <v>10</v>
      </c>
      <c r="Z41" s="162">
        <v>16</v>
      </c>
      <c r="AA41" s="162">
        <v>18</v>
      </c>
      <c r="AB41" s="162">
        <v>20</v>
      </c>
      <c r="AC41" s="162">
        <v>22</v>
      </c>
      <c r="AD41" s="162">
        <v>17</v>
      </c>
      <c r="AE41" s="162">
        <v>8</v>
      </c>
      <c r="AF41" s="161">
        <v>5</v>
      </c>
      <c r="AG41" s="64">
        <f t="shared" si="2"/>
        <v>438</v>
      </c>
    </row>
    <row r="42" spans="1:33" ht="18.75" x14ac:dyDescent="0.25">
      <c r="A42" s="301" t="s">
        <v>131</v>
      </c>
      <c r="B42" s="249">
        <v>14</v>
      </c>
      <c r="C42" s="162">
        <v>8</v>
      </c>
      <c r="D42" s="162">
        <v>15</v>
      </c>
      <c r="E42" s="162">
        <v>16</v>
      </c>
      <c r="F42" s="162">
        <v>18</v>
      </c>
      <c r="G42" s="162">
        <v>25</v>
      </c>
      <c r="H42" s="162">
        <v>14</v>
      </c>
      <c r="I42" s="162">
        <v>10</v>
      </c>
      <c r="J42" s="162">
        <v>6</v>
      </c>
      <c r="K42" s="162">
        <v>9</v>
      </c>
      <c r="L42" s="162">
        <v>5</v>
      </c>
      <c r="M42" s="162">
        <v>16</v>
      </c>
      <c r="N42" s="162">
        <v>13</v>
      </c>
      <c r="O42" s="162">
        <v>20</v>
      </c>
      <c r="P42" s="162">
        <v>5</v>
      </c>
      <c r="Q42" s="162">
        <v>13</v>
      </c>
      <c r="R42" s="162">
        <v>8</v>
      </c>
      <c r="S42" s="162">
        <v>20</v>
      </c>
      <c r="T42" s="162">
        <v>22</v>
      </c>
      <c r="U42" s="162">
        <v>18</v>
      </c>
      <c r="V42" s="162">
        <v>17</v>
      </c>
      <c r="W42" s="162">
        <v>12</v>
      </c>
      <c r="X42" s="162">
        <v>10</v>
      </c>
      <c r="Y42" s="162">
        <v>1</v>
      </c>
      <c r="Z42" s="162">
        <v>19</v>
      </c>
      <c r="AA42" s="162">
        <v>15</v>
      </c>
      <c r="AB42" s="162">
        <v>17</v>
      </c>
      <c r="AC42" s="162">
        <v>17</v>
      </c>
      <c r="AD42" s="162">
        <v>8</v>
      </c>
      <c r="AE42" s="162">
        <v>9</v>
      </c>
      <c r="AF42" s="161">
        <v>6</v>
      </c>
      <c r="AG42" s="64">
        <f t="shared" si="2"/>
        <v>406</v>
      </c>
    </row>
    <row r="43" spans="1:33" ht="18.75" x14ac:dyDescent="0.25">
      <c r="A43" s="301" t="s">
        <v>130</v>
      </c>
      <c r="B43" s="249">
        <v>4</v>
      </c>
      <c r="C43" s="162">
        <v>3</v>
      </c>
      <c r="D43" s="162">
        <v>5</v>
      </c>
      <c r="E43" s="162">
        <v>19</v>
      </c>
      <c r="F43" s="162">
        <v>12</v>
      </c>
      <c r="G43" s="162">
        <v>17</v>
      </c>
      <c r="H43" s="162">
        <v>14</v>
      </c>
      <c r="I43" s="162">
        <v>8</v>
      </c>
      <c r="J43" s="162">
        <v>2</v>
      </c>
      <c r="K43" s="162">
        <v>6</v>
      </c>
      <c r="L43" s="162">
        <v>5</v>
      </c>
      <c r="M43" s="162">
        <v>16</v>
      </c>
      <c r="N43" s="162">
        <v>18</v>
      </c>
      <c r="O43" s="162">
        <v>16</v>
      </c>
      <c r="P43" s="162">
        <v>10</v>
      </c>
      <c r="Q43" s="162">
        <v>10</v>
      </c>
      <c r="R43" s="162">
        <v>7</v>
      </c>
      <c r="S43" s="162">
        <v>21</v>
      </c>
      <c r="T43" s="162">
        <v>19</v>
      </c>
      <c r="U43" s="162">
        <v>18</v>
      </c>
      <c r="V43" s="162">
        <v>9</v>
      </c>
      <c r="W43" s="162">
        <v>9</v>
      </c>
      <c r="X43" s="162">
        <v>6</v>
      </c>
      <c r="Y43" s="162">
        <v>6</v>
      </c>
      <c r="Z43" s="162">
        <v>13</v>
      </c>
      <c r="AA43" s="162">
        <v>12</v>
      </c>
      <c r="AB43" s="162">
        <v>20</v>
      </c>
      <c r="AC43" s="162">
        <v>10</v>
      </c>
      <c r="AD43" s="162">
        <v>12</v>
      </c>
      <c r="AE43" s="162">
        <v>5</v>
      </c>
      <c r="AF43" s="161">
        <v>4</v>
      </c>
      <c r="AG43" s="64">
        <f t="shared" si="2"/>
        <v>336</v>
      </c>
    </row>
    <row r="44" spans="1:33" ht="18.75" x14ac:dyDescent="0.25">
      <c r="A44" s="301" t="s">
        <v>129</v>
      </c>
      <c r="B44" s="249">
        <v>2</v>
      </c>
      <c r="C44" s="162">
        <v>5</v>
      </c>
      <c r="D44" s="162">
        <v>7</v>
      </c>
      <c r="E44" s="162">
        <v>9</v>
      </c>
      <c r="F44" s="162">
        <v>8</v>
      </c>
      <c r="G44" s="162">
        <v>8</v>
      </c>
      <c r="H44" s="162">
        <v>10</v>
      </c>
      <c r="I44" s="162">
        <v>6</v>
      </c>
      <c r="J44" s="162">
        <v>5</v>
      </c>
      <c r="K44" s="162">
        <v>7</v>
      </c>
      <c r="L44" s="162">
        <v>7</v>
      </c>
      <c r="M44" s="162">
        <v>9</v>
      </c>
      <c r="N44" s="162">
        <v>9</v>
      </c>
      <c r="O44" s="162">
        <v>10</v>
      </c>
      <c r="P44" s="162">
        <v>7</v>
      </c>
      <c r="Q44" s="162">
        <v>3</v>
      </c>
      <c r="R44" s="162">
        <v>6</v>
      </c>
      <c r="S44" s="162">
        <v>8</v>
      </c>
      <c r="T44" s="162">
        <v>12</v>
      </c>
      <c r="U44" s="162">
        <v>4</v>
      </c>
      <c r="V44" s="162">
        <v>9</v>
      </c>
      <c r="W44" s="162">
        <v>6</v>
      </c>
      <c r="X44" s="162">
        <v>11</v>
      </c>
      <c r="Y44" s="162">
        <v>11</v>
      </c>
      <c r="Z44" s="162">
        <v>9</v>
      </c>
      <c r="AA44" s="162">
        <v>5</v>
      </c>
      <c r="AB44" s="162">
        <v>7</v>
      </c>
      <c r="AC44" s="162">
        <v>6</v>
      </c>
      <c r="AD44" s="162">
        <v>7</v>
      </c>
      <c r="AE44" s="162">
        <v>8</v>
      </c>
      <c r="AF44" s="161">
        <v>2</v>
      </c>
      <c r="AG44" s="64">
        <f t="shared" si="2"/>
        <v>223</v>
      </c>
    </row>
    <row r="45" spans="1:33" ht="18.75" x14ac:dyDescent="0.25">
      <c r="A45" s="301" t="s">
        <v>128</v>
      </c>
      <c r="B45" s="249">
        <v>5</v>
      </c>
      <c r="C45" s="162">
        <v>9</v>
      </c>
      <c r="D45" s="162">
        <v>3</v>
      </c>
      <c r="E45" s="162">
        <v>4</v>
      </c>
      <c r="F45" s="162">
        <v>2</v>
      </c>
      <c r="G45" s="162">
        <v>6</v>
      </c>
      <c r="H45" s="162">
        <v>1</v>
      </c>
      <c r="I45" s="162">
        <v>8</v>
      </c>
      <c r="J45" s="162">
        <v>3</v>
      </c>
      <c r="K45" s="162">
        <v>8</v>
      </c>
      <c r="L45" s="162">
        <v>11</v>
      </c>
      <c r="M45" s="162">
        <v>10</v>
      </c>
      <c r="N45" s="162">
        <v>2</v>
      </c>
      <c r="O45" s="162">
        <v>3</v>
      </c>
      <c r="P45" s="162">
        <v>5</v>
      </c>
      <c r="Q45" s="162">
        <v>5</v>
      </c>
      <c r="R45" s="162">
        <v>6</v>
      </c>
      <c r="S45" s="162">
        <v>8</v>
      </c>
      <c r="T45" s="162">
        <v>3</v>
      </c>
      <c r="U45" s="162">
        <v>8</v>
      </c>
      <c r="V45" s="162">
        <v>12</v>
      </c>
      <c r="W45" s="162">
        <v>8</v>
      </c>
      <c r="X45" s="162">
        <v>7</v>
      </c>
      <c r="Y45" s="162">
        <v>3</v>
      </c>
      <c r="Z45" s="162">
        <v>8</v>
      </c>
      <c r="AA45" s="162">
        <v>5</v>
      </c>
      <c r="AB45" s="162">
        <v>5</v>
      </c>
      <c r="AC45" s="162">
        <v>14</v>
      </c>
      <c r="AD45" s="162">
        <v>12</v>
      </c>
      <c r="AE45" s="162">
        <v>7</v>
      </c>
      <c r="AF45" s="161">
        <v>6</v>
      </c>
      <c r="AG45" s="64">
        <f t="shared" si="2"/>
        <v>197</v>
      </c>
    </row>
    <row r="46" spans="1:33" ht="18.75" x14ac:dyDescent="0.25">
      <c r="A46" s="301" t="s">
        <v>127</v>
      </c>
      <c r="B46" s="249">
        <v>3</v>
      </c>
      <c r="C46" s="162">
        <v>3</v>
      </c>
      <c r="D46" s="162">
        <v>1</v>
      </c>
      <c r="E46" s="162">
        <v>3</v>
      </c>
      <c r="F46" s="162">
        <v>1</v>
      </c>
      <c r="G46" s="162">
        <v>1</v>
      </c>
      <c r="H46" s="162">
        <v>3</v>
      </c>
      <c r="I46" s="162">
        <v>3</v>
      </c>
      <c r="J46" s="162">
        <v>2</v>
      </c>
      <c r="K46" s="162">
        <v>3</v>
      </c>
      <c r="L46" s="162">
        <v>8</v>
      </c>
      <c r="M46" s="162">
        <v>1</v>
      </c>
      <c r="N46" s="162">
        <v>4</v>
      </c>
      <c r="O46" s="162">
        <v>6</v>
      </c>
      <c r="P46" s="162">
        <v>1</v>
      </c>
      <c r="Q46" s="162">
        <v>4</v>
      </c>
      <c r="R46" s="162">
        <v>4</v>
      </c>
      <c r="S46" s="162">
        <v>5</v>
      </c>
      <c r="T46" s="162">
        <v>4</v>
      </c>
      <c r="U46" s="162">
        <v>6</v>
      </c>
      <c r="V46" s="162">
        <v>8</v>
      </c>
      <c r="W46" s="162">
        <v>3</v>
      </c>
      <c r="X46" s="162">
        <v>7</v>
      </c>
      <c r="Y46" s="162">
        <v>1</v>
      </c>
      <c r="Z46" s="162">
        <v>10</v>
      </c>
      <c r="AA46" s="162">
        <v>1</v>
      </c>
      <c r="AB46" s="162">
        <v>2</v>
      </c>
      <c r="AC46" s="162">
        <v>8</v>
      </c>
      <c r="AD46" s="162">
        <v>6</v>
      </c>
      <c r="AE46" s="162">
        <v>2</v>
      </c>
      <c r="AF46" s="161">
        <v>1</v>
      </c>
      <c r="AG46" s="64">
        <f t="shared" si="2"/>
        <v>115</v>
      </c>
    </row>
    <row r="47" spans="1:33" ht="18.75" x14ac:dyDescent="0.25">
      <c r="A47" s="301" t="s">
        <v>126</v>
      </c>
      <c r="B47" s="249">
        <v>4</v>
      </c>
      <c r="C47" s="162">
        <v>1</v>
      </c>
      <c r="D47" s="162">
        <v>3</v>
      </c>
      <c r="E47" s="162"/>
      <c r="F47" s="162">
        <v>1</v>
      </c>
      <c r="G47" s="162"/>
      <c r="H47" s="162">
        <v>3</v>
      </c>
      <c r="I47" s="162">
        <v>1</v>
      </c>
      <c r="J47" s="162">
        <v>2</v>
      </c>
      <c r="K47" s="162">
        <v>2</v>
      </c>
      <c r="L47" s="162">
        <v>2</v>
      </c>
      <c r="M47" s="162">
        <v>2</v>
      </c>
      <c r="N47" s="162">
        <v>3</v>
      </c>
      <c r="O47" s="162">
        <v>2</v>
      </c>
      <c r="P47" s="162"/>
      <c r="Q47" s="162">
        <v>2</v>
      </c>
      <c r="R47" s="162">
        <v>7</v>
      </c>
      <c r="S47" s="162">
        <v>3</v>
      </c>
      <c r="T47" s="162">
        <v>2</v>
      </c>
      <c r="U47" s="162">
        <v>5</v>
      </c>
      <c r="V47" s="162">
        <v>1</v>
      </c>
      <c r="W47" s="162">
        <v>1</v>
      </c>
      <c r="X47" s="162">
        <v>4</v>
      </c>
      <c r="Y47" s="162">
        <v>1</v>
      </c>
      <c r="Z47" s="162">
        <v>8</v>
      </c>
      <c r="AA47" s="162">
        <v>4</v>
      </c>
      <c r="AB47" s="162">
        <v>4</v>
      </c>
      <c r="AC47" s="162"/>
      <c r="AD47" s="162">
        <v>7</v>
      </c>
      <c r="AE47" s="162">
        <v>1</v>
      </c>
      <c r="AF47" s="161"/>
      <c r="AG47" s="64">
        <f t="shared" si="2"/>
        <v>76</v>
      </c>
    </row>
    <row r="48" spans="1:33" ht="18.75" x14ac:dyDescent="0.25">
      <c r="A48" s="301" t="s">
        <v>125</v>
      </c>
      <c r="B48" s="249"/>
      <c r="C48" s="162">
        <v>1</v>
      </c>
      <c r="D48" s="162"/>
      <c r="E48" s="162"/>
      <c r="F48" s="162"/>
      <c r="G48" s="162">
        <v>3</v>
      </c>
      <c r="H48" s="162">
        <v>2</v>
      </c>
      <c r="I48" s="162"/>
      <c r="J48" s="162">
        <v>1</v>
      </c>
      <c r="K48" s="162">
        <v>3</v>
      </c>
      <c r="L48" s="162">
        <v>3</v>
      </c>
      <c r="M48" s="162"/>
      <c r="N48" s="162">
        <v>2</v>
      </c>
      <c r="O48" s="162">
        <v>1</v>
      </c>
      <c r="P48" s="162">
        <v>1</v>
      </c>
      <c r="Q48" s="162">
        <v>1</v>
      </c>
      <c r="R48" s="162">
        <v>1</v>
      </c>
      <c r="S48" s="162"/>
      <c r="T48" s="162">
        <v>1</v>
      </c>
      <c r="U48" s="162">
        <v>5</v>
      </c>
      <c r="V48" s="162">
        <v>1</v>
      </c>
      <c r="W48" s="162">
        <v>1</v>
      </c>
      <c r="X48" s="162">
        <v>2</v>
      </c>
      <c r="Y48" s="162">
        <v>1</v>
      </c>
      <c r="Z48" s="162">
        <v>1</v>
      </c>
      <c r="AA48" s="162"/>
      <c r="AB48" s="162"/>
      <c r="AC48" s="162">
        <v>2</v>
      </c>
      <c r="AD48" s="162">
        <v>1</v>
      </c>
      <c r="AE48" s="162"/>
      <c r="AF48" s="161"/>
      <c r="AG48" s="64">
        <f t="shared" si="2"/>
        <v>34</v>
      </c>
    </row>
    <row r="49" spans="1:33" ht="18.75" x14ac:dyDescent="0.25">
      <c r="A49" s="301" t="s">
        <v>124</v>
      </c>
      <c r="B49" s="249">
        <v>2</v>
      </c>
      <c r="C49" s="162">
        <v>5</v>
      </c>
      <c r="D49" s="162">
        <v>1</v>
      </c>
      <c r="E49" s="162">
        <v>1</v>
      </c>
      <c r="F49" s="162"/>
      <c r="G49" s="162"/>
      <c r="H49" s="162"/>
      <c r="I49" s="162">
        <v>1</v>
      </c>
      <c r="J49" s="162">
        <v>2</v>
      </c>
      <c r="K49" s="162">
        <v>4</v>
      </c>
      <c r="L49" s="162">
        <v>1</v>
      </c>
      <c r="M49" s="162"/>
      <c r="N49" s="162"/>
      <c r="O49" s="162">
        <v>1</v>
      </c>
      <c r="P49" s="162">
        <v>4</v>
      </c>
      <c r="Q49" s="162">
        <v>1</v>
      </c>
      <c r="R49" s="162">
        <v>3</v>
      </c>
      <c r="S49" s="162">
        <v>1</v>
      </c>
      <c r="T49" s="162"/>
      <c r="U49" s="162">
        <v>1</v>
      </c>
      <c r="V49" s="162"/>
      <c r="W49" s="162"/>
      <c r="X49" s="162">
        <v>2</v>
      </c>
      <c r="Y49" s="162">
        <v>2</v>
      </c>
      <c r="Z49" s="162">
        <v>2</v>
      </c>
      <c r="AA49" s="162"/>
      <c r="AB49" s="162">
        <v>4</v>
      </c>
      <c r="AC49" s="162">
        <v>1</v>
      </c>
      <c r="AD49" s="162">
        <v>1</v>
      </c>
      <c r="AE49" s="162">
        <v>1</v>
      </c>
      <c r="AF49" s="161"/>
      <c r="AG49" s="64">
        <f t="shared" si="2"/>
        <v>41</v>
      </c>
    </row>
    <row r="50" spans="1:33" ht="18.75" x14ac:dyDescent="0.25">
      <c r="A50" s="301" t="s">
        <v>123</v>
      </c>
      <c r="B50" s="249"/>
      <c r="C50" s="162">
        <v>1</v>
      </c>
      <c r="D50" s="162">
        <v>1</v>
      </c>
      <c r="E50" s="162"/>
      <c r="F50" s="162"/>
      <c r="G50" s="162"/>
      <c r="H50" s="162"/>
      <c r="I50" s="162">
        <v>2</v>
      </c>
      <c r="J50" s="162">
        <v>1</v>
      </c>
      <c r="K50" s="162"/>
      <c r="L50" s="162"/>
      <c r="M50" s="162"/>
      <c r="N50" s="162">
        <v>2</v>
      </c>
      <c r="O50" s="162">
        <v>1</v>
      </c>
      <c r="P50" s="162"/>
      <c r="Q50" s="162"/>
      <c r="R50" s="162">
        <v>1</v>
      </c>
      <c r="S50" s="162">
        <v>1</v>
      </c>
      <c r="T50" s="162">
        <v>1</v>
      </c>
      <c r="U50" s="162"/>
      <c r="V50" s="162"/>
      <c r="W50" s="162"/>
      <c r="X50" s="162"/>
      <c r="Y50" s="162"/>
      <c r="Z50" s="162">
        <v>1</v>
      </c>
      <c r="AA50" s="162"/>
      <c r="AB50" s="162"/>
      <c r="AC50" s="162">
        <v>1</v>
      </c>
      <c r="AD50" s="162">
        <v>1</v>
      </c>
      <c r="AE50" s="162">
        <v>3</v>
      </c>
      <c r="AF50" s="161">
        <v>1</v>
      </c>
      <c r="AG50" s="64">
        <f t="shared" si="2"/>
        <v>18</v>
      </c>
    </row>
    <row r="51" spans="1:33" ht="18.75" x14ac:dyDescent="0.25">
      <c r="A51" s="301" t="s">
        <v>122</v>
      </c>
      <c r="B51" s="249"/>
      <c r="C51" s="162"/>
      <c r="D51" s="162"/>
      <c r="E51" s="162"/>
      <c r="F51" s="162"/>
      <c r="G51" s="162"/>
      <c r="H51" s="162">
        <v>1</v>
      </c>
      <c r="I51" s="162"/>
      <c r="J51" s="162">
        <v>2</v>
      </c>
      <c r="K51" s="162"/>
      <c r="L51" s="162"/>
      <c r="M51" s="162"/>
      <c r="N51" s="162"/>
      <c r="O51" s="162">
        <v>1</v>
      </c>
      <c r="P51" s="162">
        <v>1</v>
      </c>
      <c r="Q51" s="162">
        <v>2</v>
      </c>
      <c r="R51" s="162"/>
      <c r="S51" s="162">
        <v>2</v>
      </c>
      <c r="T51" s="162">
        <v>1</v>
      </c>
      <c r="U51" s="162">
        <v>2</v>
      </c>
      <c r="V51" s="162"/>
      <c r="W51" s="162">
        <v>1</v>
      </c>
      <c r="X51" s="162"/>
      <c r="Y51" s="162"/>
      <c r="Z51" s="162"/>
      <c r="AA51" s="162">
        <v>2</v>
      </c>
      <c r="AB51" s="162"/>
      <c r="AC51" s="162"/>
      <c r="AD51" s="162">
        <v>2</v>
      </c>
      <c r="AE51" s="162"/>
      <c r="AF51" s="161">
        <v>1</v>
      </c>
      <c r="AG51" s="64">
        <f t="shared" si="2"/>
        <v>18</v>
      </c>
    </row>
    <row r="52" spans="1:33" ht="19.5" thickBot="1" x14ac:dyDescent="0.3">
      <c r="A52" s="304" t="s">
        <v>121</v>
      </c>
      <c r="B52" s="252">
        <v>1</v>
      </c>
      <c r="C52" s="181">
        <v>1</v>
      </c>
      <c r="D52" s="181"/>
      <c r="E52" s="181"/>
      <c r="F52" s="181"/>
      <c r="G52" s="181">
        <v>1</v>
      </c>
      <c r="H52" s="181"/>
      <c r="I52" s="181"/>
      <c r="J52" s="181"/>
      <c r="K52" s="181">
        <v>1</v>
      </c>
      <c r="L52" s="181">
        <v>1</v>
      </c>
      <c r="M52" s="181"/>
      <c r="N52" s="181"/>
      <c r="O52" s="181"/>
      <c r="P52" s="181"/>
      <c r="Q52" s="181">
        <v>1</v>
      </c>
      <c r="R52" s="181">
        <v>1</v>
      </c>
      <c r="S52" s="181"/>
      <c r="T52" s="181">
        <v>1</v>
      </c>
      <c r="U52" s="181"/>
      <c r="V52" s="181">
        <v>1</v>
      </c>
      <c r="W52" s="181"/>
      <c r="X52" s="181">
        <v>1</v>
      </c>
      <c r="Y52" s="181">
        <v>1</v>
      </c>
      <c r="Z52" s="181">
        <v>1</v>
      </c>
      <c r="AA52" s="181"/>
      <c r="AB52" s="181"/>
      <c r="AC52" s="181">
        <v>2</v>
      </c>
      <c r="AD52" s="181"/>
      <c r="AE52" s="181">
        <v>2</v>
      </c>
      <c r="AF52" s="180">
        <v>1</v>
      </c>
      <c r="AG52" s="160">
        <f t="shared" si="2"/>
        <v>17</v>
      </c>
    </row>
    <row r="53" spans="1:33" ht="19.5" thickBot="1" x14ac:dyDescent="0.3">
      <c r="A53" s="299" t="s">
        <v>145</v>
      </c>
      <c r="B53" s="247">
        <f t="shared" ref="B53:AF53" si="4">SUM(B54:B77)</f>
        <v>5</v>
      </c>
      <c r="C53" s="120">
        <f t="shared" si="4"/>
        <v>0</v>
      </c>
      <c r="D53" s="120">
        <f t="shared" si="4"/>
        <v>1</v>
      </c>
      <c r="E53" s="120">
        <f t="shared" si="4"/>
        <v>11</v>
      </c>
      <c r="F53" s="120">
        <f t="shared" si="4"/>
        <v>4</v>
      </c>
      <c r="G53" s="120">
        <f t="shared" si="4"/>
        <v>9</v>
      </c>
      <c r="H53" s="120">
        <f t="shared" si="4"/>
        <v>6</v>
      </c>
      <c r="I53" s="120">
        <f t="shared" si="4"/>
        <v>4</v>
      </c>
      <c r="J53" s="120">
        <f t="shared" si="4"/>
        <v>3</v>
      </c>
      <c r="K53" s="120">
        <f t="shared" si="4"/>
        <v>6</v>
      </c>
      <c r="L53" s="120">
        <f t="shared" si="4"/>
        <v>3</v>
      </c>
      <c r="M53" s="120">
        <f t="shared" si="4"/>
        <v>23</v>
      </c>
      <c r="N53" s="120">
        <f t="shared" si="4"/>
        <v>4</v>
      </c>
      <c r="O53" s="120">
        <f t="shared" si="4"/>
        <v>9</v>
      </c>
      <c r="P53" s="120">
        <f t="shared" si="4"/>
        <v>3</v>
      </c>
      <c r="Q53" s="120">
        <f t="shared" si="4"/>
        <v>1</v>
      </c>
      <c r="R53" s="120">
        <f t="shared" si="4"/>
        <v>1</v>
      </c>
      <c r="S53" s="120">
        <f t="shared" si="4"/>
        <v>13</v>
      </c>
      <c r="T53" s="120">
        <f t="shared" si="4"/>
        <v>9</v>
      </c>
      <c r="U53" s="120">
        <f t="shared" si="4"/>
        <v>17</v>
      </c>
      <c r="V53" s="120">
        <f t="shared" si="4"/>
        <v>14</v>
      </c>
      <c r="W53" s="120">
        <f t="shared" si="4"/>
        <v>4</v>
      </c>
      <c r="X53" s="120">
        <f t="shared" si="4"/>
        <v>3</v>
      </c>
      <c r="Y53" s="120">
        <f t="shared" si="4"/>
        <v>1</v>
      </c>
      <c r="Z53" s="120">
        <f t="shared" si="4"/>
        <v>28</v>
      </c>
      <c r="AA53" s="120">
        <f t="shared" si="4"/>
        <v>1</v>
      </c>
      <c r="AB53" s="120">
        <f t="shared" si="4"/>
        <v>3</v>
      </c>
      <c r="AC53" s="120">
        <f t="shared" si="4"/>
        <v>7</v>
      </c>
      <c r="AD53" s="120">
        <f t="shared" si="4"/>
        <v>11</v>
      </c>
      <c r="AE53" s="120">
        <f t="shared" si="4"/>
        <v>5</v>
      </c>
      <c r="AF53" s="120">
        <f t="shared" si="4"/>
        <v>1</v>
      </c>
      <c r="AG53" s="157">
        <f t="shared" si="2"/>
        <v>210</v>
      </c>
    </row>
    <row r="54" spans="1:33" ht="18.75" x14ac:dyDescent="0.25">
      <c r="A54" s="300" t="s">
        <v>144</v>
      </c>
      <c r="B54" s="248"/>
      <c r="C54" s="199"/>
      <c r="D54" s="162"/>
      <c r="E54" s="199"/>
      <c r="F54" s="199"/>
      <c r="G54" s="162"/>
      <c r="H54" s="199"/>
      <c r="I54" s="199"/>
      <c r="J54" s="199"/>
      <c r="K54" s="199"/>
      <c r="L54" s="199"/>
      <c r="M54" s="199"/>
      <c r="N54" s="199"/>
      <c r="O54" s="199"/>
      <c r="P54" s="199"/>
      <c r="Q54" s="199"/>
      <c r="R54" s="199"/>
      <c r="S54" s="199"/>
      <c r="T54" s="199"/>
      <c r="U54" s="199">
        <v>1</v>
      </c>
      <c r="V54" s="199"/>
      <c r="W54" s="199"/>
      <c r="X54" s="199"/>
      <c r="Y54" s="199"/>
      <c r="Z54" s="199"/>
      <c r="AA54" s="199"/>
      <c r="AB54" s="199"/>
      <c r="AC54" s="199"/>
      <c r="AD54" s="199"/>
      <c r="AE54" s="199"/>
      <c r="AF54" s="206"/>
      <c r="AG54" s="134">
        <f t="shared" si="2"/>
        <v>1</v>
      </c>
    </row>
    <row r="55" spans="1:33" ht="18.75" x14ac:dyDescent="0.25">
      <c r="A55" s="301" t="s">
        <v>143</v>
      </c>
      <c r="B55" s="249"/>
      <c r="C55" s="162"/>
      <c r="D55" s="162"/>
      <c r="E55" s="162"/>
      <c r="F55" s="162"/>
      <c r="G55" s="162"/>
      <c r="H55" s="162"/>
      <c r="I55" s="162"/>
      <c r="J55" s="162">
        <v>1</v>
      </c>
      <c r="K55" s="162"/>
      <c r="L55" s="162"/>
      <c r="M55" s="162"/>
      <c r="N55" s="162"/>
      <c r="O55" s="162"/>
      <c r="P55" s="162"/>
      <c r="Q55" s="162"/>
      <c r="R55" s="162"/>
      <c r="S55" s="162"/>
      <c r="T55" s="162">
        <v>1</v>
      </c>
      <c r="U55" s="162"/>
      <c r="V55" s="162"/>
      <c r="W55" s="162"/>
      <c r="X55" s="162"/>
      <c r="Y55" s="162"/>
      <c r="Z55" s="162"/>
      <c r="AA55" s="162"/>
      <c r="AB55" s="162"/>
      <c r="AC55" s="162"/>
      <c r="AD55" s="162"/>
      <c r="AE55" s="162"/>
      <c r="AF55" s="161"/>
      <c r="AG55" s="64">
        <f t="shared" si="2"/>
        <v>2</v>
      </c>
    </row>
    <row r="56" spans="1:33" ht="18.75" x14ac:dyDescent="0.25">
      <c r="A56" s="301" t="s">
        <v>142</v>
      </c>
      <c r="B56" s="249"/>
      <c r="C56" s="162"/>
      <c r="D56" s="162"/>
      <c r="E56" s="162"/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>
        <v>1</v>
      </c>
      <c r="Y56" s="162"/>
      <c r="Z56" s="162"/>
      <c r="AA56" s="162"/>
      <c r="AB56" s="162"/>
      <c r="AC56" s="162"/>
      <c r="AD56" s="162"/>
      <c r="AE56" s="162">
        <v>1</v>
      </c>
      <c r="AF56" s="161"/>
      <c r="AG56" s="64">
        <f t="shared" si="2"/>
        <v>2</v>
      </c>
    </row>
    <row r="57" spans="1:33" ht="18.75" x14ac:dyDescent="0.25">
      <c r="A57" s="301" t="s">
        <v>141</v>
      </c>
      <c r="B57" s="249"/>
      <c r="C57" s="162"/>
      <c r="D57" s="162"/>
      <c r="E57" s="162"/>
      <c r="F57" s="162"/>
      <c r="G57" s="162"/>
      <c r="H57" s="162"/>
      <c r="I57" s="162"/>
      <c r="J57" s="162"/>
      <c r="K57" s="162"/>
      <c r="L57" s="162"/>
      <c r="M57" s="162"/>
      <c r="N57" s="162"/>
      <c r="O57" s="162"/>
      <c r="P57" s="162"/>
      <c r="Q57" s="162">
        <v>1</v>
      </c>
      <c r="R57" s="162"/>
      <c r="S57" s="162"/>
      <c r="T57" s="162"/>
      <c r="U57" s="162"/>
      <c r="V57" s="162"/>
      <c r="W57" s="162"/>
      <c r="X57" s="162"/>
      <c r="Y57" s="162"/>
      <c r="Z57" s="162"/>
      <c r="AA57" s="162"/>
      <c r="AB57" s="162"/>
      <c r="AC57" s="162"/>
      <c r="AD57" s="162"/>
      <c r="AE57" s="162">
        <v>1</v>
      </c>
      <c r="AF57" s="161"/>
      <c r="AG57" s="64">
        <f t="shared" si="2"/>
        <v>2</v>
      </c>
    </row>
    <row r="58" spans="1:33" ht="18.75" x14ac:dyDescent="0.25">
      <c r="A58" s="301" t="s">
        <v>140</v>
      </c>
      <c r="B58" s="249"/>
      <c r="C58" s="162"/>
      <c r="D58" s="162"/>
      <c r="E58" s="162"/>
      <c r="F58" s="162"/>
      <c r="G58" s="162"/>
      <c r="H58" s="162"/>
      <c r="I58" s="162"/>
      <c r="J58" s="162"/>
      <c r="K58" s="162">
        <v>4</v>
      </c>
      <c r="L58" s="162">
        <v>2</v>
      </c>
      <c r="M58" s="162">
        <v>1</v>
      </c>
      <c r="N58" s="162"/>
      <c r="O58" s="162"/>
      <c r="P58" s="162"/>
      <c r="Q58" s="162"/>
      <c r="R58" s="162">
        <v>1</v>
      </c>
      <c r="S58" s="162"/>
      <c r="T58" s="162"/>
      <c r="U58" s="162"/>
      <c r="V58" s="162"/>
      <c r="W58" s="162"/>
      <c r="X58" s="162"/>
      <c r="Y58" s="162"/>
      <c r="Z58" s="162"/>
      <c r="AA58" s="162"/>
      <c r="AB58" s="162"/>
      <c r="AC58" s="162"/>
      <c r="AD58" s="162"/>
      <c r="AE58" s="162"/>
      <c r="AF58" s="161"/>
      <c r="AG58" s="64">
        <f t="shared" si="2"/>
        <v>8</v>
      </c>
    </row>
    <row r="59" spans="1:33" ht="18.75" x14ac:dyDescent="0.25">
      <c r="A59" s="301" t="s">
        <v>139</v>
      </c>
      <c r="B59" s="249"/>
      <c r="C59" s="162"/>
      <c r="D59" s="162"/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Y59" s="162"/>
      <c r="Z59" s="162"/>
      <c r="AA59" s="162"/>
      <c r="AB59" s="162"/>
      <c r="AC59" s="162"/>
      <c r="AD59" s="162"/>
      <c r="AE59" s="162"/>
      <c r="AF59" s="161"/>
      <c r="AG59" s="64">
        <f t="shared" si="2"/>
        <v>0</v>
      </c>
    </row>
    <row r="60" spans="1:33" ht="18.75" x14ac:dyDescent="0.25">
      <c r="A60" s="301" t="s">
        <v>138</v>
      </c>
      <c r="B60" s="249"/>
      <c r="C60" s="162"/>
      <c r="D60" s="162"/>
      <c r="E60" s="162"/>
      <c r="F60" s="162">
        <v>1</v>
      </c>
      <c r="G60" s="162"/>
      <c r="H60" s="162"/>
      <c r="I60" s="162"/>
      <c r="J60" s="162"/>
      <c r="K60" s="162"/>
      <c r="L60" s="162">
        <v>1</v>
      </c>
      <c r="M60" s="162"/>
      <c r="N60" s="162"/>
      <c r="O60" s="162"/>
      <c r="P60" s="162"/>
      <c r="Q60" s="162"/>
      <c r="R60" s="162"/>
      <c r="S60" s="162"/>
      <c r="T60" s="162"/>
      <c r="U60" s="162"/>
      <c r="V60" s="162"/>
      <c r="W60" s="162"/>
      <c r="X60" s="162"/>
      <c r="Y60" s="162"/>
      <c r="Z60" s="162"/>
      <c r="AA60" s="162"/>
      <c r="AB60" s="162">
        <v>1</v>
      </c>
      <c r="AC60" s="162"/>
      <c r="AD60" s="162"/>
      <c r="AE60" s="162"/>
      <c r="AF60" s="161"/>
      <c r="AG60" s="64">
        <f t="shared" si="2"/>
        <v>3</v>
      </c>
    </row>
    <row r="61" spans="1:33" ht="18.75" x14ac:dyDescent="0.25">
      <c r="A61" s="301" t="s">
        <v>137</v>
      </c>
      <c r="B61" s="249"/>
      <c r="C61" s="162"/>
      <c r="D61" s="162"/>
      <c r="E61" s="162"/>
      <c r="F61" s="162"/>
      <c r="G61" s="162"/>
      <c r="H61" s="162"/>
      <c r="I61" s="162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>
        <v>1</v>
      </c>
      <c r="X61" s="162"/>
      <c r="Y61" s="162"/>
      <c r="Z61" s="162"/>
      <c r="AA61" s="162"/>
      <c r="AB61" s="162"/>
      <c r="AC61" s="162"/>
      <c r="AD61" s="162"/>
      <c r="AE61" s="162"/>
      <c r="AF61" s="161"/>
      <c r="AG61" s="64">
        <f t="shared" si="2"/>
        <v>1</v>
      </c>
    </row>
    <row r="62" spans="1:33" ht="18.75" x14ac:dyDescent="0.25">
      <c r="A62" s="301" t="s">
        <v>136</v>
      </c>
      <c r="B62" s="249"/>
      <c r="C62" s="162"/>
      <c r="D62" s="162"/>
      <c r="E62" s="162"/>
      <c r="F62" s="162"/>
      <c r="G62" s="162"/>
      <c r="H62" s="162"/>
      <c r="I62" s="162"/>
      <c r="J62" s="162">
        <v>2</v>
      </c>
      <c r="K62" s="162"/>
      <c r="L62" s="162"/>
      <c r="M62" s="162"/>
      <c r="N62" s="162"/>
      <c r="O62" s="162"/>
      <c r="P62" s="162"/>
      <c r="Q62" s="162"/>
      <c r="R62" s="162"/>
      <c r="S62" s="162"/>
      <c r="T62" s="162"/>
      <c r="U62" s="162"/>
      <c r="V62" s="162"/>
      <c r="W62" s="162">
        <v>1</v>
      </c>
      <c r="X62" s="162"/>
      <c r="Y62" s="162"/>
      <c r="Z62" s="162"/>
      <c r="AA62" s="162"/>
      <c r="AB62" s="162"/>
      <c r="AC62" s="162"/>
      <c r="AD62" s="162"/>
      <c r="AE62" s="162"/>
      <c r="AF62" s="161"/>
      <c r="AG62" s="64">
        <f t="shared" si="2"/>
        <v>3</v>
      </c>
    </row>
    <row r="63" spans="1:33" ht="18.75" x14ac:dyDescent="0.25">
      <c r="A63" s="301" t="s">
        <v>135</v>
      </c>
      <c r="B63" s="249"/>
      <c r="C63" s="162"/>
      <c r="D63" s="162"/>
      <c r="E63" s="162">
        <v>1</v>
      </c>
      <c r="F63" s="162"/>
      <c r="G63" s="162"/>
      <c r="H63" s="162"/>
      <c r="I63" s="162"/>
      <c r="J63" s="162"/>
      <c r="K63" s="162">
        <v>1</v>
      </c>
      <c r="L63" s="162"/>
      <c r="M63" s="162"/>
      <c r="N63" s="162"/>
      <c r="O63" s="162"/>
      <c r="P63" s="162"/>
      <c r="Q63" s="162"/>
      <c r="R63" s="162"/>
      <c r="S63" s="162">
        <v>1</v>
      </c>
      <c r="T63" s="162"/>
      <c r="U63" s="162">
        <v>1</v>
      </c>
      <c r="V63" s="162">
        <v>1</v>
      </c>
      <c r="W63" s="162"/>
      <c r="X63" s="162"/>
      <c r="Y63" s="162">
        <v>1</v>
      </c>
      <c r="Z63" s="162"/>
      <c r="AA63" s="162">
        <v>1</v>
      </c>
      <c r="AB63" s="162"/>
      <c r="AC63" s="162"/>
      <c r="AD63" s="162"/>
      <c r="AE63" s="162">
        <v>2</v>
      </c>
      <c r="AF63" s="161"/>
      <c r="AG63" s="64">
        <f t="shared" si="2"/>
        <v>9</v>
      </c>
    </row>
    <row r="64" spans="1:33" ht="18.75" x14ac:dyDescent="0.25">
      <c r="A64" s="301" t="s">
        <v>134</v>
      </c>
      <c r="B64" s="249"/>
      <c r="C64" s="162"/>
      <c r="D64" s="162"/>
      <c r="E64" s="162"/>
      <c r="F64" s="162"/>
      <c r="G64" s="162">
        <v>1</v>
      </c>
      <c r="H64" s="162">
        <v>1</v>
      </c>
      <c r="I64" s="162">
        <v>1</v>
      </c>
      <c r="J64" s="162"/>
      <c r="K64" s="162"/>
      <c r="L64" s="162"/>
      <c r="M64" s="162">
        <v>1</v>
      </c>
      <c r="N64" s="162">
        <v>1</v>
      </c>
      <c r="O64" s="162">
        <v>1</v>
      </c>
      <c r="P64" s="162">
        <v>1</v>
      </c>
      <c r="Q64" s="162"/>
      <c r="R64" s="162"/>
      <c r="S64" s="162"/>
      <c r="T64" s="162">
        <v>2</v>
      </c>
      <c r="U64" s="162">
        <v>5</v>
      </c>
      <c r="V64" s="162">
        <v>3</v>
      </c>
      <c r="W64" s="162"/>
      <c r="X64" s="162"/>
      <c r="Y64" s="162"/>
      <c r="Z64" s="162">
        <v>2</v>
      </c>
      <c r="AA64" s="162"/>
      <c r="AB64" s="162"/>
      <c r="AC64" s="162">
        <v>3</v>
      </c>
      <c r="AD64" s="162"/>
      <c r="AE64" s="162"/>
      <c r="AF64" s="161"/>
      <c r="AG64" s="64">
        <f t="shared" si="2"/>
        <v>22</v>
      </c>
    </row>
    <row r="65" spans="1:33" ht="18.75" x14ac:dyDescent="0.25">
      <c r="A65" s="301" t="s">
        <v>133</v>
      </c>
      <c r="B65" s="249">
        <v>1</v>
      </c>
      <c r="C65" s="162"/>
      <c r="D65" s="162">
        <v>1</v>
      </c>
      <c r="E65" s="162">
        <v>4</v>
      </c>
      <c r="F65" s="162">
        <v>1</v>
      </c>
      <c r="G65" s="162">
        <v>3</v>
      </c>
      <c r="H65" s="162"/>
      <c r="I65" s="162">
        <v>1</v>
      </c>
      <c r="J65" s="162"/>
      <c r="K65" s="162"/>
      <c r="L65" s="162"/>
      <c r="M65" s="162">
        <v>6</v>
      </c>
      <c r="N65" s="162"/>
      <c r="O65" s="162">
        <v>4</v>
      </c>
      <c r="P65" s="162">
        <v>1</v>
      </c>
      <c r="Q65" s="162"/>
      <c r="R65" s="162"/>
      <c r="S65" s="162">
        <v>3</v>
      </c>
      <c r="T65" s="162">
        <v>1</v>
      </c>
      <c r="U65" s="162">
        <v>4</v>
      </c>
      <c r="V65" s="162">
        <v>1</v>
      </c>
      <c r="W65" s="162"/>
      <c r="X65" s="162"/>
      <c r="Y65" s="162"/>
      <c r="Z65" s="162">
        <v>2</v>
      </c>
      <c r="AA65" s="162"/>
      <c r="AB65" s="162"/>
      <c r="AC65" s="162">
        <v>1</v>
      </c>
      <c r="AD65" s="162">
        <v>2</v>
      </c>
      <c r="AE65" s="162"/>
      <c r="AF65" s="161"/>
      <c r="AG65" s="64">
        <f t="shared" si="2"/>
        <v>36</v>
      </c>
    </row>
    <row r="66" spans="1:33" ht="18.75" x14ac:dyDescent="0.25">
      <c r="A66" s="301" t="s">
        <v>132</v>
      </c>
      <c r="B66" s="249">
        <v>1</v>
      </c>
      <c r="C66" s="162"/>
      <c r="D66" s="162"/>
      <c r="E66" s="162">
        <v>1</v>
      </c>
      <c r="F66" s="162"/>
      <c r="G66" s="162">
        <v>4</v>
      </c>
      <c r="H66" s="162">
        <v>1</v>
      </c>
      <c r="I66" s="162">
        <v>1</v>
      </c>
      <c r="J66" s="162"/>
      <c r="K66" s="162"/>
      <c r="L66" s="162"/>
      <c r="M66" s="162">
        <v>4</v>
      </c>
      <c r="N66" s="162"/>
      <c r="O66" s="162">
        <v>2</v>
      </c>
      <c r="P66" s="162">
        <v>1</v>
      </c>
      <c r="Q66" s="162"/>
      <c r="R66" s="162"/>
      <c r="S66" s="162">
        <v>1</v>
      </c>
      <c r="T66" s="162">
        <v>3</v>
      </c>
      <c r="U66" s="162">
        <v>1</v>
      </c>
      <c r="V66" s="162">
        <v>3</v>
      </c>
      <c r="W66" s="162">
        <v>1</v>
      </c>
      <c r="X66" s="162"/>
      <c r="Y66" s="162"/>
      <c r="Z66" s="162">
        <v>9</v>
      </c>
      <c r="AA66" s="162"/>
      <c r="AB66" s="162">
        <v>1</v>
      </c>
      <c r="AC66" s="162">
        <v>1</v>
      </c>
      <c r="AD66" s="162">
        <v>2</v>
      </c>
      <c r="AE66" s="162"/>
      <c r="AF66" s="161">
        <v>1</v>
      </c>
      <c r="AG66" s="64">
        <f t="shared" si="2"/>
        <v>38</v>
      </c>
    </row>
    <row r="67" spans="1:33" ht="18.75" x14ac:dyDescent="0.25">
      <c r="A67" s="301" t="s">
        <v>131</v>
      </c>
      <c r="B67" s="249"/>
      <c r="C67" s="162"/>
      <c r="D67" s="162"/>
      <c r="E67" s="162">
        <v>1</v>
      </c>
      <c r="F67" s="162">
        <v>2</v>
      </c>
      <c r="G67" s="162"/>
      <c r="H67" s="162">
        <v>1</v>
      </c>
      <c r="I67" s="162"/>
      <c r="J67" s="162"/>
      <c r="K67" s="162"/>
      <c r="L67" s="162"/>
      <c r="M67" s="162">
        <v>3</v>
      </c>
      <c r="N67" s="162">
        <v>1</v>
      </c>
      <c r="O67" s="162">
        <v>1</v>
      </c>
      <c r="P67" s="162"/>
      <c r="Q67" s="162"/>
      <c r="R67" s="162"/>
      <c r="S67" s="162">
        <v>6</v>
      </c>
      <c r="T67" s="162">
        <v>2</v>
      </c>
      <c r="U67" s="162">
        <v>3</v>
      </c>
      <c r="V67" s="162"/>
      <c r="W67" s="162"/>
      <c r="X67" s="162"/>
      <c r="Y67" s="162"/>
      <c r="Z67" s="162">
        <v>4</v>
      </c>
      <c r="AA67" s="162"/>
      <c r="AB67" s="162">
        <v>1</v>
      </c>
      <c r="AC67" s="162">
        <v>2</v>
      </c>
      <c r="AD67" s="162">
        <v>1</v>
      </c>
      <c r="AE67" s="162"/>
      <c r="AF67" s="161"/>
      <c r="AG67" s="64">
        <f t="shared" ref="AG67:AG98" si="5">SUM(B67:AF67)</f>
        <v>28</v>
      </c>
    </row>
    <row r="68" spans="1:33" ht="18.75" x14ac:dyDescent="0.25">
      <c r="A68" s="301" t="s">
        <v>130</v>
      </c>
      <c r="B68" s="249">
        <v>2</v>
      </c>
      <c r="C68" s="162"/>
      <c r="D68" s="162"/>
      <c r="E68" s="162">
        <v>2</v>
      </c>
      <c r="F68" s="162"/>
      <c r="G68" s="162"/>
      <c r="H68" s="162">
        <v>2</v>
      </c>
      <c r="I68" s="162"/>
      <c r="J68" s="162"/>
      <c r="K68" s="162"/>
      <c r="L68" s="162"/>
      <c r="M68" s="162">
        <v>4</v>
      </c>
      <c r="N68" s="162"/>
      <c r="O68" s="162"/>
      <c r="P68" s="162"/>
      <c r="Q68" s="162"/>
      <c r="R68" s="162"/>
      <c r="S68" s="162">
        <v>1</v>
      </c>
      <c r="T68" s="162"/>
      <c r="U68" s="162">
        <v>1</v>
      </c>
      <c r="V68" s="162"/>
      <c r="W68" s="162">
        <v>1</v>
      </c>
      <c r="X68" s="162"/>
      <c r="Y68" s="162"/>
      <c r="Z68" s="162">
        <v>2</v>
      </c>
      <c r="AA68" s="162"/>
      <c r="AB68" s="162"/>
      <c r="AC68" s="162"/>
      <c r="AD68" s="162"/>
      <c r="AE68" s="162"/>
      <c r="AF68" s="161"/>
      <c r="AG68" s="64">
        <f t="shared" si="5"/>
        <v>15</v>
      </c>
    </row>
    <row r="69" spans="1:33" ht="18.75" x14ac:dyDescent="0.25">
      <c r="A69" s="301" t="s">
        <v>129</v>
      </c>
      <c r="B69" s="249"/>
      <c r="C69" s="162"/>
      <c r="D69" s="162"/>
      <c r="E69" s="162">
        <v>2</v>
      </c>
      <c r="F69" s="162"/>
      <c r="G69" s="162"/>
      <c r="H69" s="162">
        <v>1</v>
      </c>
      <c r="I69" s="162"/>
      <c r="J69" s="162"/>
      <c r="K69" s="162"/>
      <c r="L69" s="162"/>
      <c r="M69" s="162">
        <v>1</v>
      </c>
      <c r="N69" s="162">
        <v>1</v>
      </c>
      <c r="O69" s="162">
        <v>1</v>
      </c>
      <c r="P69" s="162"/>
      <c r="Q69" s="162"/>
      <c r="R69" s="162"/>
      <c r="S69" s="162"/>
      <c r="T69" s="162"/>
      <c r="U69" s="162"/>
      <c r="V69" s="162">
        <v>4</v>
      </c>
      <c r="W69" s="162"/>
      <c r="X69" s="162"/>
      <c r="Y69" s="162"/>
      <c r="Z69" s="162">
        <v>3</v>
      </c>
      <c r="AA69" s="162"/>
      <c r="AB69" s="162"/>
      <c r="AC69" s="162"/>
      <c r="AD69" s="162">
        <v>1</v>
      </c>
      <c r="AE69" s="162"/>
      <c r="AF69" s="161"/>
      <c r="AG69" s="64">
        <f t="shared" si="5"/>
        <v>14</v>
      </c>
    </row>
    <row r="70" spans="1:33" ht="18.75" x14ac:dyDescent="0.25">
      <c r="A70" s="301" t="s">
        <v>128</v>
      </c>
      <c r="B70" s="248">
        <v>1</v>
      </c>
      <c r="C70" s="199"/>
      <c r="D70" s="162"/>
      <c r="E70" s="199"/>
      <c r="F70" s="199"/>
      <c r="G70" s="162"/>
      <c r="H70" s="199"/>
      <c r="I70" s="162">
        <v>1</v>
      </c>
      <c r="J70" s="199"/>
      <c r="K70" s="199"/>
      <c r="L70" s="199"/>
      <c r="M70" s="199">
        <v>3</v>
      </c>
      <c r="N70" s="199">
        <v>1</v>
      </c>
      <c r="O70" s="199"/>
      <c r="P70" s="199"/>
      <c r="Q70" s="199"/>
      <c r="R70" s="199"/>
      <c r="S70" s="199">
        <v>1</v>
      </c>
      <c r="T70" s="199"/>
      <c r="U70" s="199"/>
      <c r="V70" s="199">
        <v>1</v>
      </c>
      <c r="W70" s="199"/>
      <c r="X70" s="199">
        <v>1</v>
      </c>
      <c r="Y70" s="199"/>
      <c r="Z70" s="199">
        <v>5</v>
      </c>
      <c r="AA70" s="199"/>
      <c r="AB70" s="199"/>
      <c r="AC70" s="199"/>
      <c r="AD70" s="199">
        <v>2</v>
      </c>
      <c r="AE70" s="199"/>
      <c r="AF70" s="206"/>
      <c r="AG70" s="64">
        <f t="shared" si="5"/>
        <v>16</v>
      </c>
    </row>
    <row r="71" spans="1:33" ht="18.75" x14ac:dyDescent="0.25">
      <c r="A71" s="301" t="s">
        <v>127</v>
      </c>
      <c r="B71" s="248"/>
      <c r="C71" s="199"/>
      <c r="D71" s="162"/>
      <c r="E71" s="199"/>
      <c r="F71" s="199"/>
      <c r="G71" s="162">
        <v>1</v>
      </c>
      <c r="H71" s="199"/>
      <c r="I71" s="162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>
        <v>1</v>
      </c>
      <c r="W71" s="199"/>
      <c r="X71" s="199"/>
      <c r="Y71" s="199"/>
      <c r="Z71" s="199"/>
      <c r="AA71" s="199"/>
      <c r="AB71" s="199"/>
      <c r="AC71" s="199"/>
      <c r="AD71" s="199">
        <v>2</v>
      </c>
      <c r="AE71" s="199">
        <v>1</v>
      </c>
      <c r="AF71" s="206"/>
      <c r="AG71" s="64">
        <f t="shared" si="5"/>
        <v>5</v>
      </c>
    </row>
    <row r="72" spans="1:33" ht="18.75" x14ac:dyDescent="0.25">
      <c r="A72" s="301" t="s">
        <v>126</v>
      </c>
      <c r="B72" s="248"/>
      <c r="C72" s="199"/>
      <c r="D72" s="162"/>
      <c r="E72" s="199"/>
      <c r="F72" s="199"/>
      <c r="G72" s="162"/>
      <c r="H72" s="199"/>
      <c r="I72" s="162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199"/>
      <c r="X72" s="199">
        <v>1</v>
      </c>
      <c r="Y72" s="199"/>
      <c r="Z72" s="199">
        <v>1</v>
      </c>
      <c r="AA72" s="199"/>
      <c r="AB72" s="199"/>
      <c r="AC72" s="199"/>
      <c r="AD72" s="199"/>
      <c r="AE72" s="199"/>
      <c r="AF72" s="206"/>
      <c r="AG72" s="64">
        <f t="shared" si="5"/>
        <v>2</v>
      </c>
    </row>
    <row r="73" spans="1:33" ht="18.75" x14ac:dyDescent="0.25">
      <c r="A73" s="301" t="s">
        <v>125</v>
      </c>
      <c r="B73" s="248"/>
      <c r="C73" s="199"/>
      <c r="D73" s="162"/>
      <c r="E73" s="199"/>
      <c r="F73" s="199"/>
      <c r="G73" s="162"/>
      <c r="H73" s="199"/>
      <c r="I73" s="162"/>
      <c r="J73" s="199"/>
      <c r="K73" s="199"/>
      <c r="L73" s="199"/>
      <c r="M73" s="199"/>
      <c r="N73" s="199"/>
      <c r="O73" s="199"/>
      <c r="P73" s="199"/>
      <c r="Q73" s="199"/>
      <c r="R73" s="199"/>
      <c r="S73" s="199"/>
      <c r="T73" s="199"/>
      <c r="U73" s="199">
        <v>1</v>
      </c>
      <c r="V73" s="199"/>
      <c r="W73" s="199"/>
      <c r="X73" s="199"/>
      <c r="Y73" s="199"/>
      <c r="Z73" s="199"/>
      <c r="AA73" s="199"/>
      <c r="AB73" s="199"/>
      <c r="AC73" s="199"/>
      <c r="AD73" s="199">
        <v>1</v>
      </c>
      <c r="AE73" s="199"/>
      <c r="AF73" s="206"/>
      <c r="AG73" s="64">
        <f t="shared" si="5"/>
        <v>2</v>
      </c>
    </row>
    <row r="74" spans="1:33" ht="18.75" x14ac:dyDescent="0.25">
      <c r="A74" s="301" t="s">
        <v>124</v>
      </c>
      <c r="B74" s="248"/>
      <c r="C74" s="199"/>
      <c r="D74" s="162"/>
      <c r="E74" s="199"/>
      <c r="F74" s="199"/>
      <c r="G74" s="162"/>
      <c r="H74" s="199"/>
      <c r="I74" s="162"/>
      <c r="J74" s="199"/>
      <c r="K74" s="199">
        <v>1</v>
      </c>
      <c r="L74" s="199"/>
      <c r="M74" s="199"/>
      <c r="N74" s="199"/>
      <c r="O74" s="199"/>
      <c r="P74" s="199"/>
      <c r="Q74" s="199"/>
      <c r="R74" s="199"/>
      <c r="S74" s="199"/>
      <c r="T74" s="199"/>
      <c r="U74" s="199"/>
      <c r="V74" s="199"/>
      <c r="W74" s="199"/>
      <c r="X74" s="199"/>
      <c r="Y74" s="199"/>
      <c r="Z74" s="199"/>
      <c r="AA74" s="199"/>
      <c r="AB74" s="199"/>
      <c r="AC74" s="199"/>
      <c r="AD74" s="199"/>
      <c r="AE74" s="199"/>
      <c r="AF74" s="206"/>
      <c r="AG74" s="64">
        <f t="shared" si="5"/>
        <v>1</v>
      </c>
    </row>
    <row r="75" spans="1:33" ht="18.75" x14ac:dyDescent="0.25">
      <c r="A75" s="301" t="s">
        <v>123</v>
      </c>
      <c r="B75" s="248"/>
      <c r="C75" s="199"/>
      <c r="D75" s="162"/>
      <c r="E75" s="199"/>
      <c r="F75" s="199"/>
      <c r="G75" s="162"/>
      <c r="H75" s="199"/>
      <c r="I75" s="162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9"/>
      <c r="Y75" s="199"/>
      <c r="Z75" s="199"/>
      <c r="AA75" s="199"/>
      <c r="AB75" s="199"/>
      <c r="AC75" s="199"/>
      <c r="AD75" s="199"/>
      <c r="AE75" s="199"/>
      <c r="AF75" s="206"/>
      <c r="AG75" s="64">
        <f t="shared" si="5"/>
        <v>0</v>
      </c>
    </row>
    <row r="76" spans="1:33" ht="18.75" x14ac:dyDescent="0.25">
      <c r="A76" s="301" t="s">
        <v>122</v>
      </c>
      <c r="B76" s="248"/>
      <c r="C76" s="199"/>
      <c r="D76" s="162"/>
      <c r="E76" s="199"/>
      <c r="F76" s="199"/>
      <c r="G76" s="162"/>
      <c r="H76" s="199"/>
      <c r="I76" s="162"/>
      <c r="J76" s="199"/>
      <c r="K76" s="199"/>
      <c r="L76" s="199"/>
      <c r="M76" s="199"/>
      <c r="N76" s="199"/>
      <c r="O76" s="199"/>
      <c r="P76" s="199"/>
      <c r="Q76" s="199"/>
      <c r="R76" s="199"/>
      <c r="S76" s="199"/>
      <c r="T76" s="199"/>
      <c r="U76" s="199"/>
      <c r="V76" s="199"/>
      <c r="W76" s="199"/>
      <c r="X76" s="199"/>
      <c r="Y76" s="199"/>
      <c r="Z76" s="199"/>
      <c r="AA76" s="199"/>
      <c r="AB76" s="199"/>
      <c r="AC76" s="199"/>
      <c r="AD76" s="199"/>
      <c r="AE76" s="199"/>
      <c r="AF76" s="206"/>
      <c r="AG76" s="64">
        <f t="shared" si="5"/>
        <v>0</v>
      </c>
    </row>
    <row r="77" spans="1:33" ht="19.5" thickBot="1" x14ac:dyDescent="0.3">
      <c r="A77" s="305" t="s">
        <v>121</v>
      </c>
      <c r="B77" s="253"/>
      <c r="C77" s="184"/>
      <c r="D77" s="181"/>
      <c r="E77" s="184"/>
      <c r="F77" s="184"/>
      <c r="G77" s="181"/>
      <c r="H77" s="184"/>
      <c r="I77" s="181"/>
      <c r="J77" s="184"/>
      <c r="K77" s="184"/>
      <c r="L77" s="184"/>
      <c r="M77" s="184"/>
      <c r="N77" s="184"/>
      <c r="O77" s="184"/>
      <c r="P77" s="184"/>
      <c r="Q77" s="184"/>
      <c r="R77" s="184"/>
      <c r="S77" s="184"/>
      <c r="T77" s="184"/>
      <c r="U77" s="184"/>
      <c r="V77" s="184"/>
      <c r="W77" s="184"/>
      <c r="X77" s="184"/>
      <c r="Y77" s="184"/>
      <c r="Z77" s="184"/>
      <c r="AA77" s="184"/>
      <c r="AB77" s="184"/>
      <c r="AC77" s="184"/>
      <c r="AD77" s="184"/>
      <c r="AE77" s="184"/>
      <c r="AF77" s="183"/>
      <c r="AG77" s="160">
        <f t="shared" si="5"/>
        <v>0</v>
      </c>
    </row>
    <row r="78" spans="1:33" ht="19.5" hidden="1" customHeight="1" thickBot="1" x14ac:dyDescent="0.3">
      <c r="A78" s="306" t="s">
        <v>120</v>
      </c>
      <c r="B78" s="254">
        <f t="shared" ref="B78:AF78" si="6">SUM(B79:B80)</f>
        <v>118</v>
      </c>
      <c r="C78" s="204">
        <f t="shared" si="6"/>
        <v>112</v>
      </c>
      <c r="D78" s="204">
        <f t="shared" si="6"/>
        <v>155</v>
      </c>
      <c r="E78" s="201">
        <f t="shared" si="6"/>
        <v>159</v>
      </c>
      <c r="F78" s="201">
        <f t="shared" si="6"/>
        <v>157</v>
      </c>
      <c r="G78" s="201">
        <f t="shared" si="6"/>
        <v>152</v>
      </c>
      <c r="H78" s="201">
        <f t="shared" si="6"/>
        <v>134</v>
      </c>
      <c r="I78" s="201">
        <f t="shared" si="6"/>
        <v>130</v>
      </c>
      <c r="J78" s="201">
        <f t="shared" si="6"/>
        <v>135</v>
      </c>
      <c r="K78" s="201">
        <f t="shared" si="6"/>
        <v>152</v>
      </c>
      <c r="L78" s="201">
        <f t="shared" si="6"/>
        <v>176</v>
      </c>
      <c r="M78" s="201">
        <f t="shared" si="6"/>
        <v>180</v>
      </c>
      <c r="N78" s="201">
        <f t="shared" si="6"/>
        <v>136</v>
      </c>
      <c r="O78" s="201">
        <f t="shared" si="6"/>
        <v>146</v>
      </c>
      <c r="P78" s="201">
        <f t="shared" si="6"/>
        <v>122</v>
      </c>
      <c r="Q78" s="201">
        <f t="shared" si="6"/>
        <v>180</v>
      </c>
      <c r="R78" s="201">
        <f t="shared" si="6"/>
        <v>181</v>
      </c>
      <c r="S78" s="201">
        <f t="shared" si="6"/>
        <v>164</v>
      </c>
      <c r="T78" s="201">
        <f t="shared" si="6"/>
        <v>152</v>
      </c>
      <c r="U78" s="201">
        <f t="shared" si="6"/>
        <v>174</v>
      </c>
      <c r="V78" s="201">
        <f t="shared" si="6"/>
        <v>158</v>
      </c>
      <c r="W78" s="201">
        <f t="shared" si="6"/>
        <v>147</v>
      </c>
      <c r="X78" s="201">
        <f t="shared" si="6"/>
        <v>170</v>
      </c>
      <c r="Y78" s="201">
        <f t="shared" si="6"/>
        <v>173</v>
      </c>
      <c r="Z78" s="201">
        <f t="shared" si="6"/>
        <v>175</v>
      </c>
      <c r="AA78" s="201">
        <f t="shared" si="6"/>
        <v>139</v>
      </c>
      <c r="AB78" s="201">
        <f t="shared" si="6"/>
        <v>155</v>
      </c>
      <c r="AC78" s="201">
        <f t="shared" si="6"/>
        <v>159</v>
      </c>
      <c r="AD78" s="201">
        <f t="shared" si="6"/>
        <v>158</v>
      </c>
      <c r="AE78" s="201">
        <f t="shared" si="6"/>
        <v>157</v>
      </c>
      <c r="AF78" s="203">
        <f t="shared" si="6"/>
        <v>154</v>
      </c>
      <c r="AG78" s="157">
        <f t="shared" si="5"/>
        <v>4760</v>
      </c>
    </row>
    <row r="79" spans="1:33" ht="19.5" hidden="1" customHeight="1" thickBot="1" x14ac:dyDescent="0.3">
      <c r="A79" s="307" t="s">
        <v>118</v>
      </c>
      <c r="B79" s="248">
        <f t="shared" ref="B79:AF79" si="7">SUM(B4:B27)-B80</f>
        <v>118</v>
      </c>
      <c r="C79" s="199">
        <f t="shared" si="7"/>
        <v>112</v>
      </c>
      <c r="D79" s="199">
        <f t="shared" si="7"/>
        <v>155</v>
      </c>
      <c r="E79" s="199">
        <f t="shared" si="7"/>
        <v>159</v>
      </c>
      <c r="F79" s="199">
        <f t="shared" si="7"/>
        <v>126</v>
      </c>
      <c r="G79" s="199">
        <f t="shared" si="7"/>
        <v>133</v>
      </c>
      <c r="H79" s="199">
        <f t="shared" si="7"/>
        <v>117</v>
      </c>
      <c r="I79" s="199">
        <f t="shared" si="7"/>
        <v>130</v>
      </c>
      <c r="J79" s="199">
        <f t="shared" si="7"/>
        <v>135</v>
      </c>
      <c r="K79" s="199">
        <f t="shared" si="7"/>
        <v>152</v>
      </c>
      <c r="L79" s="199">
        <f t="shared" si="7"/>
        <v>176</v>
      </c>
      <c r="M79" s="199">
        <f t="shared" si="7"/>
        <v>149</v>
      </c>
      <c r="N79" s="199">
        <f t="shared" si="7"/>
        <v>118</v>
      </c>
      <c r="O79" s="199">
        <f t="shared" si="7"/>
        <v>125</v>
      </c>
      <c r="P79" s="199">
        <f t="shared" si="7"/>
        <v>122</v>
      </c>
      <c r="Q79" s="199">
        <f t="shared" si="7"/>
        <v>180</v>
      </c>
      <c r="R79" s="199">
        <f t="shared" si="7"/>
        <v>91</v>
      </c>
      <c r="S79" s="199">
        <f t="shared" si="7"/>
        <v>141</v>
      </c>
      <c r="T79" s="199">
        <f t="shared" si="7"/>
        <v>133</v>
      </c>
      <c r="U79" s="199">
        <f t="shared" si="7"/>
        <v>134</v>
      </c>
      <c r="V79" s="199">
        <f t="shared" si="7"/>
        <v>130</v>
      </c>
      <c r="W79" s="199">
        <f t="shared" si="7"/>
        <v>147</v>
      </c>
      <c r="X79" s="199">
        <f t="shared" si="7"/>
        <v>170</v>
      </c>
      <c r="Y79" s="199">
        <f t="shared" si="7"/>
        <v>77</v>
      </c>
      <c r="Z79" s="199">
        <f t="shared" si="7"/>
        <v>175</v>
      </c>
      <c r="AA79" s="199">
        <f t="shared" si="7"/>
        <v>114</v>
      </c>
      <c r="AB79" s="199">
        <f t="shared" si="7"/>
        <v>133</v>
      </c>
      <c r="AC79" s="199">
        <f t="shared" si="7"/>
        <v>127</v>
      </c>
      <c r="AD79" s="199">
        <f t="shared" si="7"/>
        <v>158</v>
      </c>
      <c r="AE79" s="199">
        <f t="shared" si="7"/>
        <v>157</v>
      </c>
      <c r="AF79" s="199">
        <f t="shared" si="7"/>
        <v>64</v>
      </c>
      <c r="AG79" s="134">
        <f t="shared" si="5"/>
        <v>4158</v>
      </c>
    </row>
    <row r="80" spans="1:33" ht="19.5" hidden="1" customHeight="1" thickBot="1" x14ac:dyDescent="0.3">
      <c r="A80" s="308" t="s">
        <v>119</v>
      </c>
      <c r="B80" s="255"/>
      <c r="C80" s="169"/>
      <c r="D80" s="181">
        <v>0</v>
      </c>
      <c r="E80" s="181">
        <v>0</v>
      </c>
      <c r="F80" s="181">
        <f>SUM(F4:F12)</f>
        <v>31</v>
      </c>
      <c r="G80" s="181">
        <f>SUM(G4:G12)</f>
        <v>19</v>
      </c>
      <c r="H80" s="181">
        <f>SUM(H4:H12)</f>
        <v>17</v>
      </c>
      <c r="I80" s="169"/>
      <c r="J80" s="169"/>
      <c r="K80" s="181">
        <v>0</v>
      </c>
      <c r="L80" s="181">
        <v>0</v>
      </c>
      <c r="M80" s="181">
        <f>SUM(M4:M12)</f>
        <v>31</v>
      </c>
      <c r="N80" s="181">
        <f>SUM(N4:N12)</f>
        <v>18</v>
      </c>
      <c r="O80" s="181">
        <f>SUM(O4:O12)</f>
        <v>21</v>
      </c>
      <c r="P80" s="169"/>
      <c r="Q80" s="169"/>
      <c r="R80" s="181">
        <f>SUM(R4:R12)</f>
        <v>90</v>
      </c>
      <c r="S80" s="181">
        <f>SUM(S4:S12)</f>
        <v>23</v>
      </c>
      <c r="T80" s="181">
        <f>SUM(T4:T12)</f>
        <v>19</v>
      </c>
      <c r="U80" s="181">
        <f>SUM(U4:U12)</f>
        <v>40</v>
      </c>
      <c r="V80" s="181">
        <f>SUM(V4:V12)</f>
        <v>28</v>
      </c>
      <c r="W80" s="169"/>
      <c r="X80" s="169"/>
      <c r="Y80" s="181">
        <f>SUM(Y4:Y12)</f>
        <v>96</v>
      </c>
      <c r="Z80" s="169"/>
      <c r="AA80" s="181">
        <f>SUM(AA4:AA12)</f>
        <v>25</v>
      </c>
      <c r="AB80" s="181">
        <f>SUM(AB4:AB12)</f>
        <v>22</v>
      </c>
      <c r="AC80" s="181">
        <f>SUM(AC4:AC12)</f>
        <v>32</v>
      </c>
      <c r="AD80" s="169"/>
      <c r="AE80" s="169"/>
      <c r="AF80" s="181">
        <f>SUM(AF4:AF12)</f>
        <v>90</v>
      </c>
      <c r="AG80" s="160">
        <f t="shared" si="5"/>
        <v>602</v>
      </c>
    </row>
    <row r="81" spans="1:35" ht="19.5" thickBot="1" x14ac:dyDescent="0.3">
      <c r="A81" s="306" t="s">
        <v>84</v>
      </c>
      <c r="B81" s="256">
        <f t="shared" ref="B81:AF81" si="8">SUM(B82:B83)</f>
        <v>5</v>
      </c>
      <c r="C81" s="201">
        <f t="shared" si="8"/>
        <v>0</v>
      </c>
      <c r="D81" s="201">
        <f t="shared" si="8"/>
        <v>1</v>
      </c>
      <c r="E81" s="201">
        <f t="shared" si="8"/>
        <v>11</v>
      </c>
      <c r="F81" s="201">
        <f t="shared" si="8"/>
        <v>4</v>
      </c>
      <c r="G81" s="201">
        <f t="shared" si="8"/>
        <v>9</v>
      </c>
      <c r="H81" s="201">
        <f t="shared" si="8"/>
        <v>6</v>
      </c>
      <c r="I81" s="201">
        <f t="shared" si="8"/>
        <v>4</v>
      </c>
      <c r="J81" s="201">
        <f t="shared" si="8"/>
        <v>3</v>
      </c>
      <c r="K81" s="201">
        <f t="shared" si="8"/>
        <v>6</v>
      </c>
      <c r="L81" s="201">
        <f t="shared" si="8"/>
        <v>3</v>
      </c>
      <c r="M81" s="201">
        <f t="shared" si="8"/>
        <v>23</v>
      </c>
      <c r="N81" s="201">
        <f t="shared" si="8"/>
        <v>4</v>
      </c>
      <c r="O81" s="201">
        <f t="shared" si="8"/>
        <v>9</v>
      </c>
      <c r="P81" s="201">
        <f t="shared" si="8"/>
        <v>3</v>
      </c>
      <c r="Q81" s="201">
        <f t="shared" si="8"/>
        <v>1</v>
      </c>
      <c r="R81" s="201">
        <f t="shared" si="8"/>
        <v>1</v>
      </c>
      <c r="S81" s="201">
        <f t="shared" si="8"/>
        <v>13</v>
      </c>
      <c r="T81" s="201">
        <f t="shared" si="8"/>
        <v>9</v>
      </c>
      <c r="U81" s="201">
        <f t="shared" si="8"/>
        <v>17</v>
      </c>
      <c r="V81" s="201">
        <f t="shared" si="8"/>
        <v>14</v>
      </c>
      <c r="W81" s="201">
        <f t="shared" si="8"/>
        <v>4</v>
      </c>
      <c r="X81" s="201">
        <f t="shared" si="8"/>
        <v>3</v>
      </c>
      <c r="Y81" s="201">
        <f t="shared" si="8"/>
        <v>1</v>
      </c>
      <c r="Z81" s="201">
        <f t="shared" si="8"/>
        <v>28</v>
      </c>
      <c r="AA81" s="201">
        <f t="shared" si="8"/>
        <v>1</v>
      </c>
      <c r="AB81" s="201">
        <f t="shared" si="8"/>
        <v>3</v>
      </c>
      <c r="AC81" s="201">
        <f t="shared" si="8"/>
        <v>7</v>
      </c>
      <c r="AD81" s="201">
        <f t="shared" si="8"/>
        <v>11</v>
      </c>
      <c r="AE81" s="201">
        <f t="shared" si="8"/>
        <v>5</v>
      </c>
      <c r="AF81" s="201">
        <f t="shared" si="8"/>
        <v>1</v>
      </c>
      <c r="AG81" s="157">
        <f t="shared" si="5"/>
        <v>210</v>
      </c>
      <c r="AH81" s="53" t="str">
        <f>IF(AG81&lt;&gt;AG53,"*","")</f>
        <v/>
      </c>
    </row>
    <row r="82" spans="1:35" ht="18.75" x14ac:dyDescent="0.25">
      <c r="A82" s="307" t="s">
        <v>119</v>
      </c>
      <c r="B82" s="248">
        <f t="shared" ref="B82:AD82" si="9">SUM(B54:B62)</f>
        <v>0</v>
      </c>
      <c r="C82" s="218"/>
      <c r="D82" s="218"/>
      <c r="E82" s="199">
        <f t="shared" si="9"/>
        <v>0</v>
      </c>
      <c r="F82" s="199">
        <f t="shared" si="9"/>
        <v>1</v>
      </c>
      <c r="G82" s="199">
        <f t="shared" si="9"/>
        <v>0</v>
      </c>
      <c r="H82" s="199">
        <f t="shared" si="9"/>
        <v>0</v>
      </c>
      <c r="I82" s="199">
        <f t="shared" si="9"/>
        <v>0</v>
      </c>
      <c r="J82" s="218"/>
      <c r="K82" s="218"/>
      <c r="L82" s="218"/>
      <c r="M82" s="199">
        <f t="shared" si="9"/>
        <v>1</v>
      </c>
      <c r="N82" s="199">
        <f t="shared" si="9"/>
        <v>0</v>
      </c>
      <c r="O82" s="199">
        <f t="shared" si="9"/>
        <v>0</v>
      </c>
      <c r="P82" s="199">
        <f t="shared" si="9"/>
        <v>0</v>
      </c>
      <c r="Q82" s="218"/>
      <c r="R82" s="218"/>
      <c r="S82" s="199">
        <f t="shared" si="9"/>
        <v>0</v>
      </c>
      <c r="T82" s="199">
        <f t="shared" si="9"/>
        <v>1</v>
      </c>
      <c r="U82" s="199">
        <f t="shared" si="9"/>
        <v>1</v>
      </c>
      <c r="V82" s="199">
        <f t="shared" si="9"/>
        <v>0</v>
      </c>
      <c r="W82" s="199">
        <f t="shared" si="9"/>
        <v>2</v>
      </c>
      <c r="X82" s="218"/>
      <c r="Y82" s="218"/>
      <c r="Z82" s="199">
        <f t="shared" si="9"/>
        <v>0</v>
      </c>
      <c r="AA82" s="199">
        <f t="shared" si="9"/>
        <v>0</v>
      </c>
      <c r="AB82" s="199">
        <f t="shared" si="9"/>
        <v>1</v>
      </c>
      <c r="AC82" s="199">
        <f t="shared" si="9"/>
        <v>0</v>
      </c>
      <c r="AD82" s="199">
        <f t="shared" si="9"/>
        <v>0</v>
      </c>
      <c r="AE82" s="218"/>
      <c r="AF82" s="218"/>
      <c r="AG82" s="134">
        <f t="shared" si="5"/>
        <v>7</v>
      </c>
    </row>
    <row r="83" spans="1:35" ht="19.5" thickBot="1" x14ac:dyDescent="0.3">
      <c r="A83" s="308" t="s">
        <v>118</v>
      </c>
      <c r="B83" s="252">
        <f t="shared" ref="B83:AF83" si="10">SUM(B54:B77)-B82</f>
        <v>5</v>
      </c>
      <c r="C83" s="181">
        <f t="shared" si="10"/>
        <v>0</v>
      </c>
      <c r="D83" s="181">
        <f t="shared" si="10"/>
        <v>1</v>
      </c>
      <c r="E83" s="181">
        <f t="shared" si="10"/>
        <v>11</v>
      </c>
      <c r="F83" s="181">
        <f t="shared" si="10"/>
        <v>3</v>
      </c>
      <c r="G83" s="181">
        <f t="shared" si="10"/>
        <v>9</v>
      </c>
      <c r="H83" s="181">
        <f t="shared" si="10"/>
        <v>6</v>
      </c>
      <c r="I83" s="181">
        <f t="shared" si="10"/>
        <v>4</v>
      </c>
      <c r="J83" s="181">
        <f t="shared" si="10"/>
        <v>3</v>
      </c>
      <c r="K83" s="181">
        <f t="shared" si="10"/>
        <v>6</v>
      </c>
      <c r="L83" s="181">
        <f t="shared" si="10"/>
        <v>3</v>
      </c>
      <c r="M83" s="181">
        <f t="shared" si="10"/>
        <v>22</v>
      </c>
      <c r="N83" s="181">
        <f t="shared" si="10"/>
        <v>4</v>
      </c>
      <c r="O83" s="181">
        <f t="shared" si="10"/>
        <v>9</v>
      </c>
      <c r="P83" s="181">
        <f t="shared" si="10"/>
        <v>3</v>
      </c>
      <c r="Q83" s="181">
        <f t="shared" si="10"/>
        <v>1</v>
      </c>
      <c r="R83" s="181">
        <f t="shared" si="10"/>
        <v>1</v>
      </c>
      <c r="S83" s="181">
        <f t="shared" si="10"/>
        <v>13</v>
      </c>
      <c r="T83" s="181">
        <f t="shared" si="10"/>
        <v>8</v>
      </c>
      <c r="U83" s="181">
        <f t="shared" si="10"/>
        <v>16</v>
      </c>
      <c r="V83" s="181">
        <f t="shared" si="10"/>
        <v>14</v>
      </c>
      <c r="W83" s="181">
        <f t="shared" si="10"/>
        <v>2</v>
      </c>
      <c r="X83" s="181">
        <f t="shared" si="10"/>
        <v>3</v>
      </c>
      <c r="Y83" s="181">
        <f t="shared" si="10"/>
        <v>1</v>
      </c>
      <c r="Z83" s="181">
        <f t="shared" si="10"/>
        <v>28</v>
      </c>
      <c r="AA83" s="181">
        <f t="shared" si="10"/>
        <v>1</v>
      </c>
      <c r="AB83" s="181">
        <f t="shared" si="10"/>
        <v>2</v>
      </c>
      <c r="AC83" s="181">
        <f t="shared" si="10"/>
        <v>7</v>
      </c>
      <c r="AD83" s="181">
        <f t="shared" si="10"/>
        <v>11</v>
      </c>
      <c r="AE83" s="181">
        <f t="shared" si="10"/>
        <v>5</v>
      </c>
      <c r="AF83" s="181">
        <f t="shared" si="10"/>
        <v>1</v>
      </c>
      <c r="AG83" s="64">
        <f t="shared" si="5"/>
        <v>203</v>
      </c>
    </row>
    <row r="84" spans="1:35" ht="19.5" thickBot="1" x14ac:dyDescent="0.3">
      <c r="A84" s="309" t="s">
        <v>117</v>
      </c>
      <c r="B84" s="257">
        <f t="shared" ref="B84:AF84" si="11">SUM(B85:B86)</f>
        <v>5</v>
      </c>
      <c r="C84" s="158">
        <f t="shared" si="11"/>
        <v>0</v>
      </c>
      <c r="D84" s="158">
        <f t="shared" si="11"/>
        <v>1</v>
      </c>
      <c r="E84" s="158">
        <f t="shared" si="11"/>
        <v>11</v>
      </c>
      <c r="F84" s="158">
        <f t="shared" si="11"/>
        <v>4</v>
      </c>
      <c r="G84" s="158">
        <f t="shared" si="11"/>
        <v>9</v>
      </c>
      <c r="H84" s="158">
        <f t="shared" si="11"/>
        <v>6</v>
      </c>
      <c r="I84" s="158">
        <f t="shared" si="11"/>
        <v>4</v>
      </c>
      <c r="J84" s="158">
        <f t="shared" si="11"/>
        <v>3</v>
      </c>
      <c r="K84" s="158">
        <f t="shared" si="11"/>
        <v>6</v>
      </c>
      <c r="L84" s="158">
        <f t="shared" si="11"/>
        <v>3</v>
      </c>
      <c r="M84" s="158">
        <f t="shared" si="11"/>
        <v>23</v>
      </c>
      <c r="N84" s="158">
        <f t="shared" si="11"/>
        <v>4</v>
      </c>
      <c r="O84" s="158">
        <f t="shared" si="11"/>
        <v>9</v>
      </c>
      <c r="P84" s="158">
        <f t="shared" si="11"/>
        <v>3</v>
      </c>
      <c r="Q84" s="158">
        <f t="shared" si="11"/>
        <v>1</v>
      </c>
      <c r="R84" s="158">
        <f t="shared" si="11"/>
        <v>1</v>
      </c>
      <c r="S84" s="158">
        <f t="shared" si="11"/>
        <v>13</v>
      </c>
      <c r="T84" s="158">
        <f t="shared" si="11"/>
        <v>9</v>
      </c>
      <c r="U84" s="158">
        <f t="shared" si="11"/>
        <v>17</v>
      </c>
      <c r="V84" s="158">
        <f t="shared" si="11"/>
        <v>14</v>
      </c>
      <c r="W84" s="158">
        <f t="shared" si="11"/>
        <v>4</v>
      </c>
      <c r="X84" s="158">
        <f t="shared" si="11"/>
        <v>3</v>
      </c>
      <c r="Y84" s="158">
        <f t="shared" si="11"/>
        <v>1</v>
      </c>
      <c r="Z84" s="158">
        <f t="shared" si="11"/>
        <v>28</v>
      </c>
      <c r="AA84" s="158">
        <f t="shared" si="11"/>
        <v>1</v>
      </c>
      <c r="AB84" s="158">
        <f t="shared" si="11"/>
        <v>3</v>
      </c>
      <c r="AC84" s="158">
        <f t="shared" si="11"/>
        <v>7</v>
      </c>
      <c r="AD84" s="158">
        <f t="shared" si="11"/>
        <v>11</v>
      </c>
      <c r="AE84" s="158">
        <f t="shared" si="11"/>
        <v>5</v>
      </c>
      <c r="AF84" s="158">
        <f t="shared" si="11"/>
        <v>1</v>
      </c>
      <c r="AG84" s="197">
        <f t="shared" si="5"/>
        <v>210</v>
      </c>
      <c r="AH84" s="53" t="str">
        <f>IF(AG84&lt;&gt;AG82+AG83,"*","")</f>
        <v/>
      </c>
      <c r="AI84" s="403" t="s">
        <v>71</v>
      </c>
    </row>
    <row r="85" spans="1:35" ht="18.75" x14ac:dyDescent="0.25">
      <c r="A85" s="310" t="s">
        <v>116</v>
      </c>
      <c r="B85" s="258">
        <v>2</v>
      </c>
      <c r="C85" s="195">
        <v>0</v>
      </c>
      <c r="D85" s="195">
        <v>0</v>
      </c>
      <c r="E85" s="195">
        <v>0</v>
      </c>
      <c r="F85" s="195">
        <v>1</v>
      </c>
      <c r="G85" s="195">
        <v>0</v>
      </c>
      <c r="H85" s="195">
        <v>0</v>
      </c>
      <c r="I85" s="195">
        <v>1</v>
      </c>
      <c r="J85" s="195">
        <v>0</v>
      </c>
      <c r="K85" s="195">
        <v>0</v>
      </c>
      <c r="L85" s="195">
        <v>1</v>
      </c>
      <c r="M85" s="195">
        <v>4</v>
      </c>
      <c r="N85" s="195">
        <v>0</v>
      </c>
      <c r="O85" s="195">
        <v>0</v>
      </c>
      <c r="P85" s="195">
        <v>0</v>
      </c>
      <c r="Q85" s="195">
        <v>0</v>
      </c>
      <c r="R85" s="195">
        <v>0</v>
      </c>
      <c r="S85" s="195">
        <v>1</v>
      </c>
      <c r="T85" s="195">
        <v>2</v>
      </c>
      <c r="U85" s="195">
        <v>3</v>
      </c>
      <c r="V85" s="195">
        <v>2</v>
      </c>
      <c r="W85" s="195">
        <v>0</v>
      </c>
      <c r="X85" s="195">
        <v>1</v>
      </c>
      <c r="Y85" s="195">
        <v>0</v>
      </c>
      <c r="Z85" s="195">
        <v>4</v>
      </c>
      <c r="AA85" s="195">
        <v>0</v>
      </c>
      <c r="AB85" s="195">
        <v>1</v>
      </c>
      <c r="AC85" s="195">
        <v>2</v>
      </c>
      <c r="AD85" s="195">
        <v>1</v>
      </c>
      <c r="AE85" s="195">
        <v>2</v>
      </c>
      <c r="AF85" s="194"/>
      <c r="AG85" s="193">
        <f t="shared" si="5"/>
        <v>28</v>
      </c>
      <c r="AI85" s="404"/>
    </row>
    <row r="86" spans="1:35" ht="19.5" thickBot="1" x14ac:dyDescent="0.3">
      <c r="A86" s="311" t="s">
        <v>115</v>
      </c>
      <c r="B86" s="259">
        <v>3</v>
      </c>
      <c r="C86" s="191">
        <v>0</v>
      </c>
      <c r="D86" s="191">
        <v>1</v>
      </c>
      <c r="E86" s="191">
        <v>11</v>
      </c>
      <c r="F86" s="191">
        <v>3</v>
      </c>
      <c r="G86" s="191">
        <v>9</v>
      </c>
      <c r="H86" s="191">
        <v>6</v>
      </c>
      <c r="I86" s="191">
        <v>3</v>
      </c>
      <c r="J86" s="191">
        <v>3</v>
      </c>
      <c r="K86" s="191">
        <v>6</v>
      </c>
      <c r="L86" s="191">
        <v>2</v>
      </c>
      <c r="M86" s="191">
        <v>19</v>
      </c>
      <c r="N86" s="191">
        <v>4</v>
      </c>
      <c r="O86" s="191">
        <v>9</v>
      </c>
      <c r="P86" s="191">
        <v>3</v>
      </c>
      <c r="Q86" s="191">
        <v>1</v>
      </c>
      <c r="R86" s="191">
        <v>1</v>
      </c>
      <c r="S86" s="191">
        <v>12</v>
      </c>
      <c r="T86" s="191">
        <v>7</v>
      </c>
      <c r="U86" s="191">
        <v>14</v>
      </c>
      <c r="V86" s="191">
        <v>12</v>
      </c>
      <c r="W86" s="191">
        <v>4</v>
      </c>
      <c r="X86" s="191">
        <v>2</v>
      </c>
      <c r="Y86" s="191">
        <v>1</v>
      </c>
      <c r="Z86" s="191">
        <v>24</v>
      </c>
      <c r="AA86" s="191">
        <v>1</v>
      </c>
      <c r="AB86" s="191">
        <v>2</v>
      </c>
      <c r="AC86" s="191">
        <v>5</v>
      </c>
      <c r="AD86" s="191">
        <v>10</v>
      </c>
      <c r="AE86" s="191">
        <v>3</v>
      </c>
      <c r="AF86" s="190">
        <v>1</v>
      </c>
      <c r="AG86" s="189">
        <f t="shared" si="5"/>
        <v>182</v>
      </c>
      <c r="AI86" s="405"/>
    </row>
    <row r="87" spans="1:35" ht="19.5" thickBot="1" x14ac:dyDescent="0.3">
      <c r="A87" s="312" t="s">
        <v>114</v>
      </c>
      <c r="B87" s="260">
        <f t="shared" ref="B87:AF87" si="12">SUM(B88:B92)</f>
        <v>5</v>
      </c>
      <c r="C87" s="187">
        <f t="shared" si="12"/>
        <v>0</v>
      </c>
      <c r="D87" s="187">
        <f t="shared" si="12"/>
        <v>1</v>
      </c>
      <c r="E87" s="187">
        <f t="shared" si="12"/>
        <v>11</v>
      </c>
      <c r="F87" s="187">
        <f t="shared" si="12"/>
        <v>4</v>
      </c>
      <c r="G87" s="187">
        <f t="shared" si="12"/>
        <v>9</v>
      </c>
      <c r="H87" s="187">
        <f t="shared" si="12"/>
        <v>6</v>
      </c>
      <c r="I87" s="187">
        <f t="shared" si="12"/>
        <v>4</v>
      </c>
      <c r="J87" s="187">
        <f t="shared" si="12"/>
        <v>3</v>
      </c>
      <c r="K87" s="187">
        <f t="shared" si="12"/>
        <v>6</v>
      </c>
      <c r="L87" s="187">
        <f t="shared" si="12"/>
        <v>3</v>
      </c>
      <c r="M87" s="187">
        <f t="shared" si="12"/>
        <v>23</v>
      </c>
      <c r="N87" s="187">
        <f t="shared" si="12"/>
        <v>4</v>
      </c>
      <c r="O87" s="187">
        <f t="shared" si="12"/>
        <v>9</v>
      </c>
      <c r="P87" s="187">
        <f t="shared" si="12"/>
        <v>3</v>
      </c>
      <c r="Q87" s="187">
        <f t="shared" si="12"/>
        <v>1</v>
      </c>
      <c r="R87" s="187">
        <f t="shared" si="12"/>
        <v>1</v>
      </c>
      <c r="S87" s="187">
        <f t="shared" si="12"/>
        <v>13</v>
      </c>
      <c r="T87" s="187">
        <f t="shared" si="12"/>
        <v>9</v>
      </c>
      <c r="U87" s="187">
        <f t="shared" si="12"/>
        <v>17</v>
      </c>
      <c r="V87" s="187">
        <f t="shared" si="12"/>
        <v>14</v>
      </c>
      <c r="W87" s="187">
        <f t="shared" si="12"/>
        <v>4</v>
      </c>
      <c r="X87" s="187">
        <f t="shared" si="12"/>
        <v>3</v>
      </c>
      <c r="Y87" s="187">
        <f t="shared" si="12"/>
        <v>1</v>
      </c>
      <c r="Z87" s="187">
        <f t="shared" si="12"/>
        <v>28</v>
      </c>
      <c r="AA87" s="187">
        <f t="shared" si="12"/>
        <v>1</v>
      </c>
      <c r="AB87" s="187">
        <f t="shared" si="12"/>
        <v>3</v>
      </c>
      <c r="AC87" s="187">
        <f t="shared" si="12"/>
        <v>7</v>
      </c>
      <c r="AD87" s="187">
        <f t="shared" si="12"/>
        <v>11</v>
      </c>
      <c r="AE87" s="187">
        <f t="shared" si="12"/>
        <v>5</v>
      </c>
      <c r="AF87" s="187">
        <f t="shared" si="12"/>
        <v>1</v>
      </c>
      <c r="AG87" s="186">
        <f t="shared" si="5"/>
        <v>210</v>
      </c>
      <c r="AH87" s="185" t="str">
        <f>IF(AG87&lt;&gt;AG84,"*","")</f>
        <v/>
      </c>
    </row>
    <row r="88" spans="1:35" ht="18.75" x14ac:dyDescent="0.25">
      <c r="A88" s="313" t="s">
        <v>113</v>
      </c>
      <c r="B88" s="253">
        <v>1</v>
      </c>
      <c r="C88" s="184"/>
      <c r="D88" s="184"/>
      <c r="E88" s="184">
        <v>4</v>
      </c>
      <c r="F88" s="184">
        <v>1</v>
      </c>
      <c r="G88" s="184">
        <v>5</v>
      </c>
      <c r="H88" s="184">
        <v>1</v>
      </c>
      <c r="I88" s="184"/>
      <c r="J88" s="184">
        <v>2</v>
      </c>
      <c r="K88" s="184">
        <v>1</v>
      </c>
      <c r="L88" s="184"/>
      <c r="M88" s="184">
        <v>15</v>
      </c>
      <c r="N88" s="184">
        <v>1</v>
      </c>
      <c r="O88" s="184">
        <v>2</v>
      </c>
      <c r="P88" s="184">
        <v>1</v>
      </c>
      <c r="Q88" s="184">
        <v>1</v>
      </c>
      <c r="R88" s="184">
        <v>1</v>
      </c>
      <c r="S88" s="184">
        <v>3</v>
      </c>
      <c r="T88" s="184">
        <v>3</v>
      </c>
      <c r="U88" s="184">
        <v>9</v>
      </c>
      <c r="V88" s="184">
        <v>4</v>
      </c>
      <c r="W88" s="184">
        <v>4</v>
      </c>
      <c r="X88" s="184"/>
      <c r="Y88" s="184"/>
      <c r="Z88" s="184">
        <v>3</v>
      </c>
      <c r="AA88" s="184">
        <v>1</v>
      </c>
      <c r="AB88" s="184">
        <v>2</v>
      </c>
      <c r="AC88" s="184"/>
      <c r="AD88" s="184">
        <v>4</v>
      </c>
      <c r="AE88" s="184">
        <v>1</v>
      </c>
      <c r="AF88" s="183">
        <v>1</v>
      </c>
      <c r="AG88" s="134">
        <f t="shared" si="5"/>
        <v>71</v>
      </c>
    </row>
    <row r="89" spans="1:35" ht="18.75" x14ac:dyDescent="0.25">
      <c r="A89" s="314" t="s">
        <v>16</v>
      </c>
      <c r="B89" s="252"/>
      <c r="C89" s="181"/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  <c r="AA89" s="181"/>
      <c r="AB89" s="181"/>
      <c r="AC89" s="181"/>
      <c r="AD89" s="181"/>
      <c r="AE89" s="181"/>
      <c r="AF89" s="180"/>
      <c r="AG89" s="64">
        <f t="shared" si="5"/>
        <v>0</v>
      </c>
    </row>
    <row r="90" spans="1:35" ht="18.75" x14ac:dyDescent="0.25">
      <c r="A90" s="314" t="s">
        <v>15</v>
      </c>
      <c r="B90" s="252">
        <v>1</v>
      </c>
      <c r="C90" s="181"/>
      <c r="D90" s="181"/>
      <c r="E90" s="181"/>
      <c r="F90" s="181"/>
      <c r="G90" s="181"/>
      <c r="H90" s="181"/>
      <c r="I90" s="181"/>
      <c r="J90" s="181"/>
      <c r="K90" s="181"/>
      <c r="L90" s="181"/>
      <c r="M90" s="181"/>
      <c r="N90" s="181"/>
      <c r="O90" s="181"/>
      <c r="P90" s="181"/>
      <c r="Q90" s="181"/>
      <c r="R90" s="181"/>
      <c r="S90" s="181"/>
      <c r="T90" s="181"/>
      <c r="U90" s="181"/>
      <c r="V90" s="181"/>
      <c r="W90" s="181"/>
      <c r="X90" s="181"/>
      <c r="Y90" s="181"/>
      <c r="Z90" s="181"/>
      <c r="AA90" s="181"/>
      <c r="AB90" s="181"/>
      <c r="AC90" s="181"/>
      <c r="AD90" s="181"/>
      <c r="AE90" s="181"/>
      <c r="AF90" s="180"/>
      <c r="AG90" s="64">
        <f t="shared" si="5"/>
        <v>1</v>
      </c>
    </row>
    <row r="91" spans="1:35" ht="18.75" x14ac:dyDescent="0.25">
      <c r="A91" s="314" t="s">
        <v>14</v>
      </c>
      <c r="B91" s="252">
        <v>2</v>
      </c>
      <c r="C91" s="181"/>
      <c r="D91" s="181">
        <v>1</v>
      </c>
      <c r="E91" s="181">
        <v>2</v>
      </c>
      <c r="F91" s="181">
        <v>3</v>
      </c>
      <c r="G91" s="181">
        <v>2</v>
      </c>
      <c r="H91" s="181">
        <v>1</v>
      </c>
      <c r="I91" s="181">
        <v>2</v>
      </c>
      <c r="J91" s="181">
        <v>1</v>
      </c>
      <c r="K91" s="181">
        <v>4</v>
      </c>
      <c r="L91" s="181"/>
      <c r="M91" s="181">
        <v>5</v>
      </c>
      <c r="N91" s="181"/>
      <c r="O91" s="181">
        <v>4</v>
      </c>
      <c r="P91" s="181">
        <v>1</v>
      </c>
      <c r="Q91" s="181"/>
      <c r="R91" s="181"/>
      <c r="S91" s="181">
        <v>6</v>
      </c>
      <c r="T91" s="181">
        <v>4</v>
      </c>
      <c r="U91" s="181">
        <v>4</v>
      </c>
      <c r="V91" s="181">
        <v>3</v>
      </c>
      <c r="W91" s="181"/>
      <c r="X91" s="181">
        <v>2</v>
      </c>
      <c r="Y91" s="181">
        <v>1</v>
      </c>
      <c r="Z91" s="181">
        <v>18</v>
      </c>
      <c r="AA91" s="181"/>
      <c r="AB91" s="181">
        <v>1</v>
      </c>
      <c r="AC91" s="181">
        <v>6</v>
      </c>
      <c r="AD91" s="181">
        <v>3</v>
      </c>
      <c r="AE91" s="181">
        <v>4</v>
      </c>
      <c r="AF91" s="180"/>
      <c r="AG91" s="64">
        <f t="shared" si="5"/>
        <v>80</v>
      </c>
    </row>
    <row r="92" spans="1:35" ht="19.5" thickBot="1" x14ac:dyDescent="0.3">
      <c r="A92" s="314" t="s">
        <v>13</v>
      </c>
      <c r="B92" s="252">
        <v>1</v>
      </c>
      <c r="C92" s="181"/>
      <c r="D92" s="181"/>
      <c r="E92" s="181">
        <v>5</v>
      </c>
      <c r="F92" s="181"/>
      <c r="G92" s="181">
        <v>2</v>
      </c>
      <c r="H92" s="181">
        <v>4</v>
      </c>
      <c r="I92" s="181">
        <v>2</v>
      </c>
      <c r="J92" s="181"/>
      <c r="K92" s="181">
        <v>1</v>
      </c>
      <c r="L92" s="181">
        <v>3</v>
      </c>
      <c r="M92" s="181">
        <v>3</v>
      </c>
      <c r="N92" s="181">
        <v>3</v>
      </c>
      <c r="O92" s="181">
        <v>3</v>
      </c>
      <c r="P92" s="181">
        <v>1</v>
      </c>
      <c r="Q92" s="181"/>
      <c r="R92" s="181"/>
      <c r="S92" s="181">
        <v>4</v>
      </c>
      <c r="T92" s="181">
        <v>2</v>
      </c>
      <c r="U92" s="181">
        <v>4</v>
      </c>
      <c r="V92" s="181">
        <v>7</v>
      </c>
      <c r="W92" s="181"/>
      <c r="X92" s="181">
        <v>1</v>
      </c>
      <c r="Y92" s="181"/>
      <c r="Z92" s="181">
        <v>7</v>
      </c>
      <c r="AA92" s="181"/>
      <c r="AB92" s="181"/>
      <c r="AC92" s="181">
        <v>1</v>
      </c>
      <c r="AD92" s="181">
        <v>4</v>
      </c>
      <c r="AE92" s="181"/>
      <c r="AF92" s="180"/>
      <c r="AG92" s="64">
        <f t="shared" si="5"/>
        <v>58</v>
      </c>
    </row>
    <row r="93" spans="1:35" ht="18.75" x14ac:dyDescent="0.25">
      <c r="A93" s="315" t="s">
        <v>112</v>
      </c>
      <c r="B93" s="261">
        <f t="shared" ref="B93:AF93" si="13">+B94+B100</f>
        <v>113</v>
      </c>
      <c r="C93" s="166">
        <f t="shared" si="13"/>
        <v>112</v>
      </c>
      <c r="D93" s="166">
        <f t="shared" si="13"/>
        <v>154</v>
      </c>
      <c r="E93" s="166">
        <f t="shared" si="13"/>
        <v>148</v>
      </c>
      <c r="F93" s="166">
        <f t="shared" si="13"/>
        <v>153</v>
      </c>
      <c r="G93" s="166">
        <f t="shared" si="13"/>
        <v>143</v>
      </c>
      <c r="H93" s="166">
        <f t="shared" si="13"/>
        <v>128</v>
      </c>
      <c r="I93" s="166">
        <f t="shared" si="13"/>
        <v>126</v>
      </c>
      <c r="J93" s="166">
        <f t="shared" si="13"/>
        <v>131</v>
      </c>
      <c r="K93" s="166">
        <f t="shared" si="13"/>
        <v>146</v>
      </c>
      <c r="L93" s="166">
        <f t="shared" si="13"/>
        <v>173</v>
      </c>
      <c r="M93" s="166">
        <f t="shared" si="13"/>
        <v>157</v>
      </c>
      <c r="N93" s="166">
        <f t="shared" si="13"/>
        <v>132</v>
      </c>
      <c r="O93" s="166">
        <f t="shared" si="13"/>
        <v>137</v>
      </c>
      <c r="P93" s="166">
        <f t="shared" si="13"/>
        <v>119</v>
      </c>
      <c r="Q93" s="166">
        <f t="shared" si="13"/>
        <v>179</v>
      </c>
      <c r="R93" s="166">
        <f t="shared" si="13"/>
        <v>180</v>
      </c>
      <c r="S93" s="166">
        <f t="shared" si="13"/>
        <v>151</v>
      </c>
      <c r="T93" s="166">
        <f t="shared" si="13"/>
        <v>143</v>
      </c>
      <c r="U93" s="166">
        <f t="shared" si="13"/>
        <v>157</v>
      </c>
      <c r="V93" s="166">
        <f t="shared" si="13"/>
        <v>144</v>
      </c>
      <c r="W93" s="166">
        <f t="shared" si="13"/>
        <v>143</v>
      </c>
      <c r="X93" s="166">
        <f t="shared" si="13"/>
        <v>167</v>
      </c>
      <c r="Y93" s="166">
        <f t="shared" si="13"/>
        <v>172</v>
      </c>
      <c r="Z93" s="166">
        <f t="shared" si="13"/>
        <v>147</v>
      </c>
      <c r="AA93" s="166">
        <f t="shared" si="13"/>
        <v>138</v>
      </c>
      <c r="AB93" s="166">
        <f t="shared" si="13"/>
        <v>152</v>
      </c>
      <c r="AC93" s="166">
        <f t="shared" si="13"/>
        <v>152</v>
      </c>
      <c r="AD93" s="166">
        <f t="shared" si="13"/>
        <v>147</v>
      </c>
      <c r="AE93" s="166">
        <f t="shared" si="13"/>
        <v>152</v>
      </c>
      <c r="AF93" s="165">
        <f t="shared" si="13"/>
        <v>153</v>
      </c>
      <c r="AG93" s="164">
        <f t="shared" si="5"/>
        <v>4549</v>
      </c>
      <c r="AH93" s="179" t="str">
        <f>IF(AG93&lt;&gt;AG28,"*","")</f>
        <v/>
      </c>
    </row>
    <row r="94" spans="1:35" ht="18.75" x14ac:dyDescent="0.25">
      <c r="A94" s="66" t="s">
        <v>111</v>
      </c>
      <c r="B94" s="262">
        <f t="shared" ref="B94:AF94" si="14">SUM(B95:B99)</f>
        <v>14</v>
      </c>
      <c r="C94" s="68">
        <f t="shared" si="14"/>
        <v>12</v>
      </c>
      <c r="D94" s="68">
        <f t="shared" si="14"/>
        <v>26</v>
      </c>
      <c r="E94" s="68">
        <f t="shared" si="14"/>
        <v>19</v>
      </c>
      <c r="F94" s="68">
        <f t="shared" si="14"/>
        <v>22</v>
      </c>
      <c r="G94" s="68">
        <f t="shared" si="14"/>
        <v>14</v>
      </c>
      <c r="H94" s="68">
        <f t="shared" si="14"/>
        <v>22</v>
      </c>
      <c r="I94" s="68">
        <f t="shared" si="14"/>
        <v>13</v>
      </c>
      <c r="J94" s="68">
        <f t="shared" si="14"/>
        <v>18</v>
      </c>
      <c r="K94" s="68">
        <f t="shared" si="14"/>
        <v>17</v>
      </c>
      <c r="L94" s="68">
        <f t="shared" si="14"/>
        <v>18</v>
      </c>
      <c r="M94" s="68">
        <f t="shared" si="14"/>
        <v>25</v>
      </c>
      <c r="N94" s="68">
        <f t="shared" si="14"/>
        <v>16</v>
      </c>
      <c r="O94" s="68">
        <f t="shared" si="14"/>
        <v>16</v>
      </c>
      <c r="P94" s="68">
        <f t="shared" si="14"/>
        <v>15</v>
      </c>
      <c r="Q94" s="68">
        <f t="shared" si="14"/>
        <v>18</v>
      </c>
      <c r="R94" s="68">
        <f t="shared" si="14"/>
        <v>17</v>
      </c>
      <c r="S94" s="68">
        <f t="shared" si="14"/>
        <v>23</v>
      </c>
      <c r="T94" s="68">
        <f t="shared" si="14"/>
        <v>21</v>
      </c>
      <c r="U94" s="68">
        <f t="shared" si="14"/>
        <v>30</v>
      </c>
      <c r="V94" s="68">
        <f t="shared" si="14"/>
        <v>24</v>
      </c>
      <c r="W94" s="68">
        <f t="shared" si="14"/>
        <v>14</v>
      </c>
      <c r="X94" s="68">
        <f t="shared" si="14"/>
        <v>22</v>
      </c>
      <c r="Y94" s="68">
        <f t="shared" si="14"/>
        <v>23</v>
      </c>
      <c r="Z94" s="68">
        <f t="shared" si="14"/>
        <v>18</v>
      </c>
      <c r="AA94" s="68">
        <f t="shared" si="14"/>
        <v>27</v>
      </c>
      <c r="AB94" s="68">
        <f t="shared" si="14"/>
        <v>25</v>
      </c>
      <c r="AC94" s="68">
        <f t="shared" si="14"/>
        <v>24</v>
      </c>
      <c r="AD94" s="68">
        <f t="shared" si="14"/>
        <v>24</v>
      </c>
      <c r="AE94" s="68">
        <f t="shared" si="14"/>
        <v>16</v>
      </c>
      <c r="AF94" s="67">
        <f t="shared" si="14"/>
        <v>24</v>
      </c>
      <c r="AG94" s="64">
        <f t="shared" si="5"/>
        <v>617</v>
      </c>
    </row>
    <row r="95" spans="1:35" ht="18.75" x14ac:dyDescent="0.25">
      <c r="A95" s="316" t="s">
        <v>110</v>
      </c>
      <c r="B95" s="249"/>
      <c r="C95" s="162"/>
      <c r="D95" s="162">
        <v>2</v>
      </c>
      <c r="E95" s="162"/>
      <c r="F95" s="162"/>
      <c r="G95" s="162"/>
      <c r="H95" s="162">
        <v>1</v>
      </c>
      <c r="I95" s="162"/>
      <c r="J95" s="162">
        <v>1</v>
      </c>
      <c r="K95" s="162">
        <v>2</v>
      </c>
      <c r="L95" s="162"/>
      <c r="M95" s="162"/>
      <c r="N95" s="162"/>
      <c r="O95" s="162"/>
      <c r="P95" s="162">
        <v>1</v>
      </c>
      <c r="Q95" s="162"/>
      <c r="R95" s="162">
        <v>1</v>
      </c>
      <c r="S95" s="162"/>
      <c r="T95" s="162">
        <v>2</v>
      </c>
      <c r="U95" s="162">
        <v>2</v>
      </c>
      <c r="V95" s="162">
        <v>2</v>
      </c>
      <c r="W95" s="162">
        <v>3</v>
      </c>
      <c r="X95" s="162"/>
      <c r="Y95" s="162"/>
      <c r="Z95" s="162">
        <v>1</v>
      </c>
      <c r="AA95" s="162">
        <v>2</v>
      </c>
      <c r="AB95" s="162">
        <v>2</v>
      </c>
      <c r="AC95" s="162"/>
      <c r="AD95" s="162"/>
      <c r="AE95" s="162">
        <v>1</v>
      </c>
      <c r="AF95" s="161">
        <v>1</v>
      </c>
      <c r="AG95" s="64">
        <f t="shared" si="5"/>
        <v>24</v>
      </c>
    </row>
    <row r="96" spans="1:35" ht="18.75" x14ac:dyDescent="0.25">
      <c r="A96" s="317" t="s">
        <v>109</v>
      </c>
      <c r="B96" s="249">
        <v>5</v>
      </c>
      <c r="C96" s="162">
        <v>1</v>
      </c>
      <c r="D96" s="162"/>
      <c r="E96" s="162">
        <v>1</v>
      </c>
      <c r="F96" s="162">
        <v>4</v>
      </c>
      <c r="G96" s="162"/>
      <c r="H96" s="162">
        <v>6</v>
      </c>
      <c r="I96" s="162">
        <v>1</v>
      </c>
      <c r="J96" s="162">
        <v>1</v>
      </c>
      <c r="K96" s="162"/>
      <c r="L96" s="162">
        <v>6</v>
      </c>
      <c r="M96" s="162">
        <v>4</v>
      </c>
      <c r="N96" s="162">
        <v>2</v>
      </c>
      <c r="O96" s="162">
        <v>1</v>
      </c>
      <c r="P96" s="162">
        <v>5</v>
      </c>
      <c r="Q96" s="162">
        <v>4</v>
      </c>
      <c r="R96" s="162">
        <v>3</v>
      </c>
      <c r="S96" s="176">
        <v>3</v>
      </c>
      <c r="T96" s="162">
        <v>2</v>
      </c>
      <c r="U96" s="162">
        <v>3</v>
      </c>
      <c r="V96" s="162">
        <v>2</v>
      </c>
      <c r="W96" s="162">
        <v>1</v>
      </c>
      <c r="X96" s="162"/>
      <c r="Y96" s="162">
        <v>2</v>
      </c>
      <c r="Z96" s="162">
        <v>1</v>
      </c>
      <c r="AA96" s="162">
        <v>1</v>
      </c>
      <c r="AB96" s="162">
        <v>5</v>
      </c>
      <c r="AC96" s="162">
        <v>4</v>
      </c>
      <c r="AD96" s="162">
        <v>4</v>
      </c>
      <c r="AE96" s="162">
        <v>3</v>
      </c>
      <c r="AF96" s="161">
        <v>1</v>
      </c>
      <c r="AG96" s="64">
        <f t="shared" si="5"/>
        <v>76</v>
      </c>
    </row>
    <row r="97" spans="1:33" ht="18.75" x14ac:dyDescent="0.25">
      <c r="A97" s="318" t="s">
        <v>108</v>
      </c>
      <c r="B97" s="249">
        <v>2</v>
      </c>
      <c r="C97" s="162">
        <v>5</v>
      </c>
      <c r="D97" s="162">
        <v>4</v>
      </c>
      <c r="E97" s="162">
        <v>4</v>
      </c>
      <c r="F97" s="162">
        <v>4</v>
      </c>
      <c r="G97" s="162">
        <v>4</v>
      </c>
      <c r="H97" s="162">
        <v>6</v>
      </c>
      <c r="I97" s="162">
        <v>1</v>
      </c>
      <c r="J97" s="162">
        <v>6</v>
      </c>
      <c r="K97" s="162">
        <v>5</v>
      </c>
      <c r="L97" s="162">
        <v>2</v>
      </c>
      <c r="M97" s="162">
        <v>9</v>
      </c>
      <c r="N97" s="162">
        <v>4</v>
      </c>
      <c r="O97" s="162"/>
      <c r="P97" s="162"/>
      <c r="Q97" s="162">
        <v>5</v>
      </c>
      <c r="R97" s="162">
        <v>4</v>
      </c>
      <c r="S97" s="162">
        <v>5</v>
      </c>
      <c r="T97" s="162">
        <v>3</v>
      </c>
      <c r="U97" s="162">
        <v>8</v>
      </c>
      <c r="V97" s="162">
        <v>9</v>
      </c>
      <c r="W97" s="162">
        <v>4</v>
      </c>
      <c r="X97" s="162">
        <v>11</v>
      </c>
      <c r="Y97" s="162">
        <v>8</v>
      </c>
      <c r="Z97" s="162">
        <v>7</v>
      </c>
      <c r="AA97" s="162">
        <v>10</v>
      </c>
      <c r="AB97" s="162">
        <v>11</v>
      </c>
      <c r="AC97" s="162">
        <v>8</v>
      </c>
      <c r="AD97" s="162">
        <v>11</v>
      </c>
      <c r="AE97" s="162">
        <v>3</v>
      </c>
      <c r="AF97" s="161">
        <v>12</v>
      </c>
      <c r="AG97" s="64">
        <f t="shared" si="5"/>
        <v>175</v>
      </c>
    </row>
    <row r="98" spans="1:33" ht="18.75" x14ac:dyDescent="0.25">
      <c r="A98" s="319" t="s">
        <v>107</v>
      </c>
      <c r="B98" s="249">
        <v>1</v>
      </c>
      <c r="C98" s="162">
        <v>4</v>
      </c>
      <c r="D98" s="162">
        <v>8</v>
      </c>
      <c r="E98" s="162">
        <v>8</v>
      </c>
      <c r="F98" s="162">
        <v>5</v>
      </c>
      <c r="G98" s="162">
        <v>6</v>
      </c>
      <c r="H98" s="162">
        <v>5</v>
      </c>
      <c r="I98" s="162">
        <v>7</v>
      </c>
      <c r="J98" s="162">
        <v>4</v>
      </c>
      <c r="K98" s="162">
        <v>8</v>
      </c>
      <c r="L98" s="162">
        <v>3</v>
      </c>
      <c r="M98" s="162">
        <v>7</v>
      </c>
      <c r="N98" s="162">
        <v>6</v>
      </c>
      <c r="O98" s="162">
        <v>12</v>
      </c>
      <c r="P98" s="162">
        <v>4</v>
      </c>
      <c r="Q98" s="162">
        <v>5</v>
      </c>
      <c r="R98" s="162">
        <v>3</v>
      </c>
      <c r="S98" s="162">
        <v>9</v>
      </c>
      <c r="T98" s="162">
        <v>10</v>
      </c>
      <c r="U98" s="162">
        <v>9</v>
      </c>
      <c r="V98" s="162">
        <v>5</v>
      </c>
      <c r="W98" s="162">
        <v>3</v>
      </c>
      <c r="X98" s="162">
        <v>7</v>
      </c>
      <c r="Y98" s="162">
        <v>4</v>
      </c>
      <c r="Z98" s="162">
        <v>3</v>
      </c>
      <c r="AA98" s="162">
        <v>9</v>
      </c>
      <c r="AB98" s="162">
        <v>5</v>
      </c>
      <c r="AC98" s="162">
        <v>10</v>
      </c>
      <c r="AD98" s="162">
        <v>3</v>
      </c>
      <c r="AE98" s="162">
        <v>5</v>
      </c>
      <c r="AF98" s="161">
        <v>8</v>
      </c>
      <c r="AG98" s="64">
        <f t="shared" si="5"/>
        <v>186</v>
      </c>
    </row>
    <row r="99" spans="1:33" ht="18.75" x14ac:dyDescent="0.25">
      <c r="A99" s="320" t="s">
        <v>106</v>
      </c>
      <c r="B99" s="249">
        <v>6</v>
      </c>
      <c r="C99" s="162">
        <v>2</v>
      </c>
      <c r="D99" s="162">
        <v>12</v>
      </c>
      <c r="E99" s="162">
        <v>6</v>
      </c>
      <c r="F99" s="162">
        <v>9</v>
      </c>
      <c r="G99" s="162">
        <v>4</v>
      </c>
      <c r="H99" s="162">
        <v>4</v>
      </c>
      <c r="I99" s="162">
        <v>4</v>
      </c>
      <c r="J99" s="162">
        <v>6</v>
      </c>
      <c r="K99" s="162">
        <v>2</v>
      </c>
      <c r="L99" s="162">
        <v>7</v>
      </c>
      <c r="M99" s="162">
        <v>5</v>
      </c>
      <c r="N99" s="162">
        <v>4</v>
      </c>
      <c r="O99" s="162">
        <v>3</v>
      </c>
      <c r="P99" s="162">
        <v>5</v>
      </c>
      <c r="Q99" s="162">
        <v>4</v>
      </c>
      <c r="R99" s="162">
        <v>6</v>
      </c>
      <c r="S99" s="162">
        <v>6</v>
      </c>
      <c r="T99" s="162">
        <v>4</v>
      </c>
      <c r="U99" s="162">
        <v>8</v>
      </c>
      <c r="V99" s="162">
        <v>6</v>
      </c>
      <c r="W99" s="162">
        <v>3</v>
      </c>
      <c r="X99" s="162">
        <v>4</v>
      </c>
      <c r="Y99" s="162">
        <v>9</v>
      </c>
      <c r="Z99" s="162">
        <v>6</v>
      </c>
      <c r="AA99" s="162">
        <v>5</v>
      </c>
      <c r="AB99" s="162">
        <v>2</v>
      </c>
      <c r="AC99" s="162">
        <v>2</v>
      </c>
      <c r="AD99" s="162">
        <v>6</v>
      </c>
      <c r="AE99" s="162">
        <v>4</v>
      </c>
      <c r="AF99" s="161">
        <v>2</v>
      </c>
      <c r="AG99" s="64">
        <f t="shared" ref="AG99:AG130" si="15">SUM(B99:AF99)</f>
        <v>156</v>
      </c>
    </row>
    <row r="100" spans="1:33" ht="18.75" x14ac:dyDescent="0.25">
      <c r="A100" s="66" t="s">
        <v>105</v>
      </c>
      <c r="B100" s="262">
        <f t="shared" ref="B100:AF100" si="16">SUM(B101:B115)</f>
        <v>99</v>
      </c>
      <c r="C100" s="68">
        <f t="shared" si="16"/>
        <v>100</v>
      </c>
      <c r="D100" s="68">
        <f t="shared" si="16"/>
        <v>128</v>
      </c>
      <c r="E100" s="68">
        <f t="shared" si="16"/>
        <v>129</v>
      </c>
      <c r="F100" s="68">
        <f t="shared" si="16"/>
        <v>131</v>
      </c>
      <c r="G100" s="68">
        <f t="shared" si="16"/>
        <v>129</v>
      </c>
      <c r="H100" s="68">
        <f t="shared" si="16"/>
        <v>106</v>
      </c>
      <c r="I100" s="68">
        <f t="shared" si="16"/>
        <v>113</v>
      </c>
      <c r="J100" s="68">
        <f t="shared" si="16"/>
        <v>113</v>
      </c>
      <c r="K100" s="68">
        <f t="shared" si="16"/>
        <v>129</v>
      </c>
      <c r="L100" s="68">
        <f t="shared" si="16"/>
        <v>155</v>
      </c>
      <c r="M100" s="68">
        <f t="shared" si="16"/>
        <v>132</v>
      </c>
      <c r="N100" s="68">
        <f t="shared" si="16"/>
        <v>116</v>
      </c>
      <c r="O100" s="68">
        <f t="shared" si="16"/>
        <v>121</v>
      </c>
      <c r="P100" s="68">
        <f t="shared" si="16"/>
        <v>104</v>
      </c>
      <c r="Q100" s="68">
        <f t="shared" si="16"/>
        <v>161</v>
      </c>
      <c r="R100" s="68">
        <f t="shared" si="16"/>
        <v>163</v>
      </c>
      <c r="S100" s="68">
        <f t="shared" si="16"/>
        <v>128</v>
      </c>
      <c r="T100" s="68">
        <f t="shared" si="16"/>
        <v>122</v>
      </c>
      <c r="U100" s="68">
        <f t="shared" si="16"/>
        <v>127</v>
      </c>
      <c r="V100" s="68">
        <f t="shared" si="16"/>
        <v>120</v>
      </c>
      <c r="W100" s="68">
        <f t="shared" si="16"/>
        <v>129</v>
      </c>
      <c r="X100" s="68">
        <f t="shared" si="16"/>
        <v>145</v>
      </c>
      <c r="Y100" s="68">
        <f t="shared" si="16"/>
        <v>149</v>
      </c>
      <c r="Z100" s="68">
        <f t="shared" si="16"/>
        <v>129</v>
      </c>
      <c r="AA100" s="68">
        <f t="shared" si="16"/>
        <v>111</v>
      </c>
      <c r="AB100" s="68">
        <f t="shared" si="16"/>
        <v>127</v>
      </c>
      <c r="AC100" s="68">
        <f t="shared" si="16"/>
        <v>128</v>
      </c>
      <c r="AD100" s="68">
        <f t="shared" si="16"/>
        <v>123</v>
      </c>
      <c r="AE100" s="68">
        <f t="shared" si="16"/>
        <v>136</v>
      </c>
      <c r="AF100" s="67">
        <f t="shared" si="16"/>
        <v>129</v>
      </c>
      <c r="AG100" s="64">
        <f t="shared" si="15"/>
        <v>3932</v>
      </c>
    </row>
    <row r="101" spans="1:33" ht="18.75" x14ac:dyDescent="0.25">
      <c r="A101" s="320" t="s">
        <v>104</v>
      </c>
      <c r="B101" s="249">
        <v>6</v>
      </c>
      <c r="C101" s="162">
        <v>7</v>
      </c>
      <c r="D101" s="162">
        <v>10</v>
      </c>
      <c r="E101" s="162">
        <v>7</v>
      </c>
      <c r="F101" s="162">
        <v>7</v>
      </c>
      <c r="G101" s="162">
        <v>4</v>
      </c>
      <c r="H101" s="162">
        <v>5</v>
      </c>
      <c r="I101" s="162">
        <v>4</v>
      </c>
      <c r="J101" s="162">
        <v>5</v>
      </c>
      <c r="K101" s="162">
        <v>6</v>
      </c>
      <c r="L101" s="162">
        <v>4</v>
      </c>
      <c r="M101" s="162">
        <v>9</v>
      </c>
      <c r="N101" s="162">
        <v>6</v>
      </c>
      <c r="O101" s="162">
        <v>5</v>
      </c>
      <c r="P101" s="162">
        <v>5</v>
      </c>
      <c r="Q101" s="162">
        <v>6</v>
      </c>
      <c r="R101" s="162">
        <v>1</v>
      </c>
      <c r="S101" s="162">
        <v>11</v>
      </c>
      <c r="T101" s="162">
        <v>5</v>
      </c>
      <c r="U101" s="162">
        <v>7</v>
      </c>
      <c r="V101" s="162">
        <v>8</v>
      </c>
      <c r="W101" s="162">
        <v>7</v>
      </c>
      <c r="X101" s="162">
        <v>7</v>
      </c>
      <c r="Y101" s="162">
        <v>8</v>
      </c>
      <c r="Z101" s="162">
        <v>9</v>
      </c>
      <c r="AA101" s="162">
        <v>6</v>
      </c>
      <c r="AB101" s="162">
        <v>15</v>
      </c>
      <c r="AC101" s="162">
        <v>9</v>
      </c>
      <c r="AD101" s="162">
        <v>8</v>
      </c>
      <c r="AE101" s="162">
        <v>12</v>
      </c>
      <c r="AF101" s="161">
        <v>9</v>
      </c>
      <c r="AG101" s="64">
        <f t="shared" si="15"/>
        <v>218</v>
      </c>
    </row>
    <row r="102" spans="1:33" ht="18.75" x14ac:dyDescent="0.25">
      <c r="A102" s="320" t="s">
        <v>103</v>
      </c>
      <c r="B102" s="249">
        <v>13</v>
      </c>
      <c r="C102" s="162">
        <v>9</v>
      </c>
      <c r="D102" s="162">
        <v>10</v>
      </c>
      <c r="E102" s="162">
        <v>14</v>
      </c>
      <c r="F102" s="162">
        <v>12</v>
      </c>
      <c r="G102" s="162">
        <v>22</v>
      </c>
      <c r="H102" s="162">
        <v>12</v>
      </c>
      <c r="I102" s="162">
        <v>13</v>
      </c>
      <c r="J102" s="162">
        <v>11</v>
      </c>
      <c r="K102" s="162">
        <v>13</v>
      </c>
      <c r="L102" s="162">
        <v>17</v>
      </c>
      <c r="M102" s="162">
        <v>14</v>
      </c>
      <c r="N102" s="162">
        <v>9</v>
      </c>
      <c r="O102" s="162">
        <v>12</v>
      </c>
      <c r="P102" s="162">
        <v>15</v>
      </c>
      <c r="Q102" s="162">
        <v>27</v>
      </c>
      <c r="R102" s="162">
        <v>18</v>
      </c>
      <c r="S102" s="162">
        <v>16</v>
      </c>
      <c r="T102" s="162">
        <v>11</v>
      </c>
      <c r="U102" s="162">
        <v>13</v>
      </c>
      <c r="V102" s="162">
        <v>10</v>
      </c>
      <c r="W102" s="162">
        <v>15</v>
      </c>
      <c r="X102" s="162">
        <v>20</v>
      </c>
      <c r="Y102" s="162">
        <v>15</v>
      </c>
      <c r="Z102" s="162">
        <v>25</v>
      </c>
      <c r="AA102" s="162">
        <v>18</v>
      </c>
      <c r="AB102" s="162">
        <v>21</v>
      </c>
      <c r="AC102" s="162">
        <v>18</v>
      </c>
      <c r="AD102" s="162">
        <v>14</v>
      </c>
      <c r="AE102" s="162">
        <v>16</v>
      </c>
      <c r="AF102" s="161">
        <v>17</v>
      </c>
      <c r="AG102" s="64">
        <f t="shared" si="15"/>
        <v>470</v>
      </c>
    </row>
    <row r="103" spans="1:33" ht="18.75" x14ac:dyDescent="0.25">
      <c r="A103" s="321" t="s">
        <v>102</v>
      </c>
      <c r="B103" s="249">
        <v>12</v>
      </c>
      <c r="C103" s="162">
        <v>9</v>
      </c>
      <c r="D103" s="162">
        <v>15</v>
      </c>
      <c r="E103" s="162">
        <v>12</v>
      </c>
      <c r="F103" s="162">
        <v>12</v>
      </c>
      <c r="G103" s="162">
        <v>11</v>
      </c>
      <c r="H103" s="162">
        <v>14</v>
      </c>
      <c r="I103" s="162">
        <v>11</v>
      </c>
      <c r="J103" s="162">
        <v>7</v>
      </c>
      <c r="K103" s="162">
        <v>16</v>
      </c>
      <c r="L103" s="162">
        <v>9</v>
      </c>
      <c r="M103" s="162">
        <v>17</v>
      </c>
      <c r="N103" s="162">
        <v>14</v>
      </c>
      <c r="O103" s="162">
        <v>13</v>
      </c>
      <c r="P103" s="162">
        <v>5</v>
      </c>
      <c r="Q103" s="162">
        <v>16</v>
      </c>
      <c r="R103" s="162">
        <v>14</v>
      </c>
      <c r="S103" s="162">
        <v>14</v>
      </c>
      <c r="T103" s="162">
        <v>6</v>
      </c>
      <c r="U103" s="162">
        <v>18</v>
      </c>
      <c r="V103" s="162">
        <v>10</v>
      </c>
      <c r="W103" s="162">
        <v>9</v>
      </c>
      <c r="X103" s="162">
        <v>12</v>
      </c>
      <c r="Y103" s="162">
        <v>14</v>
      </c>
      <c r="Z103" s="162">
        <v>9</v>
      </c>
      <c r="AA103" s="162">
        <v>11</v>
      </c>
      <c r="AB103" s="162">
        <v>12</v>
      </c>
      <c r="AC103" s="162">
        <v>12</v>
      </c>
      <c r="AD103" s="162">
        <v>14</v>
      </c>
      <c r="AE103" s="162">
        <v>16</v>
      </c>
      <c r="AF103" s="161">
        <v>6</v>
      </c>
      <c r="AG103" s="64">
        <f t="shared" si="15"/>
        <v>370</v>
      </c>
    </row>
    <row r="104" spans="1:33" ht="18.75" x14ac:dyDescent="0.25">
      <c r="A104" s="321" t="s">
        <v>101</v>
      </c>
      <c r="B104" s="249">
        <v>9</v>
      </c>
      <c r="C104" s="162">
        <v>10</v>
      </c>
      <c r="D104" s="162">
        <v>11</v>
      </c>
      <c r="E104" s="162">
        <v>7</v>
      </c>
      <c r="F104" s="162">
        <v>10</v>
      </c>
      <c r="G104" s="162">
        <v>10</v>
      </c>
      <c r="H104" s="162">
        <v>2</v>
      </c>
      <c r="I104" s="162">
        <v>11</v>
      </c>
      <c r="J104" s="162">
        <v>13</v>
      </c>
      <c r="K104" s="162">
        <v>15</v>
      </c>
      <c r="L104" s="162">
        <v>12</v>
      </c>
      <c r="M104" s="162">
        <v>20</v>
      </c>
      <c r="N104" s="162">
        <v>10</v>
      </c>
      <c r="O104" s="162">
        <v>17</v>
      </c>
      <c r="P104" s="162">
        <v>4</v>
      </c>
      <c r="Q104" s="162">
        <v>8</v>
      </c>
      <c r="R104" s="162">
        <v>16</v>
      </c>
      <c r="S104" s="162">
        <v>13</v>
      </c>
      <c r="T104" s="162">
        <v>12</v>
      </c>
      <c r="U104" s="162">
        <v>12</v>
      </c>
      <c r="V104" s="162">
        <v>14</v>
      </c>
      <c r="W104" s="162">
        <v>7</v>
      </c>
      <c r="X104" s="162">
        <v>10</v>
      </c>
      <c r="Y104" s="162">
        <v>14</v>
      </c>
      <c r="Z104" s="162">
        <v>12</v>
      </c>
      <c r="AA104" s="162">
        <v>8</v>
      </c>
      <c r="AB104" s="162">
        <v>10</v>
      </c>
      <c r="AC104" s="162">
        <v>13</v>
      </c>
      <c r="AD104" s="162">
        <v>11</v>
      </c>
      <c r="AE104" s="162">
        <v>18</v>
      </c>
      <c r="AF104" s="161">
        <v>9</v>
      </c>
      <c r="AG104" s="64">
        <f t="shared" si="15"/>
        <v>348</v>
      </c>
    </row>
    <row r="105" spans="1:33" ht="18.75" x14ac:dyDescent="0.25">
      <c r="A105" s="321" t="s">
        <v>100</v>
      </c>
      <c r="B105" s="249">
        <v>6</v>
      </c>
      <c r="C105" s="162">
        <v>4</v>
      </c>
      <c r="D105" s="162">
        <v>13</v>
      </c>
      <c r="E105" s="162">
        <v>16</v>
      </c>
      <c r="F105" s="162">
        <v>7</v>
      </c>
      <c r="G105" s="162">
        <v>12</v>
      </c>
      <c r="H105" s="162">
        <v>9</v>
      </c>
      <c r="I105" s="162">
        <v>7</v>
      </c>
      <c r="J105" s="162">
        <v>8</v>
      </c>
      <c r="K105" s="162">
        <v>8</v>
      </c>
      <c r="L105" s="162">
        <v>10</v>
      </c>
      <c r="M105" s="162">
        <v>9</v>
      </c>
      <c r="N105" s="162">
        <v>9</v>
      </c>
      <c r="O105" s="162">
        <v>10</v>
      </c>
      <c r="P105" s="162">
        <v>8</v>
      </c>
      <c r="Q105" s="162">
        <v>13</v>
      </c>
      <c r="R105" s="162">
        <v>11</v>
      </c>
      <c r="S105" s="162">
        <v>10</v>
      </c>
      <c r="T105" s="162">
        <v>12</v>
      </c>
      <c r="U105" s="162">
        <v>9</v>
      </c>
      <c r="V105" s="162">
        <v>6</v>
      </c>
      <c r="W105" s="162">
        <v>8</v>
      </c>
      <c r="X105" s="162">
        <v>10</v>
      </c>
      <c r="Y105" s="162">
        <v>19</v>
      </c>
      <c r="Z105" s="162">
        <v>15</v>
      </c>
      <c r="AA105" s="162">
        <v>12</v>
      </c>
      <c r="AB105" s="162">
        <v>9</v>
      </c>
      <c r="AC105" s="162">
        <v>11</v>
      </c>
      <c r="AD105" s="162">
        <v>10</v>
      </c>
      <c r="AE105" s="162">
        <v>10</v>
      </c>
      <c r="AF105" s="161">
        <v>10</v>
      </c>
      <c r="AG105" s="64">
        <f t="shared" si="15"/>
        <v>311</v>
      </c>
    </row>
    <row r="106" spans="1:33" ht="18.75" x14ac:dyDescent="0.25">
      <c r="A106" s="321" t="s">
        <v>99</v>
      </c>
      <c r="B106" s="249">
        <v>5</v>
      </c>
      <c r="C106" s="162">
        <v>8</v>
      </c>
      <c r="D106" s="162">
        <v>8</v>
      </c>
      <c r="E106" s="162">
        <v>12</v>
      </c>
      <c r="F106" s="162">
        <v>15</v>
      </c>
      <c r="G106" s="162">
        <v>12</v>
      </c>
      <c r="H106" s="162">
        <v>9</v>
      </c>
      <c r="I106" s="162">
        <v>3</v>
      </c>
      <c r="J106" s="162">
        <v>14</v>
      </c>
      <c r="K106" s="162">
        <v>7</v>
      </c>
      <c r="L106" s="162">
        <v>12</v>
      </c>
      <c r="M106" s="162">
        <v>5</v>
      </c>
      <c r="N106" s="162">
        <v>8</v>
      </c>
      <c r="O106" s="162">
        <v>5</v>
      </c>
      <c r="P106" s="162">
        <v>10</v>
      </c>
      <c r="Q106" s="162">
        <v>13</v>
      </c>
      <c r="R106" s="162">
        <v>17</v>
      </c>
      <c r="S106" s="162">
        <v>8</v>
      </c>
      <c r="T106" s="162">
        <v>5</v>
      </c>
      <c r="U106" s="162">
        <v>8</v>
      </c>
      <c r="V106" s="162">
        <v>6</v>
      </c>
      <c r="W106" s="162">
        <v>10</v>
      </c>
      <c r="X106" s="162">
        <v>11</v>
      </c>
      <c r="Y106" s="162">
        <v>10</v>
      </c>
      <c r="Z106" s="162">
        <v>8</v>
      </c>
      <c r="AA106" s="162">
        <v>9</v>
      </c>
      <c r="AB106" s="162">
        <v>6</v>
      </c>
      <c r="AC106" s="162">
        <v>11</v>
      </c>
      <c r="AD106" s="162">
        <v>7</v>
      </c>
      <c r="AE106" s="162">
        <v>5</v>
      </c>
      <c r="AF106" s="161">
        <v>6</v>
      </c>
      <c r="AG106" s="64">
        <f t="shared" si="15"/>
        <v>273</v>
      </c>
    </row>
    <row r="107" spans="1:33" ht="18.75" x14ac:dyDescent="0.25">
      <c r="A107" s="321" t="s">
        <v>98</v>
      </c>
      <c r="B107" s="249">
        <v>7</v>
      </c>
      <c r="C107" s="162">
        <v>8</v>
      </c>
      <c r="D107" s="162">
        <v>8</v>
      </c>
      <c r="E107" s="162">
        <v>15</v>
      </c>
      <c r="F107" s="162">
        <v>9</v>
      </c>
      <c r="G107" s="162">
        <v>5</v>
      </c>
      <c r="H107" s="162">
        <v>8</v>
      </c>
      <c r="I107" s="162">
        <v>13</v>
      </c>
      <c r="J107" s="162">
        <v>3</v>
      </c>
      <c r="K107" s="162">
        <v>10</v>
      </c>
      <c r="L107" s="162">
        <v>15</v>
      </c>
      <c r="M107" s="162">
        <v>12</v>
      </c>
      <c r="N107" s="162">
        <v>11</v>
      </c>
      <c r="O107" s="162">
        <v>8</v>
      </c>
      <c r="P107" s="162">
        <v>12</v>
      </c>
      <c r="Q107" s="162">
        <v>17</v>
      </c>
      <c r="R107" s="162">
        <v>14</v>
      </c>
      <c r="S107" s="162">
        <v>10</v>
      </c>
      <c r="T107" s="162">
        <v>11</v>
      </c>
      <c r="U107" s="162">
        <v>13</v>
      </c>
      <c r="V107" s="162">
        <v>7</v>
      </c>
      <c r="W107" s="162">
        <v>11</v>
      </c>
      <c r="X107" s="162">
        <v>10</v>
      </c>
      <c r="Y107" s="162">
        <v>7</v>
      </c>
      <c r="Z107" s="162">
        <v>11</v>
      </c>
      <c r="AA107" s="162">
        <v>9</v>
      </c>
      <c r="AB107" s="162">
        <v>5</v>
      </c>
      <c r="AC107" s="162">
        <v>9</v>
      </c>
      <c r="AD107" s="162">
        <v>13</v>
      </c>
      <c r="AE107" s="162">
        <v>7</v>
      </c>
      <c r="AF107" s="161">
        <v>14</v>
      </c>
      <c r="AG107" s="64">
        <f t="shared" si="15"/>
        <v>312</v>
      </c>
    </row>
    <row r="108" spans="1:33" ht="18.75" x14ac:dyDescent="0.25">
      <c r="A108" s="321" t="s">
        <v>97</v>
      </c>
      <c r="B108" s="249">
        <v>9</v>
      </c>
      <c r="C108" s="162">
        <v>6</v>
      </c>
      <c r="D108" s="162">
        <v>14</v>
      </c>
      <c r="E108" s="162">
        <v>11</v>
      </c>
      <c r="F108" s="162">
        <v>13</v>
      </c>
      <c r="G108" s="162">
        <v>10</v>
      </c>
      <c r="H108" s="162">
        <v>17</v>
      </c>
      <c r="I108" s="162">
        <v>11</v>
      </c>
      <c r="J108" s="162">
        <v>14</v>
      </c>
      <c r="K108" s="162">
        <v>13</v>
      </c>
      <c r="L108" s="162">
        <v>16</v>
      </c>
      <c r="M108" s="162">
        <v>10</v>
      </c>
      <c r="N108" s="162">
        <v>10</v>
      </c>
      <c r="O108" s="162">
        <v>12</v>
      </c>
      <c r="P108" s="162">
        <v>9</v>
      </c>
      <c r="Q108" s="162">
        <v>16</v>
      </c>
      <c r="R108" s="162">
        <v>14</v>
      </c>
      <c r="S108" s="162">
        <v>11</v>
      </c>
      <c r="T108" s="162">
        <v>15</v>
      </c>
      <c r="U108" s="162">
        <v>5</v>
      </c>
      <c r="V108" s="162">
        <v>13</v>
      </c>
      <c r="W108" s="162">
        <v>10</v>
      </c>
      <c r="X108" s="162">
        <v>10</v>
      </c>
      <c r="Y108" s="162">
        <v>7</v>
      </c>
      <c r="Z108" s="162">
        <v>5</v>
      </c>
      <c r="AA108" s="162">
        <v>7</v>
      </c>
      <c r="AB108" s="162">
        <v>9</v>
      </c>
      <c r="AC108" s="162">
        <v>9</v>
      </c>
      <c r="AD108" s="162">
        <v>5</v>
      </c>
      <c r="AE108" s="162">
        <v>12</v>
      </c>
      <c r="AF108" s="161">
        <v>13</v>
      </c>
      <c r="AG108" s="64">
        <f t="shared" si="15"/>
        <v>336</v>
      </c>
    </row>
    <row r="109" spans="1:33" ht="18.75" x14ac:dyDescent="0.25">
      <c r="A109" s="321" t="s">
        <v>96</v>
      </c>
      <c r="B109" s="249">
        <v>7</v>
      </c>
      <c r="C109" s="162">
        <v>9</v>
      </c>
      <c r="D109" s="162">
        <v>7</v>
      </c>
      <c r="E109" s="162">
        <v>5</v>
      </c>
      <c r="F109" s="162">
        <v>12</v>
      </c>
      <c r="G109" s="162">
        <v>6</v>
      </c>
      <c r="H109" s="162">
        <v>7</v>
      </c>
      <c r="I109" s="162">
        <v>7</v>
      </c>
      <c r="J109" s="162">
        <v>5</v>
      </c>
      <c r="K109" s="162">
        <v>14</v>
      </c>
      <c r="L109" s="162">
        <v>13</v>
      </c>
      <c r="M109" s="162">
        <v>3</v>
      </c>
      <c r="N109" s="162">
        <v>9</v>
      </c>
      <c r="O109" s="162">
        <v>8</v>
      </c>
      <c r="P109" s="162">
        <v>3</v>
      </c>
      <c r="Q109" s="162">
        <v>9</v>
      </c>
      <c r="R109" s="162">
        <v>9</v>
      </c>
      <c r="S109" s="162">
        <v>6</v>
      </c>
      <c r="T109" s="162">
        <v>5</v>
      </c>
      <c r="U109" s="162">
        <v>10</v>
      </c>
      <c r="V109" s="162">
        <v>11</v>
      </c>
      <c r="W109" s="162">
        <v>11</v>
      </c>
      <c r="X109" s="162">
        <v>6</v>
      </c>
      <c r="Y109" s="162">
        <v>9</v>
      </c>
      <c r="Z109" s="162">
        <v>8</v>
      </c>
      <c r="AA109" s="162">
        <v>8</v>
      </c>
      <c r="AB109" s="162">
        <v>9</v>
      </c>
      <c r="AC109" s="162">
        <v>5</v>
      </c>
      <c r="AD109" s="162">
        <v>8</v>
      </c>
      <c r="AE109" s="162">
        <v>7</v>
      </c>
      <c r="AF109" s="161">
        <v>12</v>
      </c>
      <c r="AG109" s="64">
        <f t="shared" si="15"/>
        <v>248</v>
      </c>
    </row>
    <row r="110" spans="1:33" ht="18.75" x14ac:dyDescent="0.25">
      <c r="A110" s="321" t="s">
        <v>95</v>
      </c>
      <c r="B110" s="249">
        <v>6</v>
      </c>
      <c r="C110" s="162">
        <v>10</v>
      </c>
      <c r="D110" s="162">
        <v>3</v>
      </c>
      <c r="E110" s="162">
        <v>9</v>
      </c>
      <c r="F110" s="162">
        <v>8</v>
      </c>
      <c r="G110" s="162">
        <v>4</v>
      </c>
      <c r="H110" s="162">
        <v>5</v>
      </c>
      <c r="I110" s="162">
        <v>3</v>
      </c>
      <c r="J110" s="162">
        <v>8</v>
      </c>
      <c r="K110" s="162">
        <v>3</v>
      </c>
      <c r="L110" s="162">
        <v>19</v>
      </c>
      <c r="M110" s="162">
        <v>9</v>
      </c>
      <c r="N110" s="162">
        <v>9</v>
      </c>
      <c r="O110" s="162">
        <v>8</v>
      </c>
      <c r="P110" s="162">
        <v>5</v>
      </c>
      <c r="Q110" s="162">
        <v>9</v>
      </c>
      <c r="R110" s="162">
        <v>7</v>
      </c>
      <c r="S110" s="162">
        <v>5</v>
      </c>
      <c r="T110" s="162">
        <v>10</v>
      </c>
      <c r="U110" s="162">
        <v>6</v>
      </c>
      <c r="V110" s="162">
        <v>8</v>
      </c>
      <c r="W110" s="162">
        <v>11</v>
      </c>
      <c r="X110" s="162">
        <v>9</v>
      </c>
      <c r="Y110" s="162">
        <v>14</v>
      </c>
      <c r="Z110" s="162">
        <v>5</v>
      </c>
      <c r="AA110" s="162">
        <v>4</v>
      </c>
      <c r="AB110" s="162">
        <v>11</v>
      </c>
      <c r="AC110" s="162">
        <v>6</v>
      </c>
      <c r="AD110" s="162">
        <v>8</v>
      </c>
      <c r="AE110" s="162">
        <v>8</v>
      </c>
      <c r="AF110" s="161">
        <v>7</v>
      </c>
      <c r="AG110" s="64">
        <f t="shared" si="15"/>
        <v>237</v>
      </c>
    </row>
    <row r="111" spans="1:33" ht="18.75" x14ac:dyDescent="0.25">
      <c r="A111" s="321" t="s">
        <v>94</v>
      </c>
      <c r="B111" s="249">
        <v>6</v>
      </c>
      <c r="C111" s="162">
        <v>10</v>
      </c>
      <c r="D111" s="162">
        <v>10</v>
      </c>
      <c r="E111" s="162">
        <v>3</v>
      </c>
      <c r="F111" s="162">
        <v>9</v>
      </c>
      <c r="G111" s="162">
        <v>11</v>
      </c>
      <c r="H111" s="162">
        <v>6</v>
      </c>
      <c r="I111" s="162">
        <v>11</v>
      </c>
      <c r="J111" s="162">
        <v>5</v>
      </c>
      <c r="K111" s="162">
        <v>7</v>
      </c>
      <c r="L111" s="162">
        <v>6</v>
      </c>
      <c r="M111" s="162">
        <v>7</v>
      </c>
      <c r="N111" s="162">
        <v>6</v>
      </c>
      <c r="O111" s="162">
        <v>3</v>
      </c>
      <c r="P111" s="162">
        <v>8</v>
      </c>
      <c r="Q111" s="162">
        <v>9</v>
      </c>
      <c r="R111" s="162">
        <v>14</v>
      </c>
      <c r="S111" s="162">
        <v>7</v>
      </c>
      <c r="T111" s="162">
        <v>11</v>
      </c>
      <c r="U111" s="162">
        <v>7</v>
      </c>
      <c r="V111" s="162">
        <v>6</v>
      </c>
      <c r="W111" s="162">
        <v>9</v>
      </c>
      <c r="X111" s="162">
        <v>13</v>
      </c>
      <c r="Y111" s="162">
        <v>7</v>
      </c>
      <c r="Z111" s="162">
        <v>8</v>
      </c>
      <c r="AA111" s="162">
        <v>2</v>
      </c>
      <c r="AB111" s="162">
        <v>7</v>
      </c>
      <c r="AC111" s="162">
        <v>6</v>
      </c>
      <c r="AD111" s="162">
        <v>5</v>
      </c>
      <c r="AE111" s="162">
        <v>6</v>
      </c>
      <c r="AF111" s="161">
        <v>8</v>
      </c>
      <c r="AG111" s="64">
        <f t="shared" si="15"/>
        <v>233</v>
      </c>
    </row>
    <row r="112" spans="1:33" ht="18.75" x14ac:dyDescent="0.25">
      <c r="A112" s="321" t="s">
        <v>93</v>
      </c>
      <c r="B112" s="249">
        <v>5</v>
      </c>
      <c r="C112" s="162"/>
      <c r="D112" s="162">
        <v>6</v>
      </c>
      <c r="E112" s="162">
        <v>5</v>
      </c>
      <c r="F112" s="162">
        <v>7</v>
      </c>
      <c r="G112" s="162">
        <v>7</v>
      </c>
      <c r="H112" s="162">
        <v>5</v>
      </c>
      <c r="I112" s="162">
        <v>6</v>
      </c>
      <c r="J112" s="162">
        <v>9</v>
      </c>
      <c r="K112" s="162">
        <v>4</v>
      </c>
      <c r="L112" s="162">
        <v>4</v>
      </c>
      <c r="M112" s="162">
        <v>6</v>
      </c>
      <c r="N112" s="162">
        <v>5</v>
      </c>
      <c r="O112" s="162">
        <v>6</v>
      </c>
      <c r="P112" s="162">
        <v>10</v>
      </c>
      <c r="Q112" s="162">
        <v>4</v>
      </c>
      <c r="R112" s="162">
        <v>7</v>
      </c>
      <c r="S112" s="162">
        <v>6</v>
      </c>
      <c r="T112" s="162">
        <v>8</v>
      </c>
      <c r="U112" s="162">
        <v>8</v>
      </c>
      <c r="V112" s="162">
        <v>5</v>
      </c>
      <c r="W112" s="162">
        <v>7</v>
      </c>
      <c r="X112" s="162">
        <v>11</v>
      </c>
      <c r="Y112" s="162">
        <v>9</v>
      </c>
      <c r="Z112" s="162">
        <v>5</v>
      </c>
      <c r="AA112" s="162">
        <v>8</v>
      </c>
      <c r="AB112" s="162">
        <v>5</v>
      </c>
      <c r="AC112" s="162">
        <v>5</v>
      </c>
      <c r="AD112" s="162">
        <v>6</v>
      </c>
      <c r="AE112" s="162">
        <v>3</v>
      </c>
      <c r="AF112" s="161">
        <v>7</v>
      </c>
      <c r="AG112" s="64">
        <f t="shared" si="15"/>
        <v>189</v>
      </c>
    </row>
    <row r="113" spans="1:33" ht="18.75" x14ac:dyDescent="0.25">
      <c r="A113" s="321" t="s">
        <v>92</v>
      </c>
      <c r="B113" s="249">
        <v>1</v>
      </c>
      <c r="C113" s="162">
        <v>2</v>
      </c>
      <c r="D113" s="162">
        <v>7</v>
      </c>
      <c r="E113" s="162">
        <v>7</v>
      </c>
      <c r="F113" s="162">
        <v>3</v>
      </c>
      <c r="G113" s="162">
        <v>11</v>
      </c>
      <c r="H113" s="162">
        <v>5</v>
      </c>
      <c r="I113" s="162">
        <v>4</v>
      </c>
      <c r="J113" s="162">
        <v>4</v>
      </c>
      <c r="K113" s="162">
        <v>5</v>
      </c>
      <c r="L113" s="162">
        <v>11</v>
      </c>
      <c r="M113" s="162">
        <v>6</v>
      </c>
      <c r="N113" s="162">
        <v>3</v>
      </c>
      <c r="O113" s="162">
        <v>2</v>
      </c>
      <c r="P113" s="162">
        <v>5</v>
      </c>
      <c r="Q113" s="162">
        <v>4</v>
      </c>
      <c r="R113" s="162">
        <v>7</v>
      </c>
      <c r="S113" s="162">
        <v>1</v>
      </c>
      <c r="T113" s="162">
        <v>3</v>
      </c>
      <c r="U113" s="162">
        <v>2</v>
      </c>
      <c r="V113" s="162">
        <v>8</v>
      </c>
      <c r="W113" s="162">
        <v>5</v>
      </c>
      <c r="X113" s="162">
        <v>5</v>
      </c>
      <c r="Y113" s="162">
        <v>7</v>
      </c>
      <c r="Z113" s="162">
        <v>3</v>
      </c>
      <c r="AA113" s="162">
        <v>3</v>
      </c>
      <c r="AB113" s="162">
        <v>2</v>
      </c>
      <c r="AC113" s="162">
        <v>4</v>
      </c>
      <c r="AD113" s="162">
        <v>6</v>
      </c>
      <c r="AE113" s="162">
        <v>7</v>
      </c>
      <c r="AF113" s="161">
        <v>7</v>
      </c>
      <c r="AG113" s="64">
        <f t="shared" si="15"/>
        <v>150</v>
      </c>
    </row>
    <row r="114" spans="1:33" ht="18.75" x14ac:dyDescent="0.25">
      <c r="A114" s="321" t="s">
        <v>91</v>
      </c>
      <c r="B114" s="249">
        <v>7</v>
      </c>
      <c r="C114" s="162">
        <v>8</v>
      </c>
      <c r="D114" s="162">
        <v>6</v>
      </c>
      <c r="E114" s="162">
        <v>6</v>
      </c>
      <c r="F114" s="162">
        <v>7</v>
      </c>
      <c r="G114" s="162">
        <v>4</v>
      </c>
      <c r="H114" s="162">
        <v>2</v>
      </c>
      <c r="I114" s="162">
        <v>9</v>
      </c>
      <c r="J114" s="162">
        <v>7</v>
      </c>
      <c r="K114" s="162">
        <v>8</v>
      </c>
      <c r="L114" s="162">
        <v>7</v>
      </c>
      <c r="M114" s="162">
        <v>5</v>
      </c>
      <c r="N114" s="162">
        <v>7</v>
      </c>
      <c r="O114" s="162">
        <v>12</v>
      </c>
      <c r="P114" s="162">
        <v>5</v>
      </c>
      <c r="Q114" s="162">
        <v>10</v>
      </c>
      <c r="R114" s="162">
        <v>14</v>
      </c>
      <c r="S114" s="162">
        <v>10</v>
      </c>
      <c r="T114" s="162">
        <v>8</v>
      </c>
      <c r="U114" s="162">
        <v>9</v>
      </c>
      <c r="V114" s="162">
        <v>8</v>
      </c>
      <c r="W114" s="162">
        <v>9</v>
      </c>
      <c r="X114" s="162">
        <v>11</v>
      </c>
      <c r="Y114" s="162">
        <v>9</v>
      </c>
      <c r="Z114" s="162">
        <v>6</v>
      </c>
      <c r="AA114" s="162">
        <v>6</v>
      </c>
      <c r="AB114" s="162">
        <v>6</v>
      </c>
      <c r="AC114" s="162">
        <v>10</v>
      </c>
      <c r="AD114" s="162">
        <v>8</v>
      </c>
      <c r="AE114" s="162">
        <v>9</v>
      </c>
      <c r="AF114" s="161">
        <v>4</v>
      </c>
      <c r="AG114" s="64">
        <f t="shared" si="15"/>
        <v>237</v>
      </c>
    </row>
    <row r="115" spans="1:33" ht="19.5" thickBot="1" x14ac:dyDescent="0.3">
      <c r="A115" s="322"/>
      <c r="B115" s="255"/>
      <c r="C115" s="169"/>
      <c r="D115" s="169"/>
      <c r="E115" s="169"/>
      <c r="F115" s="169"/>
      <c r="G115" s="169"/>
      <c r="H115" s="169"/>
      <c r="I115" s="169"/>
      <c r="J115" s="169"/>
      <c r="K115" s="169"/>
      <c r="L115" s="169"/>
      <c r="M115" s="169"/>
      <c r="N115" s="169"/>
      <c r="O115" s="169"/>
      <c r="P115" s="169"/>
      <c r="Q115" s="169"/>
      <c r="R115" s="169"/>
      <c r="S115" s="169"/>
      <c r="T115" s="169"/>
      <c r="U115" s="169"/>
      <c r="V115" s="169"/>
      <c r="W115" s="169"/>
      <c r="X115" s="169"/>
      <c r="Y115" s="169"/>
      <c r="Z115" s="169"/>
      <c r="AA115" s="169"/>
      <c r="AB115" s="169"/>
      <c r="AC115" s="169"/>
      <c r="AD115" s="169"/>
      <c r="AE115" s="169"/>
      <c r="AF115" s="168"/>
      <c r="AG115" s="64">
        <f t="shared" si="15"/>
        <v>0</v>
      </c>
    </row>
    <row r="116" spans="1:33" ht="18.75" x14ac:dyDescent="0.25">
      <c r="A116" s="315" t="s">
        <v>90</v>
      </c>
      <c r="B116" s="261">
        <f t="shared" ref="B116:AF116" si="17">SUM(B117:B129)</f>
        <v>34</v>
      </c>
      <c r="C116" s="166">
        <f t="shared" si="17"/>
        <v>32</v>
      </c>
      <c r="D116" s="166">
        <f t="shared" si="17"/>
        <v>39</v>
      </c>
      <c r="E116" s="166">
        <f t="shared" si="17"/>
        <v>23</v>
      </c>
      <c r="F116" s="166">
        <f t="shared" si="17"/>
        <v>25</v>
      </c>
      <c r="G116" s="166">
        <f t="shared" si="17"/>
        <v>36</v>
      </c>
      <c r="H116" s="166">
        <f t="shared" si="17"/>
        <v>34</v>
      </c>
      <c r="I116" s="166">
        <f t="shared" si="17"/>
        <v>34</v>
      </c>
      <c r="J116" s="166">
        <f t="shared" si="17"/>
        <v>39</v>
      </c>
      <c r="K116" s="166">
        <f t="shared" si="17"/>
        <v>42</v>
      </c>
      <c r="L116" s="166">
        <f t="shared" si="17"/>
        <v>50</v>
      </c>
      <c r="M116" s="166">
        <f t="shared" si="17"/>
        <v>23</v>
      </c>
      <c r="N116" s="166">
        <f t="shared" si="17"/>
        <v>48</v>
      </c>
      <c r="O116" s="166">
        <f t="shared" si="17"/>
        <v>42</v>
      </c>
      <c r="P116" s="166">
        <f t="shared" si="17"/>
        <v>29</v>
      </c>
      <c r="Q116" s="166">
        <f t="shared" si="17"/>
        <v>50</v>
      </c>
      <c r="R116" s="166">
        <f t="shared" si="17"/>
        <v>66</v>
      </c>
      <c r="S116" s="166">
        <f t="shared" si="17"/>
        <v>28</v>
      </c>
      <c r="T116" s="166">
        <f t="shared" si="17"/>
        <v>49</v>
      </c>
      <c r="U116" s="166">
        <f t="shared" si="17"/>
        <v>51</v>
      </c>
      <c r="V116" s="166">
        <f t="shared" si="17"/>
        <v>44</v>
      </c>
      <c r="W116" s="166">
        <f t="shared" si="17"/>
        <v>40</v>
      </c>
      <c r="X116" s="166">
        <f t="shared" si="17"/>
        <v>53</v>
      </c>
      <c r="Y116" s="166">
        <f t="shared" si="17"/>
        <v>47</v>
      </c>
      <c r="Z116" s="166">
        <f t="shared" si="17"/>
        <v>28</v>
      </c>
      <c r="AA116" s="166">
        <f t="shared" si="17"/>
        <v>21</v>
      </c>
      <c r="AB116" s="166">
        <f t="shared" si="17"/>
        <v>48</v>
      </c>
      <c r="AC116" s="166">
        <f t="shared" si="17"/>
        <v>41</v>
      </c>
      <c r="AD116" s="166">
        <f t="shared" si="17"/>
        <v>35</v>
      </c>
      <c r="AE116" s="166">
        <f t="shared" si="17"/>
        <v>35</v>
      </c>
      <c r="AF116" s="165">
        <f t="shared" si="17"/>
        <v>45</v>
      </c>
      <c r="AG116" s="64">
        <f t="shared" si="15"/>
        <v>1211</v>
      </c>
    </row>
    <row r="117" spans="1:33" ht="18.75" x14ac:dyDescent="0.25">
      <c r="A117" s="323" t="s">
        <v>67</v>
      </c>
      <c r="B117" s="249">
        <v>29</v>
      </c>
      <c r="C117" s="162">
        <v>21</v>
      </c>
      <c r="D117" s="162">
        <v>27</v>
      </c>
      <c r="E117" s="162">
        <v>13</v>
      </c>
      <c r="F117" s="162">
        <v>12</v>
      </c>
      <c r="G117" s="162">
        <v>26</v>
      </c>
      <c r="H117" s="162">
        <v>22</v>
      </c>
      <c r="I117" s="162">
        <v>24</v>
      </c>
      <c r="J117" s="162">
        <v>25</v>
      </c>
      <c r="K117" s="162">
        <v>32</v>
      </c>
      <c r="L117" s="162">
        <v>31</v>
      </c>
      <c r="M117" s="162">
        <v>11</v>
      </c>
      <c r="N117" s="162">
        <v>38</v>
      </c>
      <c r="O117" s="162">
        <v>31</v>
      </c>
      <c r="P117" s="162">
        <v>25</v>
      </c>
      <c r="Q117" s="162">
        <v>35</v>
      </c>
      <c r="R117" s="162">
        <v>40</v>
      </c>
      <c r="S117" s="162">
        <v>18</v>
      </c>
      <c r="T117" s="162">
        <v>37</v>
      </c>
      <c r="U117" s="162">
        <v>35</v>
      </c>
      <c r="V117" s="162">
        <v>33</v>
      </c>
      <c r="W117" s="162">
        <v>28</v>
      </c>
      <c r="X117" s="162">
        <v>41</v>
      </c>
      <c r="Y117" s="162">
        <v>31</v>
      </c>
      <c r="Z117" s="162">
        <v>12</v>
      </c>
      <c r="AA117" s="162">
        <v>9</v>
      </c>
      <c r="AB117" s="162">
        <v>33</v>
      </c>
      <c r="AC117" s="162">
        <v>29</v>
      </c>
      <c r="AD117" s="162">
        <v>21</v>
      </c>
      <c r="AE117" s="162">
        <v>25</v>
      </c>
      <c r="AF117" s="161">
        <v>35</v>
      </c>
      <c r="AG117" s="64">
        <f t="shared" si="15"/>
        <v>829</v>
      </c>
    </row>
    <row r="118" spans="1:33" ht="19.5" hidden="1" customHeight="1" thickBot="1" x14ac:dyDescent="0.3">
      <c r="A118" s="323" t="s">
        <v>69</v>
      </c>
      <c r="B118" s="249"/>
      <c r="C118" s="162"/>
      <c r="D118" s="162"/>
      <c r="E118" s="162"/>
      <c r="F118" s="162"/>
      <c r="G118" s="162"/>
      <c r="H118" s="162"/>
      <c r="I118" s="162"/>
      <c r="J118" s="162"/>
      <c r="K118" s="162"/>
      <c r="L118" s="162"/>
      <c r="M118" s="162"/>
      <c r="N118" s="162"/>
      <c r="O118" s="162"/>
      <c r="P118" s="162"/>
      <c r="Q118" s="162"/>
      <c r="R118" s="162"/>
      <c r="S118" s="162"/>
      <c r="T118" s="162"/>
      <c r="U118" s="162"/>
      <c r="V118" s="162"/>
      <c r="W118" s="162"/>
      <c r="X118" s="162"/>
      <c r="Y118" s="162"/>
      <c r="Z118" s="162"/>
      <c r="AA118" s="162"/>
      <c r="AB118" s="162"/>
      <c r="AC118" s="162"/>
      <c r="AD118" s="162"/>
      <c r="AE118" s="162"/>
      <c r="AF118" s="161"/>
      <c r="AG118" s="64">
        <f t="shared" si="15"/>
        <v>0</v>
      </c>
    </row>
    <row r="119" spans="1:33" ht="19.5" hidden="1" customHeight="1" thickBot="1" x14ac:dyDescent="0.3">
      <c r="A119" s="323" t="s">
        <v>68</v>
      </c>
      <c r="B119" s="249"/>
      <c r="C119" s="162"/>
      <c r="D119" s="162"/>
      <c r="E119" s="162"/>
      <c r="F119" s="162"/>
      <c r="G119" s="162"/>
      <c r="H119" s="162"/>
      <c r="I119" s="162"/>
      <c r="J119" s="162"/>
      <c r="K119" s="162"/>
      <c r="L119" s="162"/>
      <c r="M119" s="162"/>
      <c r="N119" s="162"/>
      <c r="O119" s="162"/>
      <c r="P119" s="162"/>
      <c r="Q119" s="162"/>
      <c r="R119" s="162"/>
      <c r="S119" s="162"/>
      <c r="T119" s="162"/>
      <c r="U119" s="162"/>
      <c r="V119" s="162"/>
      <c r="W119" s="162"/>
      <c r="X119" s="162"/>
      <c r="Y119" s="162"/>
      <c r="Z119" s="162"/>
      <c r="AA119" s="162"/>
      <c r="AB119" s="162"/>
      <c r="AC119" s="162"/>
      <c r="AD119" s="162"/>
      <c r="AE119" s="162"/>
      <c r="AF119" s="161"/>
      <c r="AG119" s="64">
        <f t="shared" si="15"/>
        <v>0</v>
      </c>
    </row>
    <row r="120" spans="1:33" ht="19.5" hidden="1" customHeight="1" thickBot="1" x14ac:dyDescent="0.3">
      <c r="A120" s="323" t="s">
        <v>66</v>
      </c>
      <c r="B120" s="249"/>
      <c r="C120" s="162"/>
      <c r="D120" s="162"/>
      <c r="E120" s="162"/>
      <c r="F120" s="162"/>
      <c r="G120" s="162"/>
      <c r="H120" s="162"/>
      <c r="I120" s="162"/>
      <c r="J120" s="162"/>
      <c r="K120" s="162"/>
      <c r="L120" s="162"/>
      <c r="M120" s="162"/>
      <c r="N120" s="162"/>
      <c r="O120" s="162"/>
      <c r="P120" s="162"/>
      <c r="Q120" s="162"/>
      <c r="R120" s="162"/>
      <c r="S120" s="162"/>
      <c r="T120" s="162"/>
      <c r="U120" s="162"/>
      <c r="V120" s="162"/>
      <c r="W120" s="162"/>
      <c r="X120" s="162"/>
      <c r="Y120" s="162"/>
      <c r="Z120" s="162"/>
      <c r="AA120" s="162"/>
      <c r="AB120" s="162"/>
      <c r="AC120" s="162"/>
      <c r="AD120" s="162"/>
      <c r="AE120" s="162"/>
      <c r="AF120" s="161"/>
      <c r="AG120" s="64">
        <f t="shared" si="15"/>
        <v>0</v>
      </c>
    </row>
    <row r="121" spans="1:33" ht="19.5" hidden="1" customHeight="1" thickBot="1" x14ac:dyDescent="0.3">
      <c r="A121" s="323" t="s">
        <v>65</v>
      </c>
      <c r="B121" s="249"/>
      <c r="C121" s="162"/>
      <c r="D121" s="162"/>
      <c r="E121" s="162"/>
      <c r="F121" s="162"/>
      <c r="G121" s="162"/>
      <c r="H121" s="162"/>
      <c r="I121" s="162"/>
      <c r="J121" s="162"/>
      <c r="K121" s="162"/>
      <c r="L121" s="162"/>
      <c r="M121" s="162"/>
      <c r="N121" s="162"/>
      <c r="O121" s="162"/>
      <c r="P121" s="162"/>
      <c r="Q121" s="162"/>
      <c r="R121" s="162"/>
      <c r="S121" s="162"/>
      <c r="T121" s="162"/>
      <c r="U121" s="162"/>
      <c r="V121" s="162"/>
      <c r="W121" s="162"/>
      <c r="X121" s="162"/>
      <c r="Y121" s="162"/>
      <c r="Z121" s="162"/>
      <c r="AA121" s="162"/>
      <c r="AB121" s="162"/>
      <c r="AC121" s="162"/>
      <c r="AD121" s="162"/>
      <c r="AE121" s="162"/>
      <c r="AF121" s="161"/>
      <c r="AG121" s="64">
        <f t="shared" si="15"/>
        <v>0</v>
      </c>
    </row>
    <row r="122" spans="1:33" ht="19.5" hidden="1" customHeight="1" thickBot="1" x14ac:dyDescent="0.3">
      <c r="A122" s="323" t="s">
        <v>64</v>
      </c>
      <c r="B122" s="249"/>
      <c r="C122" s="162"/>
      <c r="D122" s="162"/>
      <c r="E122" s="162"/>
      <c r="F122" s="162"/>
      <c r="G122" s="162"/>
      <c r="H122" s="162"/>
      <c r="I122" s="162"/>
      <c r="J122" s="162"/>
      <c r="K122" s="162"/>
      <c r="L122" s="162"/>
      <c r="M122" s="162"/>
      <c r="N122" s="162"/>
      <c r="O122" s="162"/>
      <c r="P122" s="162"/>
      <c r="Q122" s="162"/>
      <c r="R122" s="162"/>
      <c r="S122" s="162"/>
      <c r="T122" s="162"/>
      <c r="U122" s="162"/>
      <c r="V122" s="162"/>
      <c r="W122" s="162"/>
      <c r="X122" s="162"/>
      <c r="Y122" s="162"/>
      <c r="Z122" s="162"/>
      <c r="AA122" s="162"/>
      <c r="AB122" s="162"/>
      <c r="AC122" s="162"/>
      <c r="AD122" s="162"/>
      <c r="AE122" s="162"/>
      <c r="AF122" s="161"/>
      <c r="AG122" s="64">
        <f t="shared" si="15"/>
        <v>0</v>
      </c>
    </row>
    <row r="123" spans="1:33" ht="19.5" hidden="1" customHeight="1" thickBot="1" x14ac:dyDescent="0.3">
      <c r="A123" s="323" t="s">
        <v>63</v>
      </c>
      <c r="B123" s="249"/>
      <c r="C123" s="162"/>
      <c r="D123" s="162"/>
      <c r="E123" s="162"/>
      <c r="F123" s="162"/>
      <c r="G123" s="162"/>
      <c r="H123" s="162"/>
      <c r="I123" s="162"/>
      <c r="J123" s="162"/>
      <c r="K123" s="162"/>
      <c r="L123" s="162"/>
      <c r="M123" s="162"/>
      <c r="N123" s="162"/>
      <c r="O123" s="162"/>
      <c r="P123" s="162"/>
      <c r="Q123" s="162"/>
      <c r="R123" s="162"/>
      <c r="S123" s="162"/>
      <c r="T123" s="162"/>
      <c r="U123" s="162"/>
      <c r="V123" s="162"/>
      <c r="W123" s="162"/>
      <c r="X123" s="162"/>
      <c r="Y123" s="162"/>
      <c r="Z123" s="162"/>
      <c r="AA123" s="162"/>
      <c r="AB123" s="162"/>
      <c r="AC123" s="162"/>
      <c r="AD123" s="162"/>
      <c r="AE123" s="162"/>
      <c r="AF123" s="161"/>
      <c r="AG123" s="64">
        <f t="shared" si="15"/>
        <v>0</v>
      </c>
    </row>
    <row r="124" spans="1:33" ht="19.5" hidden="1" customHeight="1" thickBot="1" x14ac:dyDescent="0.3">
      <c r="A124" s="323" t="s">
        <v>62</v>
      </c>
      <c r="B124" s="249"/>
      <c r="C124" s="162"/>
      <c r="D124" s="162"/>
      <c r="E124" s="162"/>
      <c r="F124" s="162"/>
      <c r="G124" s="162"/>
      <c r="H124" s="162"/>
      <c r="I124" s="162"/>
      <c r="J124" s="162"/>
      <c r="K124" s="162"/>
      <c r="L124" s="162"/>
      <c r="M124" s="162"/>
      <c r="N124" s="162"/>
      <c r="O124" s="162"/>
      <c r="P124" s="162"/>
      <c r="Q124" s="162"/>
      <c r="R124" s="162"/>
      <c r="S124" s="162"/>
      <c r="T124" s="162"/>
      <c r="U124" s="162"/>
      <c r="V124" s="162"/>
      <c r="W124" s="162"/>
      <c r="X124" s="162"/>
      <c r="Y124" s="162"/>
      <c r="Z124" s="162"/>
      <c r="AA124" s="162"/>
      <c r="AB124" s="162"/>
      <c r="AC124" s="162"/>
      <c r="AD124" s="162"/>
      <c r="AE124" s="162"/>
      <c r="AF124" s="161"/>
      <c r="AG124" s="64">
        <f t="shared" si="15"/>
        <v>0</v>
      </c>
    </row>
    <row r="125" spans="1:33" ht="19.5" hidden="1" customHeight="1" thickBot="1" x14ac:dyDescent="0.3">
      <c r="A125" s="301" t="s">
        <v>60</v>
      </c>
      <c r="B125" s="249"/>
      <c r="C125" s="162"/>
      <c r="D125" s="162"/>
      <c r="E125" s="162"/>
      <c r="F125" s="162"/>
      <c r="G125" s="162"/>
      <c r="H125" s="162"/>
      <c r="I125" s="162"/>
      <c r="J125" s="162"/>
      <c r="K125" s="162"/>
      <c r="L125" s="162"/>
      <c r="M125" s="162"/>
      <c r="N125" s="162"/>
      <c r="O125" s="162"/>
      <c r="P125" s="162"/>
      <c r="Q125" s="162"/>
      <c r="R125" s="162"/>
      <c r="S125" s="162"/>
      <c r="T125" s="162"/>
      <c r="U125" s="162"/>
      <c r="V125" s="162"/>
      <c r="W125" s="162"/>
      <c r="X125" s="162"/>
      <c r="Y125" s="162"/>
      <c r="Z125" s="162"/>
      <c r="AA125" s="162"/>
      <c r="AB125" s="162"/>
      <c r="AC125" s="162"/>
      <c r="AD125" s="162"/>
      <c r="AE125" s="162"/>
      <c r="AF125" s="161"/>
      <c r="AG125" s="64">
        <f t="shared" si="15"/>
        <v>0</v>
      </c>
    </row>
    <row r="126" spans="1:33" ht="19.5" hidden="1" customHeight="1" thickBot="1" x14ac:dyDescent="0.3">
      <c r="A126" s="301" t="s">
        <v>59</v>
      </c>
      <c r="B126" s="249"/>
      <c r="C126" s="162"/>
      <c r="D126" s="162"/>
      <c r="E126" s="162"/>
      <c r="F126" s="162"/>
      <c r="G126" s="162"/>
      <c r="H126" s="162"/>
      <c r="I126" s="162"/>
      <c r="J126" s="162"/>
      <c r="K126" s="162"/>
      <c r="L126" s="162"/>
      <c r="M126" s="162"/>
      <c r="N126" s="162"/>
      <c r="O126" s="162"/>
      <c r="P126" s="162"/>
      <c r="Q126" s="162"/>
      <c r="R126" s="162"/>
      <c r="S126" s="162"/>
      <c r="T126" s="162"/>
      <c r="U126" s="162"/>
      <c r="V126" s="162"/>
      <c r="W126" s="162"/>
      <c r="X126" s="162"/>
      <c r="Y126" s="162"/>
      <c r="Z126" s="162"/>
      <c r="AA126" s="162"/>
      <c r="AB126" s="162"/>
      <c r="AC126" s="162"/>
      <c r="AD126" s="162"/>
      <c r="AE126" s="162"/>
      <c r="AF126" s="161"/>
      <c r="AG126" s="64">
        <f t="shared" si="15"/>
        <v>0</v>
      </c>
    </row>
    <row r="127" spans="1:33" ht="19.5" hidden="1" customHeight="1" thickBot="1" x14ac:dyDescent="0.3">
      <c r="A127" s="301" t="s">
        <v>58</v>
      </c>
      <c r="B127" s="249"/>
      <c r="C127" s="162"/>
      <c r="D127" s="162"/>
      <c r="E127" s="162"/>
      <c r="F127" s="162"/>
      <c r="G127" s="162"/>
      <c r="H127" s="162"/>
      <c r="I127" s="162"/>
      <c r="J127" s="162"/>
      <c r="K127" s="162"/>
      <c r="L127" s="162"/>
      <c r="M127" s="162"/>
      <c r="N127" s="162"/>
      <c r="O127" s="162"/>
      <c r="P127" s="162"/>
      <c r="Q127" s="162"/>
      <c r="R127" s="162"/>
      <c r="S127" s="162"/>
      <c r="T127" s="162"/>
      <c r="U127" s="162"/>
      <c r="V127" s="162"/>
      <c r="W127" s="162"/>
      <c r="X127" s="162"/>
      <c r="Y127" s="162"/>
      <c r="Z127" s="162"/>
      <c r="AA127" s="162"/>
      <c r="AB127" s="162"/>
      <c r="AC127" s="162"/>
      <c r="AD127" s="162"/>
      <c r="AE127" s="162"/>
      <c r="AF127" s="161"/>
      <c r="AG127" s="64">
        <f t="shared" si="15"/>
        <v>0</v>
      </c>
    </row>
    <row r="128" spans="1:33" ht="19.5" hidden="1" customHeight="1" thickBot="1" x14ac:dyDescent="0.3">
      <c r="A128" s="323" t="s">
        <v>88</v>
      </c>
      <c r="B128" s="249"/>
      <c r="C128" s="162"/>
      <c r="D128" s="162"/>
      <c r="E128" s="162"/>
      <c r="F128" s="162"/>
      <c r="G128" s="162"/>
      <c r="H128" s="162"/>
      <c r="I128" s="162"/>
      <c r="J128" s="162"/>
      <c r="K128" s="162"/>
      <c r="L128" s="162"/>
      <c r="M128" s="162"/>
      <c r="N128" s="162"/>
      <c r="O128" s="162"/>
      <c r="P128" s="162"/>
      <c r="Q128" s="162"/>
      <c r="R128" s="162"/>
      <c r="S128" s="162"/>
      <c r="T128" s="162"/>
      <c r="U128" s="162"/>
      <c r="V128" s="162"/>
      <c r="W128" s="162"/>
      <c r="X128" s="162"/>
      <c r="Y128" s="162"/>
      <c r="Z128" s="162"/>
      <c r="AA128" s="162"/>
      <c r="AB128" s="162"/>
      <c r="AC128" s="162"/>
      <c r="AD128" s="162"/>
      <c r="AE128" s="162"/>
      <c r="AF128" s="161"/>
      <c r="AG128" s="64">
        <f t="shared" si="15"/>
        <v>0</v>
      </c>
    </row>
    <row r="129" spans="1:35" ht="19.5" thickBot="1" x14ac:dyDescent="0.3">
      <c r="A129" s="324" t="s">
        <v>87</v>
      </c>
      <c r="B129" s="263">
        <f>4+1</f>
        <v>5</v>
      </c>
      <c r="C129" s="140">
        <f>8+3</f>
        <v>11</v>
      </c>
      <c r="D129" s="140">
        <f>8+4</f>
        <v>12</v>
      </c>
      <c r="E129" s="140">
        <f>8+1+1</f>
        <v>10</v>
      </c>
      <c r="F129" s="140">
        <f>8+1+4</f>
        <v>13</v>
      </c>
      <c r="G129" s="140">
        <f>6+4</f>
        <v>10</v>
      </c>
      <c r="H129" s="140">
        <f>10+2</f>
        <v>12</v>
      </c>
      <c r="I129" s="140">
        <f>6+4</f>
        <v>10</v>
      </c>
      <c r="J129" s="140">
        <f>11+1+2</f>
        <v>14</v>
      </c>
      <c r="K129" s="140">
        <f>8+2</f>
        <v>10</v>
      </c>
      <c r="L129" s="140">
        <f>8+11</f>
        <v>19</v>
      </c>
      <c r="M129" s="140">
        <f>11+1</f>
        <v>12</v>
      </c>
      <c r="N129" s="140">
        <f>6+4</f>
        <v>10</v>
      </c>
      <c r="O129" s="140">
        <f>6+5</f>
        <v>11</v>
      </c>
      <c r="P129" s="140">
        <f>1+2+1</f>
        <v>4</v>
      </c>
      <c r="Q129" s="140">
        <f>13+2</f>
        <v>15</v>
      </c>
      <c r="R129" s="140">
        <f>22+4</f>
        <v>26</v>
      </c>
      <c r="S129" s="140">
        <f>8+2</f>
        <v>10</v>
      </c>
      <c r="T129" s="140">
        <f>7+5</f>
        <v>12</v>
      </c>
      <c r="U129" s="140">
        <f>9+7</f>
        <v>16</v>
      </c>
      <c r="V129" s="140">
        <f>7+4</f>
        <v>11</v>
      </c>
      <c r="W129" s="140">
        <f>10+2</f>
        <v>12</v>
      </c>
      <c r="X129" s="140">
        <f>8+4</f>
        <v>12</v>
      </c>
      <c r="Y129" s="140">
        <f>13+3</f>
        <v>16</v>
      </c>
      <c r="Z129" s="140">
        <f>11+5</f>
        <v>16</v>
      </c>
      <c r="AA129" s="140">
        <f>11+1</f>
        <v>12</v>
      </c>
      <c r="AB129" s="140">
        <f>13+2</f>
        <v>15</v>
      </c>
      <c r="AC129" s="140">
        <f>9+1+2</f>
        <v>12</v>
      </c>
      <c r="AD129" s="140">
        <f>8+6</f>
        <v>14</v>
      </c>
      <c r="AE129" s="140">
        <f>7+1+2</f>
        <v>10</v>
      </c>
      <c r="AF129" s="139">
        <f>4+6</f>
        <v>10</v>
      </c>
      <c r="AG129" s="64">
        <f t="shared" si="15"/>
        <v>382</v>
      </c>
    </row>
    <row r="130" spans="1:35" ht="18.75" x14ac:dyDescent="0.25">
      <c r="A130" s="315" t="s">
        <v>89</v>
      </c>
      <c r="B130" s="261">
        <f t="shared" ref="B130:AF130" si="18">SUM(B131:B143)</f>
        <v>113</v>
      </c>
      <c r="C130" s="166">
        <f t="shared" si="18"/>
        <v>112</v>
      </c>
      <c r="D130" s="166">
        <f t="shared" si="18"/>
        <v>154</v>
      </c>
      <c r="E130" s="166">
        <f t="shared" si="18"/>
        <v>148</v>
      </c>
      <c r="F130" s="166">
        <f t="shared" si="18"/>
        <v>153</v>
      </c>
      <c r="G130" s="166">
        <f t="shared" si="18"/>
        <v>143</v>
      </c>
      <c r="H130" s="166">
        <f t="shared" si="18"/>
        <v>128</v>
      </c>
      <c r="I130" s="166">
        <f t="shared" si="18"/>
        <v>126</v>
      </c>
      <c r="J130" s="166">
        <f t="shared" si="18"/>
        <v>131</v>
      </c>
      <c r="K130" s="166">
        <f t="shared" si="18"/>
        <v>146</v>
      </c>
      <c r="L130" s="166">
        <f t="shared" si="18"/>
        <v>173</v>
      </c>
      <c r="M130" s="166">
        <f t="shared" si="18"/>
        <v>157</v>
      </c>
      <c r="N130" s="166">
        <f t="shared" si="18"/>
        <v>132</v>
      </c>
      <c r="O130" s="166">
        <f t="shared" si="18"/>
        <v>137</v>
      </c>
      <c r="P130" s="166">
        <f t="shared" si="18"/>
        <v>119</v>
      </c>
      <c r="Q130" s="166">
        <f t="shared" si="18"/>
        <v>179</v>
      </c>
      <c r="R130" s="166">
        <f t="shared" si="18"/>
        <v>180</v>
      </c>
      <c r="S130" s="166">
        <f t="shared" si="18"/>
        <v>151</v>
      </c>
      <c r="T130" s="166">
        <f t="shared" si="18"/>
        <v>143</v>
      </c>
      <c r="U130" s="166">
        <f t="shared" si="18"/>
        <v>157</v>
      </c>
      <c r="V130" s="166">
        <f t="shared" si="18"/>
        <v>144</v>
      </c>
      <c r="W130" s="166">
        <f t="shared" si="18"/>
        <v>143</v>
      </c>
      <c r="X130" s="166">
        <f t="shared" si="18"/>
        <v>167</v>
      </c>
      <c r="Y130" s="166">
        <f t="shared" si="18"/>
        <v>172</v>
      </c>
      <c r="Z130" s="166">
        <f t="shared" si="18"/>
        <v>147</v>
      </c>
      <c r="AA130" s="166">
        <f t="shared" si="18"/>
        <v>138</v>
      </c>
      <c r="AB130" s="166">
        <f t="shared" si="18"/>
        <v>152</v>
      </c>
      <c r="AC130" s="166">
        <f t="shared" si="18"/>
        <v>152</v>
      </c>
      <c r="AD130" s="166">
        <f t="shared" si="18"/>
        <v>147</v>
      </c>
      <c r="AE130" s="166">
        <f t="shared" si="18"/>
        <v>152</v>
      </c>
      <c r="AF130" s="165">
        <f t="shared" si="18"/>
        <v>153</v>
      </c>
      <c r="AG130" s="164">
        <f t="shared" si="15"/>
        <v>4549</v>
      </c>
      <c r="AH130" s="152" t="str">
        <f>IF(AG130&lt;&gt;AG93,"*","")</f>
        <v/>
      </c>
    </row>
    <row r="131" spans="1:35" ht="18.75" x14ac:dyDescent="0.25">
      <c r="A131" s="323" t="s">
        <v>67</v>
      </c>
      <c r="B131" s="249">
        <v>29</v>
      </c>
      <c r="C131" s="162">
        <v>21</v>
      </c>
      <c r="D131" s="162">
        <v>26</v>
      </c>
      <c r="E131" s="162">
        <v>13</v>
      </c>
      <c r="F131" s="162">
        <v>12</v>
      </c>
      <c r="G131" s="162">
        <v>23</v>
      </c>
      <c r="H131" s="162">
        <v>21</v>
      </c>
      <c r="I131" s="162">
        <v>24</v>
      </c>
      <c r="J131" s="162">
        <v>25</v>
      </c>
      <c r="K131" s="162">
        <v>30</v>
      </c>
      <c r="L131" s="162">
        <v>29</v>
      </c>
      <c r="M131" s="162">
        <v>10</v>
      </c>
      <c r="N131" s="162">
        <v>37</v>
      </c>
      <c r="O131" s="162">
        <v>30</v>
      </c>
      <c r="P131" s="162">
        <v>22</v>
      </c>
      <c r="Q131" s="162">
        <v>35</v>
      </c>
      <c r="R131" s="162">
        <v>40</v>
      </c>
      <c r="S131" s="162">
        <v>17</v>
      </c>
      <c r="T131" s="162">
        <v>34</v>
      </c>
      <c r="U131" s="162">
        <v>30</v>
      </c>
      <c r="V131" s="162">
        <v>32</v>
      </c>
      <c r="W131" s="162">
        <v>28</v>
      </c>
      <c r="X131" s="162">
        <v>41</v>
      </c>
      <c r="Y131" s="162">
        <v>31</v>
      </c>
      <c r="Z131" s="162">
        <v>12</v>
      </c>
      <c r="AA131" s="162">
        <v>9</v>
      </c>
      <c r="AB131" s="162">
        <v>32</v>
      </c>
      <c r="AC131" s="162">
        <v>27</v>
      </c>
      <c r="AD131" s="162">
        <v>21</v>
      </c>
      <c r="AE131" s="162">
        <v>25</v>
      </c>
      <c r="AF131" s="161">
        <v>35</v>
      </c>
      <c r="AG131" s="64">
        <f t="shared" ref="AG131:AG145" si="19">SUM(B131:AF131)</f>
        <v>801</v>
      </c>
    </row>
    <row r="132" spans="1:35" ht="18.75" x14ac:dyDescent="0.25">
      <c r="A132" s="323" t="s">
        <v>69</v>
      </c>
      <c r="B132" s="249">
        <v>5</v>
      </c>
      <c r="C132" s="162">
        <v>1</v>
      </c>
      <c r="D132" s="162">
        <v>7</v>
      </c>
      <c r="E132" s="162"/>
      <c r="F132" s="162">
        <v>4</v>
      </c>
      <c r="G132" s="162">
        <v>2</v>
      </c>
      <c r="H132" s="162">
        <v>2</v>
      </c>
      <c r="I132" s="162">
        <v>4</v>
      </c>
      <c r="J132" s="162">
        <v>5</v>
      </c>
      <c r="K132" s="162">
        <v>3</v>
      </c>
      <c r="L132" s="162">
        <v>9</v>
      </c>
      <c r="M132" s="162">
        <v>1</v>
      </c>
      <c r="N132" s="162">
        <v>3</v>
      </c>
      <c r="O132" s="162">
        <v>4</v>
      </c>
      <c r="P132" s="162">
        <v>9</v>
      </c>
      <c r="Q132" s="162">
        <v>7</v>
      </c>
      <c r="R132" s="162">
        <v>4</v>
      </c>
      <c r="S132" s="162">
        <v>4</v>
      </c>
      <c r="T132" s="162">
        <v>7</v>
      </c>
      <c r="U132" s="162">
        <v>5</v>
      </c>
      <c r="V132" s="162">
        <v>6</v>
      </c>
      <c r="W132" s="162">
        <v>5</v>
      </c>
      <c r="X132" s="162">
        <v>7</v>
      </c>
      <c r="Y132" s="162">
        <v>7</v>
      </c>
      <c r="Z132" s="162">
        <v>4</v>
      </c>
      <c r="AA132" s="162">
        <v>1</v>
      </c>
      <c r="AB132" s="162">
        <v>10</v>
      </c>
      <c r="AC132" s="162">
        <v>3</v>
      </c>
      <c r="AD132" s="162">
        <v>7</v>
      </c>
      <c r="AE132" s="162">
        <v>2</v>
      </c>
      <c r="AF132" s="161">
        <v>6</v>
      </c>
      <c r="AG132" s="64">
        <f t="shared" si="19"/>
        <v>144</v>
      </c>
    </row>
    <row r="133" spans="1:35" ht="18.75" x14ac:dyDescent="0.25">
      <c r="A133" s="323" t="s">
        <v>68</v>
      </c>
      <c r="B133" s="249">
        <v>2</v>
      </c>
      <c r="C133" s="162">
        <v>3</v>
      </c>
      <c r="D133" s="162">
        <v>5</v>
      </c>
      <c r="E133" s="162"/>
      <c r="F133" s="162">
        <v>2</v>
      </c>
      <c r="G133" s="162">
        <v>5</v>
      </c>
      <c r="H133" s="162">
        <v>3</v>
      </c>
      <c r="I133" s="162">
        <v>6</v>
      </c>
      <c r="J133" s="162">
        <v>6</v>
      </c>
      <c r="K133" s="162">
        <v>3</v>
      </c>
      <c r="L133" s="162">
        <v>8</v>
      </c>
      <c r="M133" s="162">
        <v>2</v>
      </c>
      <c r="N133" s="162">
        <v>7</v>
      </c>
      <c r="O133" s="162">
        <v>11</v>
      </c>
      <c r="P133" s="162">
        <v>7</v>
      </c>
      <c r="Q133" s="162">
        <v>7</v>
      </c>
      <c r="R133" s="162">
        <v>7</v>
      </c>
      <c r="S133" s="162">
        <v>2</v>
      </c>
      <c r="T133" s="162">
        <v>3</v>
      </c>
      <c r="U133" s="162">
        <v>8</v>
      </c>
      <c r="V133" s="162">
        <v>3</v>
      </c>
      <c r="W133" s="162">
        <v>6</v>
      </c>
      <c r="X133" s="162">
        <v>6</v>
      </c>
      <c r="Y133" s="162">
        <v>6</v>
      </c>
      <c r="Z133" s="162">
        <v>6</v>
      </c>
      <c r="AA133" s="162">
        <v>3</v>
      </c>
      <c r="AB133" s="162">
        <v>10</v>
      </c>
      <c r="AC133" s="162">
        <v>4</v>
      </c>
      <c r="AD133" s="162">
        <v>5</v>
      </c>
      <c r="AE133" s="162">
        <v>1</v>
      </c>
      <c r="AF133" s="161">
        <v>8</v>
      </c>
      <c r="AG133" s="64">
        <f t="shared" si="19"/>
        <v>155</v>
      </c>
    </row>
    <row r="134" spans="1:35" ht="18.75" x14ac:dyDescent="0.25">
      <c r="A134" s="323" t="s">
        <v>66</v>
      </c>
      <c r="B134" s="249">
        <v>2</v>
      </c>
      <c r="C134" s="162">
        <v>2</v>
      </c>
      <c r="D134" s="162">
        <f>14+2</f>
        <v>16</v>
      </c>
      <c r="E134" s="162">
        <f>1+4</f>
        <v>5</v>
      </c>
      <c r="F134" s="162">
        <f>1+2</f>
        <v>3</v>
      </c>
      <c r="G134" s="162">
        <f>1+11</f>
        <v>12</v>
      </c>
      <c r="H134" s="162">
        <v>4</v>
      </c>
      <c r="I134" s="162">
        <f>8+2</f>
        <v>10</v>
      </c>
      <c r="J134" s="162">
        <f>7+2</f>
        <v>9</v>
      </c>
      <c r="K134" s="162">
        <v>6</v>
      </c>
      <c r="L134" s="162">
        <f>13+1</f>
        <v>14</v>
      </c>
      <c r="M134" s="162">
        <f>3+2</f>
        <v>5</v>
      </c>
      <c r="N134" s="162">
        <f>1+4+1</f>
        <v>6</v>
      </c>
      <c r="O134" s="162">
        <v>6</v>
      </c>
      <c r="P134" s="162">
        <v>6</v>
      </c>
      <c r="Q134" s="162">
        <f>3+1</f>
        <v>4</v>
      </c>
      <c r="R134" s="162">
        <f>5+2</f>
        <v>7</v>
      </c>
      <c r="S134" s="162">
        <f>3+3</f>
        <v>6</v>
      </c>
      <c r="T134" s="162">
        <v>3</v>
      </c>
      <c r="U134" s="162">
        <f>7+3</f>
        <v>10</v>
      </c>
      <c r="V134" s="162">
        <f>5+1</f>
        <v>6</v>
      </c>
      <c r="W134" s="162">
        <v>6</v>
      </c>
      <c r="X134" s="162">
        <f>4+1</f>
        <v>5</v>
      </c>
      <c r="Y134" s="162">
        <v>6</v>
      </c>
      <c r="Z134" s="162">
        <f>2+3</f>
        <v>5</v>
      </c>
      <c r="AA134" s="162">
        <f>1+1</f>
        <v>2</v>
      </c>
      <c r="AB134" s="162">
        <f>8+1</f>
        <v>9</v>
      </c>
      <c r="AC134" s="162">
        <f>1+1+1</f>
        <v>3</v>
      </c>
      <c r="AD134" s="162">
        <f>6+1</f>
        <v>7</v>
      </c>
      <c r="AE134" s="162">
        <f>4+4</f>
        <v>8</v>
      </c>
      <c r="AF134" s="161">
        <f>1+7+1</f>
        <v>9</v>
      </c>
      <c r="AG134" s="64">
        <f t="shared" si="19"/>
        <v>202</v>
      </c>
    </row>
    <row r="135" spans="1:35" ht="18.75" x14ac:dyDescent="0.25">
      <c r="A135" s="323" t="s">
        <v>65</v>
      </c>
      <c r="B135" s="249">
        <v>5</v>
      </c>
      <c r="C135" s="162">
        <v>6</v>
      </c>
      <c r="D135" s="162">
        <v>4</v>
      </c>
      <c r="E135" s="162">
        <v>1</v>
      </c>
      <c r="F135" s="162"/>
      <c r="G135" s="162">
        <v>6</v>
      </c>
      <c r="H135" s="162">
        <v>4</v>
      </c>
      <c r="I135" s="162">
        <v>4</v>
      </c>
      <c r="J135" s="162">
        <v>6</v>
      </c>
      <c r="K135" s="162">
        <v>8</v>
      </c>
      <c r="L135" s="162">
        <v>7</v>
      </c>
      <c r="M135" s="162">
        <v>4</v>
      </c>
      <c r="N135" s="162">
        <v>6</v>
      </c>
      <c r="O135" s="162">
        <v>4</v>
      </c>
      <c r="P135" s="162">
        <v>5</v>
      </c>
      <c r="Q135" s="162">
        <v>10</v>
      </c>
      <c r="R135" s="162">
        <v>7</v>
      </c>
      <c r="S135" s="162">
        <v>1</v>
      </c>
      <c r="T135" s="162">
        <v>2</v>
      </c>
      <c r="U135" s="162">
        <v>8</v>
      </c>
      <c r="V135" s="162">
        <v>2</v>
      </c>
      <c r="W135" s="162">
        <v>6</v>
      </c>
      <c r="X135" s="162">
        <v>10</v>
      </c>
      <c r="Y135" s="162">
        <v>9</v>
      </c>
      <c r="Z135" s="162">
        <v>2</v>
      </c>
      <c r="AA135" s="162">
        <v>2</v>
      </c>
      <c r="AB135" s="162">
        <v>6</v>
      </c>
      <c r="AC135" s="162">
        <v>3</v>
      </c>
      <c r="AD135" s="162">
        <v>4</v>
      </c>
      <c r="AE135" s="162">
        <v>4</v>
      </c>
      <c r="AF135" s="161">
        <v>4</v>
      </c>
      <c r="AG135" s="64">
        <f t="shared" si="19"/>
        <v>150</v>
      </c>
    </row>
    <row r="136" spans="1:35" ht="18.75" x14ac:dyDescent="0.25">
      <c r="A136" s="323" t="s">
        <v>64</v>
      </c>
      <c r="B136" s="249">
        <v>52</v>
      </c>
      <c r="C136" s="162">
        <v>50</v>
      </c>
      <c r="D136" s="162">
        <v>73</v>
      </c>
      <c r="E136" s="162">
        <v>116</v>
      </c>
      <c r="F136" s="162">
        <v>109</v>
      </c>
      <c r="G136" s="162">
        <v>76</v>
      </c>
      <c r="H136" s="162">
        <v>70</v>
      </c>
      <c r="I136" s="162">
        <v>60</v>
      </c>
      <c r="J136" s="162">
        <v>53</v>
      </c>
      <c r="K136" s="162">
        <v>70</v>
      </c>
      <c r="L136" s="162">
        <v>70</v>
      </c>
      <c r="M136" s="162">
        <v>120</v>
      </c>
      <c r="N136" s="162">
        <v>52</v>
      </c>
      <c r="O136" s="162">
        <v>56</v>
      </c>
      <c r="P136" s="162">
        <v>58</v>
      </c>
      <c r="Q136" s="162">
        <v>87</v>
      </c>
      <c r="R136" s="162">
        <v>67</v>
      </c>
      <c r="S136" s="162">
        <v>102</v>
      </c>
      <c r="T136" s="162">
        <v>78</v>
      </c>
      <c r="U136" s="162">
        <v>65</v>
      </c>
      <c r="V136" s="162">
        <v>74</v>
      </c>
      <c r="W136" s="162">
        <v>78</v>
      </c>
      <c r="X136" s="162">
        <v>75</v>
      </c>
      <c r="Y136" s="162">
        <v>75</v>
      </c>
      <c r="Z136" s="162">
        <v>96</v>
      </c>
      <c r="AA136" s="162">
        <v>100</v>
      </c>
      <c r="AB136" s="162">
        <v>59</v>
      </c>
      <c r="AC136" s="162">
        <v>88</v>
      </c>
      <c r="AD136" s="162">
        <v>79</v>
      </c>
      <c r="AE136" s="162">
        <v>92</v>
      </c>
      <c r="AF136" s="161">
        <v>61</v>
      </c>
      <c r="AG136" s="64">
        <f t="shared" si="19"/>
        <v>2361</v>
      </c>
    </row>
    <row r="137" spans="1:35" ht="18.75" x14ac:dyDescent="0.25">
      <c r="A137" s="323" t="s">
        <v>63</v>
      </c>
      <c r="B137" s="249">
        <v>4</v>
      </c>
      <c r="C137" s="162">
        <v>2</v>
      </c>
      <c r="D137" s="162">
        <v>3</v>
      </c>
      <c r="E137" s="162"/>
      <c r="F137" s="162">
        <v>1</v>
      </c>
      <c r="G137" s="162">
        <v>2</v>
      </c>
      <c r="H137" s="162">
        <v>5</v>
      </c>
      <c r="I137" s="162">
        <v>3</v>
      </c>
      <c r="J137" s="162">
        <f>5+1</f>
        <v>6</v>
      </c>
      <c r="K137" s="162">
        <v>4</v>
      </c>
      <c r="L137" s="162">
        <v>5</v>
      </c>
      <c r="M137" s="162">
        <v>3</v>
      </c>
      <c r="N137" s="162">
        <v>1</v>
      </c>
      <c r="O137" s="162">
        <v>5</v>
      </c>
      <c r="P137" s="162">
        <v>2</v>
      </c>
      <c r="Q137" s="162">
        <f>3+1</f>
        <v>4</v>
      </c>
      <c r="R137" s="162">
        <f>4+1</f>
        <v>5</v>
      </c>
      <c r="S137" s="162"/>
      <c r="T137" s="162">
        <v>1</v>
      </c>
      <c r="U137" s="162">
        <v>6</v>
      </c>
      <c r="V137" s="162">
        <v>4</v>
      </c>
      <c r="W137" s="162"/>
      <c r="X137" s="162">
        <v>4</v>
      </c>
      <c r="Y137" s="162">
        <f>5+2</f>
        <v>7</v>
      </c>
      <c r="Z137" s="162">
        <f>3+1</f>
        <v>4</v>
      </c>
      <c r="AA137" s="162">
        <v>1</v>
      </c>
      <c r="AB137" s="162">
        <f>6+1</f>
        <v>7</v>
      </c>
      <c r="AC137" s="162">
        <v>5</v>
      </c>
      <c r="AD137" s="162"/>
      <c r="AE137" s="162">
        <f>1+1</f>
        <v>2</v>
      </c>
      <c r="AF137" s="161">
        <v>3</v>
      </c>
      <c r="AG137" s="64">
        <f t="shared" si="19"/>
        <v>99</v>
      </c>
    </row>
    <row r="138" spans="1:35" ht="18.75" x14ac:dyDescent="0.25">
      <c r="A138" s="323" t="s">
        <v>62</v>
      </c>
      <c r="B138" s="249">
        <v>1</v>
      </c>
      <c r="C138" s="162">
        <v>1</v>
      </c>
      <c r="D138" s="162">
        <v>1</v>
      </c>
      <c r="E138" s="162"/>
      <c r="F138" s="162"/>
      <c r="G138" s="162">
        <v>1</v>
      </c>
      <c r="H138" s="162">
        <v>2</v>
      </c>
      <c r="I138" s="162"/>
      <c r="J138" s="162">
        <v>1</v>
      </c>
      <c r="K138" s="162">
        <v>1</v>
      </c>
      <c r="L138" s="162"/>
      <c r="M138" s="162"/>
      <c r="N138" s="162"/>
      <c r="O138" s="162">
        <v>1</v>
      </c>
      <c r="P138" s="162"/>
      <c r="Q138" s="162">
        <v>5</v>
      </c>
      <c r="R138" s="162">
        <v>2</v>
      </c>
      <c r="S138" s="162">
        <v>2</v>
      </c>
      <c r="T138" s="162"/>
      <c r="U138" s="162"/>
      <c r="V138" s="162">
        <v>1</v>
      </c>
      <c r="W138" s="162"/>
      <c r="X138" s="162">
        <v>1</v>
      </c>
      <c r="Y138" s="162">
        <v>4</v>
      </c>
      <c r="Z138" s="162">
        <v>1</v>
      </c>
      <c r="AA138" s="162"/>
      <c r="AB138" s="162">
        <v>1</v>
      </c>
      <c r="AC138" s="162"/>
      <c r="AD138" s="162">
        <v>1</v>
      </c>
      <c r="AE138" s="162"/>
      <c r="AF138" s="161">
        <v>2</v>
      </c>
      <c r="AG138" s="64">
        <f t="shared" si="19"/>
        <v>29</v>
      </c>
    </row>
    <row r="139" spans="1:35" ht="18.75" x14ac:dyDescent="0.25">
      <c r="A139" s="301" t="s">
        <v>60</v>
      </c>
      <c r="B139" s="249">
        <v>1</v>
      </c>
      <c r="C139" s="162">
        <v>2</v>
      </c>
      <c r="D139" s="162">
        <v>1</v>
      </c>
      <c r="E139" s="162">
        <v>2</v>
      </c>
      <c r="F139" s="162">
        <v>3</v>
      </c>
      <c r="G139" s="162"/>
      <c r="H139" s="162"/>
      <c r="I139" s="162">
        <v>1</v>
      </c>
      <c r="J139" s="162">
        <v>1</v>
      </c>
      <c r="K139" s="162">
        <v>3</v>
      </c>
      <c r="L139" s="162">
        <v>2</v>
      </c>
      <c r="M139" s="162"/>
      <c r="N139" s="162">
        <v>1</v>
      </c>
      <c r="O139" s="162">
        <v>1</v>
      </c>
      <c r="P139" s="162">
        <v>2</v>
      </c>
      <c r="Q139" s="162">
        <v>2</v>
      </c>
      <c r="R139" s="162">
        <v>1</v>
      </c>
      <c r="S139" s="162">
        <v>1</v>
      </c>
      <c r="T139" s="162">
        <v>1</v>
      </c>
      <c r="U139" s="162"/>
      <c r="V139" s="162">
        <v>1</v>
      </c>
      <c r="W139" s="162">
        <v>2</v>
      </c>
      <c r="X139" s="162"/>
      <c r="Y139" s="162">
        <v>1</v>
      </c>
      <c r="Z139" s="162">
        <v>1</v>
      </c>
      <c r="AA139" s="162"/>
      <c r="AB139" s="162"/>
      <c r="AC139" s="162">
        <v>3</v>
      </c>
      <c r="AD139" s="162">
        <f>1</f>
        <v>1</v>
      </c>
      <c r="AE139" s="162">
        <v>1</v>
      </c>
      <c r="AF139" s="161">
        <f>3+4</f>
        <v>7</v>
      </c>
      <c r="AG139" s="64">
        <f t="shared" si="19"/>
        <v>42</v>
      </c>
    </row>
    <row r="140" spans="1:35" ht="18.75" x14ac:dyDescent="0.25">
      <c r="A140" s="301" t="s">
        <v>59</v>
      </c>
      <c r="B140" s="249">
        <v>3</v>
      </c>
      <c r="C140" s="162">
        <v>3</v>
      </c>
      <c r="D140" s="162">
        <v>1</v>
      </c>
      <c r="E140" s="162">
        <v>1</v>
      </c>
      <c r="F140" s="162"/>
      <c r="G140" s="162">
        <v>1</v>
      </c>
      <c r="H140" s="162">
        <v>2</v>
      </c>
      <c r="I140" s="162">
        <v>3</v>
      </c>
      <c r="J140" s="162"/>
      <c r="K140" s="162">
        <v>1</v>
      </c>
      <c r="L140" s="162">
        <v>2</v>
      </c>
      <c r="M140" s="162"/>
      <c r="N140" s="162">
        <v>2</v>
      </c>
      <c r="O140" s="162">
        <v>1</v>
      </c>
      <c r="P140" s="162">
        <v>1</v>
      </c>
      <c r="Q140" s="162">
        <v>2</v>
      </c>
      <c r="R140" s="162">
        <v>2</v>
      </c>
      <c r="S140" s="162">
        <v>3</v>
      </c>
      <c r="T140" s="162">
        <v>1</v>
      </c>
      <c r="U140" s="162">
        <v>1</v>
      </c>
      <c r="V140" s="162">
        <v>2</v>
      </c>
      <c r="W140" s="162">
        <v>1</v>
      </c>
      <c r="X140" s="162">
        <v>2</v>
      </c>
      <c r="Y140" s="162">
        <v>2</v>
      </c>
      <c r="Z140" s="162">
        <v>1</v>
      </c>
      <c r="AA140" s="162">
        <v>2</v>
      </c>
      <c r="AB140" s="162">
        <v>1</v>
      </c>
      <c r="AC140" s="162">
        <v>1</v>
      </c>
      <c r="AD140" s="162">
        <v>3</v>
      </c>
      <c r="AE140" s="162"/>
      <c r="AF140" s="161">
        <v>1</v>
      </c>
      <c r="AG140" s="64">
        <f t="shared" si="19"/>
        <v>46</v>
      </c>
    </row>
    <row r="141" spans="1:35" ht="18.75" x14ac:dyDescent="0.25">
      <c r="A141" s="301" t="s">
        <v>58</v>
      </c>
      <c r="B141" s="249"/>
      <c r="C141" s="162"/>
      <c r="D141" s="162"/>
      <c r="E141" s="162"/>
      <c r="F141" s="162">
        <v>1</v>
      </c>
      <c r="G141" s="162"/>
      <c r="H141" s="162"/>
      <c r="I141" s="162"/>
      <c r="J141" s="162"/>
      <c r="K141" s="162">
        <v>2</v>
      </c>
      <c r="L141" s="162">
        <v>1</v>
      </c>
      <c r="M141" s="162"/>
      <c r="N141" s="162">
        <v>1</v>
      </c>
      <c r="O141" s="162">
        <v>1</v>
      </c>
      <c r="P141" s="162"/>
      <c r="Q141" s="162"/>
      <c r="R141" s="162"/>
      <c r="S141" s="162">
        <v>1</v>
      </c>
      <c r="T141" s="162"/>
      <c r="U141" s="162"/>
      <c r="V141" s="162">
        <v>1</v>
      </c>
      <c r="W141" s="162"/>
      <c r="X141" s="162"/>
      <c r="Y141" s="162">
        <v>1</v>
      </c>
      <c r="Z141" s="162"/>
      <c r="AA141" s="162">
        <v>2</v>
      </c>
      <c r="AB141" s="162"/>
      <c r="AC141" s="162"/>
      <c r="AD141" s="162"/>
      <c r="AE141" s="162"/>
      <c r="AF141" s="161">
        <v>2</v>
      </c>
      <c r="AG141" s="64">
        <f t="shared" si="19"/>
        <v>13</v>
      </c>
    </row>
    <row r="142" spans="1:35" ht="18.75" x14ac:dyDescent="0.25">
      <c r="A142" s="323" t="s">
        <v>88</v>
      </c>
      <c r="B142" s="249">
        <f>1+1+1+1</f>
        <v>4</v>
      </c>
      <c r="C142" s="162">
        <f>1+1+1+1+1+1+1+3</f>
        <v>10</v>
      </c>
      <c r="D142" s="162">
        <f>1+1+2+1</f>
        <v>5</v>
      </c>
      <c r="E142" s="162">
        <f>2</f>
        <v>2</v>
      </c>
      <c r="F142" s="162">
        <f>1+1+1+1+1+1</f>
        <v>6</v>
      </c>
      <c r="G142" s="162">
        <f>2+1+1+1+1</f>
        <v>6</v>
      </c>
      <c r="H142" s="162">
        <f>1+1+1+1</f>
        <v>4</v>
      </c>
      <c r="I142" s="162">
        <f>1+1</f>
        <v>2</v>
      </c>
      <c r="J142" s="162">
        <f>1+1+1+1+1</f>
        <v>5</v>
      </c>
      <c r="K142" s="162">
        <f>2+1+1+1+1</f>
        <v>6</v>
      </c>
      <c r="L142" s="162">
        <f>2+2+1+2</f>
        <v>7</v>
      </c>
      <c r="M142" s="162">
        <f>1+1+1</f>
        <v>3</v>
      </c>
      <c r="N142" s="162">
        <f>1+1+1+1+2</f>
        <v>6</v>
      </c>
      <c r="O142" s="162">
        <f>1+1+1+2+1</f>
        <v>6</v>
      </c>
      <c r="P142" s="162">
        <f>1+1+1+1</f>
        <v>4</v>
      </c>
      <c r="Q142" s="162">
        <f>1</f>
        <v>1</v>
      </c>
      <c r="R142" s="162">
        <f>3+1+1+2+1+2+2</f>
        <v>12</v>
      </c>
      <c r="S142" s="162">
        <f>1+1+1</f>
        <v>3</v>
      </c>
      <c r="T142" s="162">
        <f>1+1</f>
        <v>2</v>
      </c>
      <c r="U142" s="162">
        <f>2+2+1+1+2+2</f>
        <v>10</v>
      </c>
      <c r="V142" s="162">
        <f>1</f>
        <v>1</v>
      </c>
      <c r="W142" s="162">
        <v>1</v>
      </c>
      <c r="X142" s="162">
        <f>1+1+2</f>
        <v>4</v>
      </c>
      <c r="Y142" s="162">
        <f>1+2+1+1+1+1</f>
        <v>7</v>
      </c>
      <c r="Z142" s="162">
        <f>1</f>
        <v>1</v>
      </c>
      <c r="AA142" s="162">
        <f>1+1+2</f>
        <v>4</v>
      </c>
      <c r="AB142" s="162">
        <f>2</f>
        <v>2</v>
      </c>
      <c r="AC142" s="162">
        <f>1+2+1</f>
        <v>4</v>
      </c>
      <c r="AD142" s="162">
        <f>1+1+2+1</f>
        <v>5</v>
      </c>
      <c r="AE142" s="162">
        <f>1+1+1+1+1+1+1</f>
        <v>7</v>
      </c>
      <c r="AF142" s="161">
        <f>1+2+1+1</f>
        <v>5</v>
      </c>
      <c r="AG142" s="64">
        <f t="shared" si="19"/>
        <v>145</v>
      </c>
    </row>
    <row r="143" spans="1:35" ht="19.5" thickBot="1" x14ac:dyDescent="0.3">
      <c r="A143" s="324" t="s">
        <v>87</v>
      </c>
      <c r="B143" s="263">
        <f>4+1</f>
        <v>5</v>
      </c>
      <c r="C143" s="140">
        <f>8+3</f>
        <v>11</v>
      </c>
      <c r="D143" s="140">
        <f>8+4</f>
        <v>12</v>
      </c>
      <c r="E143" s="140">
        <f>6+1+1</f>
        <v>8</v>
      </c>
      <c r="F143" s="140">
        <f>7+1+4</f>
        <v>12</v>
      </c>
      <c r="G143" s="140">
        <f>5+4</f>
        <v>9</v>
      </c>
      <c r="H143" s="140">
        <f>9+2</f>
        <v>11</v>
      </c>
      <c r="I143" s="140">
        <f>6+3</f>
        <v>9</v>
      </c>
      <c r="J143" s="140">
        <f>11+1+2</f>
        <v>14</v>
      </c>
      <c r="K143" s="140">
        <f>8+1</f>
        <v>9</v>
      </c>
      <c r="L143" s="140">
        <f>8+11</f>
        <v>19</v>
      </c>
      <c r="M143" s="140">
        <f>8+1</f>
        <v>9</v>
      </c>
      <c r="N143" s="140">
        <f>6+4</f>
        <v>10</v>
      </c>
      <c r="O143" s="140">
        <f>6+5</f>
        <v>11</v>
      </c>
      <c r="P143" s="140">
        <f>1+2</f>
        <v>3</v>
      </c>
      <c r="Q143" s="140">
        <f>13+2</f>
        <v>15</v>
      </c>
      <c r="R143" s="140">
        <f>22+4</f>
        <v>26</v>
      </c>
      <c r="S143" s="140">
        <f>7+2</f>
        <v>9</v>
      </c>
      <c r="T143" s="140">
        <f>6+5</f>
        <v>11</v>
      </c>
      <c r="U143" s="140">
        <f>7+7</f>
        <v>14</v>
      </c>
      <c r="V143" s="140">
        <f>7+4</f>
        <v>11</v>
      </c>
      <c r="W143" s="140">
        <f>8+2</f>
        <v>10</v>
      </c>
      <c r="X143" s="140">
        <f>8+4</f>
        <v>12</v>
      </c>
      <c r="Y143" s="140">
        <f>13+3</f>
        <v>16</v>
      </c>
      <c r="Z143" s="140">
        <f>11+3</f>
        <v>14</v>
      </c>
      <c r="AA143" s="140">
        <f>11+1</f>
        <v>12</v>
      </c>
      <c r="AB143" s="140">
        <f>13+2</f>
        <v>15</v>
      </c>
      <c r="AC143" s="140">
        <f>8+1+2</f>
        <v>11</v>
      </c>
      <c r="AD143" s="140">
        <f>8+6</f>
        <v>14</v>
      </c>
      <c r="AE143" s="140">
        <f>7+1+2</f>
        <v>10</v>
      </c>
      <c r="AF143" s="139">
        <f>4+6</f>
        <v>10</v>
      </c>
      <c r="AG143" s="160">
        <f t="shared" si="19"/>
        <v>362</v>
      </c>
    </row>
    <row r="144" spans="1:35" ht="19.5" thickBot="1" x14ac:dyDescent="0.3">
      <c r="A144" s="309" t="s">
        <v>86</v>
      </c>
      <c r="B144" s="257">
        <f t="shared" ref="B144:AF144" si="20">+B146+B156+B158+B167</f>
        <v>113</v>
      </c>
      <c r="C144" s="158">
        <f t="shared" si="20"/>
        <v>112</v>
      </c>
      <c r="D144" s="158">
        <f t="shared" si="20"/>
        <v>154</v>
      </c>
      <c r="E144" s="158">
        <f t="shared" si="20"/>
        <v>148</v>
      </c>
      <c r="F144" s="158">
        <f t="shared" si="20"/>
        <v>153</v>
      </c>
      <c r="G144" s="158">
        <f t="shared" si="20"/>
        <v>143</v>
      </c>
      <c r="H144" s="158">
        <f t="shared" si="20"/>
        <v>128</v>
      </c>
      <c r="I144" s="158">
        <f t="shared" si="20"/>
        <v>126</v>
      </c>
      <c r="J144" s="158">
        <f t="shared" si="20"/>
        <v>131</v>
      </c>
      <c r="K144" s="158">
        <f t="shared" si="20"/>
        <v>146</v>
      </c>
      <c r="L144" s="158">
        <f t="shared" si="20"/>
        <v>173</v>
      </c>
      <c r="M144" s="158">
        <f t="shared" si="20"/>
        <v>157</v>
      </c>
      <c r="N144" s="158">
        <f t="shared" si="20"/>
        <v>132</v>
      </c>
      <c r="O144" s="158">
        <f t="shared" si="20"/>
        <v>137</v>
      </c>
      <c r="P144" s="158">
        <f t="shared" si="20"/>
        <v>119</v>
      </c>
      <c r="Q144" s="158">
        <f t="shared" si="20"/>
        <v>179</v>
      </c>
      <c r="R144" s="158">
        <f t="shared" si="20"/>
        <v>180</v>
      </c>
      <c r="S144" s="158">
        <f t="shared" si="20"/>
        <v>151</v>
      </c>
      <c r="T144" s="158">
        <f t="shared" si="20"/>
        <v>143</v>
      </c>
      <c r="U144" s="158">
        <f t="shared" si="20"/>
        <v>157</v>
      </c>
      <c r="V144" s="158">
        <f t="shared" si="20"/>
        <v>144</v>
      </c>
      <c r="W144" s="158">
        <f t="shared" si="20"/>
        <v>143</v>
      </c>
      <c r="X144" s="158">
        <f t="shared" si="20"/>
        <v>167</v>
      </c>
      <c r="Y144" s="158">
        <f t="shared" si="20"/>
        <v>172</v>
      </c>
      <c r="Z144" s="158">
        <f t="shared" si="20"/>
        <v>147</v>
      </c>
      <c r="AA144" s="158">
        <f t="shared" si="20"/>
        <v>138</v>
      </c>
      <c r="AB144" s="158">
        <f t="shared" si="20"/>
        <v>152</v>
      </c>
      <c r="AC144" s="158">
        <f t="shared" si="20"/>
        <v>152</v>
      </c>
      <c r="AD144" s="158">
        <f t="shared" si="20"/>
        <v>147</v>
      </c>
      <c r="AE144" s="158">
        <f t="shared" si="20"/>
        <v>152</v>
      </c>
      <c r="AF144" s="158">
        <f t="shared" si="20"/>
        <v>153</v>
      </c>
      <c r="AG144" s="157">
        <f t="shared" si="19"/>
        <v>4549</v>
      </c>
      <c r="AH144" s="85" t="str">
        <f>IF(AG144&lt;&gt;AG93,"*","")</f>
        <v/>
      </c>
      <c r="AI144" t="s">
        <v>85</v>
      </c>
    </row>
    <row r="145" spans="1:34" ht="19.5" thickBot="1" x14ac:dyDescent="0.3">
      <c r="A145" s="325" t="s">
        <v>84</v>
      </c>
      <c r="B145" s="264">
        <f t="shared" ref="B145:AF145" si="21">+B149+B155+B157+B172</f>
        <v>5</v>
      </c>
      <c r="C145" s="155">
        <f t="shared" si="21"/>
        <v>0</v>
      </c>
      <c r="D145" s="155">
        <f t="shared" si="21"/>
        <v>1</v>
      </c>
      <c r="E145" s="155">
        <f t="shared" si="21"/>
        <v>11</v>
      </c>
      <c r="F145" s="155">
        <f t="shared" si="21"/>
        <v>4</v>
      </c>
      <c r="G145" s="155">
        <f t="shared" si="21"/>
        <v>9</v>
      </c>
      <c r="H145" s="155">
        <f t="shared" si="21"/>
        <v>6</v>
      </c>
      <c r="I145" s="155">
        <f t="shared" si="21"/>
        <v>4</v>
      </c>
      <c r="J145" s="155">
        <f t="shared" si="21"/>
        <v>3</v>
      </c>
      <c r="K145" s="155">
        <f t="shared" si="21"/>
        <v>6</v>
      </c>
      <c r="L145" s="155">
        <f t="shared" si="21"/>
        <v>3</v>
      </c>
      <c r="M145" s="155">
        <f t="shared" si="21"/>
        <v>23</v>
      </c>
      <c r="N145" s="155">
        <f t="shared" si="21"/>
        <v>4</v>
      </c>
      <c r="O145" s="155">
        <f t="shared" si="21"/>
        <v>9</v>
      </c>
      <c r="P145" s="155">
        <f t="shared" si="21"/>
        <v>3</v>
      </c>
      <c r="Q145" s="155">
        <f t="shared" si="21"/>
        <v>1</v>
      </c>
      <c r="R145" s="155">
        <f t="shared" si="21"/>
        <v>1</v>
      </c>
      <c r="S145" s="155">
        <f t="shared" si="21"/>
        <v>13</v>
      </c>
      <c r="T145" s="155">
        <f t="shared" si="21"/>
        <v>9</v>
      </c>
      <c r="U145" s="155">
        <f t="shared" si="21"/>
        <v>17</v>
      </c>
      <c r="V145" s="155">
        <f t="shared" si="21"/>
        <v>14</v>
      </c>
      <c r="W145" s="155">
        <f t="shared" si="21"/>
        <v>4</v>
      </c>
      <c r="X145" s="155">
        <f t="shared" si="21"/>
        <v>3</v>
      </c>
      <c r="Y145" s="155">
        <f t="shared" si="21"/>
        <v>1</v>
      </c>
      <c r="Z145" s="155">
        <f t="shared" si="21"/>
        <v>28</v>
      </c>
      <c r="AA145" s="155">
        <f t="shared" si="21"/>
        <v>1</v>
      </c>
      <c r="AB145" s="155">
        <f t="shared" si="21"/>
        <v>3</v>
      </c>
      <c r="AC145" s="155">
        <f t="shared" si="21"/>
        <v>7</v>
      </c>
      <c r="AD145" s="155">
        <f t="shared" si="21"/>
        <v>11</v>
      </c>
      <c r="AE145" s="155">
        <f t="shared" si="21"/>
        <v>5</v>
      </c>
      <c r="AF145" s="154">
        <f t="shared" si="21"/>
        <v>1</v>
      </c>
      <c r="AG145" s="153">
        <f t="shared" si="19"/>
        <v>210</v>
      </c>
      <c r="AH145" s="152"/>
    </row>
    <row r="146" spans="1:34" ht="19.5" thickBot="1" x14ac:dyDescent="0.3">
      <c r="A146" s="326" t="s">
        <v>83</v>
      </c>
      <c r="B146" s="265">
        <f t="shared" ref="B146:AG147" si="22">+B148+B154</f>
        <v>0</v>
      </c>
      <c r="C146" s="8">
        <f t="shared" si="22"/>
        <v>0</v>
      </c>
      <c r="D146" s="8">
        <f t="shared" si="22"/>
        <v>0</v>
      </c>
      <c r="E146" s="8">
        <f t="shared" si="22"/>
        <v>0</v>
      </c>
      <c r="F146" s="8">
        <f t="shared" si="22"/>
        <v>0</v>
      </c>
      <c r="G146" s="8">
        <f t="shared" si="22"/>
        <v>0</v>
      </c>
      <c r="H146" s="8">
        <f t="shared" si="22"/>
        <v>0</v>
      </c>
      <c r="I146" s="8">
        <f t="shared" si="22"/>
        <v>0</v>
      </c>
      <c r="J146" s="8">
        <f t="shared" si="22"/>
        <v>0</v>
      </c>
      <c r="K146" s="8">
        <f t="shared" si="22"/>
        <v>0</v>
      </c>
      <c r="L146" s="8">
        <f t="shared" si="22"/>
        <v>0</v>
      </c>
      <c r="M146" s="8">
        <f t="shared" si="22"/>
        <v>0</v>
      </c>
      <c r="N146" s="8">
        <f t="shared" si="22"/>
        <v>2</v>
      </c>
      <c r="O146" s="8">
        <f t="shared" si="22"/>
        <v>0</v>
      </c>
      <c r="P146" s="8">
        <f t="shared" si="22"/>
        <v>0</v>
      </c>
      <c r="Q146" s="8">
        <f t="shared" si="22"/>
        <v>0</v>
      </c>
      <c r="R146" s="8">
        <f t="shared" si="22"/>
        <v>0</v>
      </c>
      <c r="S146" s="8">
        <f t="shared" si="22"/>
        <v>0</v>
      </c>
      <c r="T146" s="8">
        <f t="shared" si="22"/>
        <v>0</v>
      </c>
      <c r="U146" s="8">
        <f t="shared" si="22"/>
        <v>0</v>
      </c>
      <c r="V146" s="8">
        <f t="shared" si="22"/>
        <v>0</v>
      </c>
      <c r="W146" s="8">
        <f t="shared" si="22"/>
        <v>0</v>
      </c>
      <c r="X146" s="8">
        <f t="shared" si="22"/>
        <v>0</v>
      </c>
      <c r="Y146" s="8">
        <f t="shared" si="22"/>
        <v>0</v>
      </c>
      <c r="Z146" s="8">
        <f t="shared" si="22"/>
        <v>0</v>
      </c>
      <c r="AA146" s="8">
        <f t="shared" si="22"/>
        <v>0</v>
      </c>
      <c r="AB146" s="8">
        <f t="shared" si="22"/>
        <v>0</v>
      </c>
      <c r="AC146" s="8">
        <f t="shared" si="22"/>
        <v>0</v>
      </c>
      <c r="AD146" s="8">
        <f t="shared" si="22"/>
        <v>0</v>
      </c>
      <c r="AE146" s="8">
        <f t="shared" si="22"/>
        <v>0</v>
      </c>
      <c r="AF146" s="150">
        <f t="shared" si="22"/>
        <v>0</v>
      </c>
      <c r="AG146" s="149">
        <f t="shared" si="22"/>
        <v>2</v>
      </c>
    </row>
    <row r="147" spans="1:34" ht="19.5" thickBot="1" x14ac:dyDescent="0.3">
      <c r="A147" s="327" t="s">
        <v>82</v>
      </c>
      <c r="B147" s="266">
        <f t="shared" si="22"/>
        <v>0</v>
      </c>
      <c r="C147" s="143">
        <f t="shared" si="22"/>
        <v>0</v>
      </c>
      <c r="D147" s="143">
        <f t="shared" si="22"/>
        <v>0</v>
      </c>
      <c r="E147" s="143">
        <f t="shared" si="22"/>
        <v>0</v>
      </c>
      <c r="F147" s="143">
        <f t="shared" si="22"/>
        <v>0</v>
      </c>
      <c r="G147" s="143">
        <f t="shared" si="22"/>
        <v>0</v>
      </c>
      <c r="H147" s="143">
        <f t="shared" si="22"/>
        <v>0</v>
      </c>
      <c r="I147" s="143">
        <f t="shared" si="22"/>
        <v>0</v>
      </c>
      <c r="J147" s="143">
        <f t="shared" si="22"/>
        <v>0</v>
      </c>
      <c r="K147" s="143">
        <f t="shared" si="22"/>
        <v>0</v>
      </c>
      <c r="L147" s="143">
        <f t="shared" si="22"/>
        <v>0</v>
      </c>
      <c r="M147" s="143">
        <f t="shared" si="22"/>
        <v>0</v>
      </c>
      <c r="N147" s="143">
        <f t="shared" si="22"/>
        <v>0</v>
      </c>
      <c r="O147" s="143">
        <f t="shared" si="22"/>
        <v>0</v>
      </c>
      <c r="P147" s="143">
        <f t="shared" si="22"/>
        <v>0</v>
      </c>
      <c r="Q147" s="143">
        <f t="shared" si="22"/>
        <v>0</v>
      </c>
      <c r="R147" s="143">
        <f t="shared" si="22"/>
        <v>0</v>
      </c>
      <c r="S147" s="143">
        <f t="shared" si="22"/>
        <v>0</v>
      </c>
      <c r="T147" s="143">
        <f t="shared" si="22"/>
        <v>0</v>
      </c>
      <c r="U147" s="143">
        <f t="shared" si="22"/>
        <v>0</v>
      </c>
      <c r="V147" s="143">
        <f t="shared" si="22"/>
        <v>0</v>
      </c>
      <c r="W147" s="143">
        <f t="shared" si="22"/>
        <v>0</v>
      </c>
      <c r="X147" s="143">
        <f t="shared" si="22"/>
        <v>0</v>
      </c>
      <c r="Y147" s="143">
        <f t="shared" si="22"/>
        <v>0</v>
      </c>
      <c r="Z147" s="143">
        <f t="shared" si="22"/>
        <v>0</v>
      </c>
      <c r="AA147" s="143">
        <f t="shared" si="22"/>
        <v>0</v>
      </c>
      <c r="AB147" s="143">
        <f t="shared" si="22"/>
        <v>0</v>
      </c>
      <c r="AC147" s="143">
        <f t="shared" si="22"/>
        <v>0</v>
      </c>
      <c r="AD147" s="143">
        <f t="shared" si="22"/>
        <v>0</v>
      </c>
      <c r="AE147" s="143">
        <f t="shared" si="22"/>
        <v>0</v>
      </c>
      <c r="AF147" s="142"/>
      <c r="AG147" s="86">
        <f t="shared" ref="AG147:AG179" si="23">SUM(B147:AF147)</f>
        <v>0</v>
      </c>
    </row>
    <row r="148" spans="1:34" ht="19.5" thickBot="1" x14ac:dyDescent="0.3">
      <c r="A148" s="328" t="s">
        <v>81</v>
      </c>
      <c r="B148" s="267">
        <f t="shared" ref="B148:AF148" si="24">SUM(B150:B153)</f>
        <v>0</v>
      </c>
      <c r="C148" s="147">
        <f t="shared" si="24"/>
        <v>0</v>
      </c>
      <c r="D148" s="147">
        <f t="shared" si="24"/>
        <v>0</v>
      </c>
      <c r="E148" s="147">
        <f t="shared" si="24"/>
        <v>0</v>
      </c>
      <c r="F148" s="147">
        <f t="shared" si="24"/>
        <v>0</v>
      </c>
      <c r="G148" s="147">
        <f t="shared" si="24"/>
        <v>0</v>
      </c>
      <c r="H148" s="147">
        <f t="shared" si="24"/>
        <v>0</v>
      </c>
      <c r="I148" s="147">
        <f t="shared" si="24"/>
        <v>0</v>
      </c>
      <c r="J148" s="147">
        <f t="shared" si="24"/>
        <v>0</v>
      </c>
      <c r="K148" s="147">
        <f t="shared" si="24"/>
        <v>0</v>
      </c>
      <c r="L148" s="147">
        <f t="shared" si="24"/>
        <v>0</v>
      </c>
      <c r="M148" s="147">
        <f t="shared" si="24"/>
        <v>0</v>
      </c>
      <c r="N148" s="147">
        <f t="shared" si="24"/>
        <v>0</v>
      </c>
      <c r="O148" s="147">
        <f t="shared" si="24"/>
        <v>0</v>
      </c>
      <c r="P148" s="147">
        <f t="shared" si="24"/>
        <v>0</v>
      </c>
      <c r="Q148" s="147">
        <f t="shared" si="24"/>
        <v>0</v>
      </c>
      <c r="R148" s="147">
        <f t="shared" si="24"/>
        <v>0</v>
      </c>
      <c r="S148" s="147">
        <f t="shared" si="24"/>
        <v>0</v>
      </c>
      <c r="T148" s="147">
        <f t="shared" si="24"/>
        <v>0</v>
      </c>
      <c r="U148" s="147">
        <f t="shared" si="24"/>
        <v>0</v>
      </c>
      <c r="V148" s="147">
        <f t="shared" si="24"/>
        <v>0</v>
      </c>
      <c r="W148" s="147">
        <f t="shared" si="24"/>
        <v>0</v>
      </c>
      <c r="X148" s="147">
        <f t="shared" si="24"/>
        <v>0</v>
      </c>
      <c r="Y148" s="147">
        <f t="shared" si="24"/>
        <v>0</v>
      </c>
      <c r="Z148" s="147">
        <f t="shared" si="24"/>
        <v>0</v>
      </c>
      <c r="AA148" s="147">
        <f t="shared" si="24"/>
        <v>0</v>
      </c>
      <c r="AB148" s="147">
        <f t="shared" si="24"/>
        <v>0</v>
      </c>
      <c r="AC148" s="147">
        <f t="shared" si="24"/>
        <v>0</v>
      </c>
      <c r="AD148" s="147">
        <f t="shared" si="24"/>
        <v>0</v>
      </c>
      <c r="AE148" s="147">
        <f t="shared" si="24"/>
        <v>0</v>
      </c>
      <c r="AF148" s="146">
        <f t="shared" si="24"/>
        <v>0</v>
      </c>
      <c r="AG148" s="145">
        <f t="shared" si="23"/>
        <v>0</v>
      </c>
    </row>
    <row r="149" spans="1:34" ht="19.5" thickBot="1" x14ac:dyDescent="0.3">
      <c r="A149" s="327" t="s">
        <v>80</v>
      </c>
      <c r="B149" s="266"/>
      <c r="C149" s="143"/>
      <c r="D149" s="143"/>
      <c r="E149" s="143"/>
      <c r="F149" s="143"/>
      <c r="G149" s="143"/>
      <c r="H149" s="143"/>
      <c r="I149" s="143"/>
      <c r="J149" s="143"/>
      <c r="K149" s="143"/>
      <c r="L149" s="143"/>
      <c r="M149" s="143"/>
      <c r="N149" s="143"/>
      <c r="O149" s="143"/>
      <c r="P149" s="143"/>
      <c r="Q149" s="143"/>
      <c r="R149" s="143"/>
      <c r="S149" s="143"/>
      <c r="T149" s="143"/>
      <c r="U149" s="143"/>
      <c r="V149" s="143"/>
      <c r="W149" s="143"/>
      <c r="X149" s="143"/>
      <c r="Y149" s="143"/>
      <c r="Z149" s="143"/>
      <c r="AA149" s="143"/>
      <c r="AB149" s="143"/>
      <c r="AC149" s="143"/>
      <c r="AD149" s="143"/>
      <c r="AE149" s="143"/>
      <c r="AF149" s="142"/>
      <c r="AG149" s="86">
        <f t="shared" si="23"/>
        <v>0</v>
      </c>
    </row>
    <row r="150" spans="1:34" ht="18.75" x14ac:dyDescent="0.25">
      <c r="A150" s="329" t="s">
        <v>79</v>
      </c>
      <c r="B150" s="268"/>
      <c r="C150" s="136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5"/>
      <c r="AG150" s="134">
        <f t="shared" si="23"/>
        <v>0</v>
      </c>
    </row>
    <row r="151" spans="1:34" ht="18.75" x14ac:dyDescent="0.25">
      <c r="A151" s="330" t="s">
        <v>78</v>
      </c>
      <c r="B151" s="269"/>
      <c r="C151" s="130"/>
      <c r="D151" s="130"/>
      <c r="E151" s="130"/>
      <c r="F151" s="130"/>
      <c r="G151" s="130"/>
      <c r="H151" s="130"/>
      <c r="I151" s="130"/>
      <c r="J151" s="130"/>
      <c r="K151" s="130"/>
      <c r="L151" s="130"/>
      <c r="M151" s="130"/>
      <c r="N151" s="130"/>
      <c r="O151" s="130"/>
      <c r="P151" s="130"/>
      <c r="Q151" s="130"/>
      <c r="R151" s="130"/>
      <c r="S151" s="130"/>
      <c r="T151" s="130"/>
      <c r="U151" s="130"/>
      <c r="V151" s="130"/>
      <c r="W151" s="130"/>
      <c r="X151" s="130"/>
      <c r="Y151" s="130"/>
      <c r="Z151" s="130"/>
      <c r="AA151" s="130"/>
      <c r="AB151" s="130"/>
      <c r="AC151" s="130"/>
      <c r="AD151" s="130"/>
      <c r="AE151" s="130"/>
      <c r="AF151" s="129"/>
      <c r="AG151" s="64">
        <f t="shared" si="23"/>
        <v>0</v>
      </c>
    </row>
    <row r="152" spans="1:34" ht="18.75" x14ac:dyDescent="0.25">
      <c r="A152" s="330" t="s">
        <v>77</v>
      </c>
      <c r="B152" s="269"/>
      <c r="C152" s="130"/>
      <c r="D152" s="130"/>
      <c r="E152" s="130"/>
      <c r="F152" s="130"/>
      <c r="G152" s="130"/>
      <c r="H152" s="130"/>
      <c r="I152" s="130"/>
      <c r="J152" s="130"/>
      <c r="K152" s="130"/>
      <c r="L152" s="130"/>
      <c r="M152" s="130"/>
      <c r="N152" s="130"/>
      <c r="O152" s="130"/>
      <c r="P152" s="130"/>
      <c r="Q152" s="130"/>
      <c r="R152" s="130"/>
      <c r="S152" s="130"/>
      <c r="T152" s="130"/>
      <c r="U152" s="130"/>
      <c r="V152" s="130"/>
      <c r="W152" s="130"/>
      <c r="X152" s="130"/>
      <c r="Y152" s="130"/>
      <c r="Z152" s="130"/>
      <c r="AA152" s="130"/>
      <c r="AB152" s="130"/>
      <c r="AC152" s="130"/>
      <c r="AD152" s="130"/>
      <c r="AE152" s="130"/>
      <c r="AF152" s="129"/>
      <c r="AG152" s="64">
        <f t="shared" si="23"/>
        <v>0</v>
      </c>
    </row>
    <row r="153" spans="1:34" ht="19.5" thickBot="1" x14ac:dyDescent="0.3">
      <c r="A153" s="331" t="s">
        <v>76</v>
      </c>
      <c r="B153" s="270"/>
      <c r="C153" s="127"/>
      <c r="D153" s="127"/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  <c r="Y153" s="127"/>
      <c r="Z153" s="127"/>
      <c r="AA153" s="127"/>
      <c r="AB153" s="127"/>
      <c r="AC153" s="127"/>
      <c r="AD153" s="127"/>
      <c r="AE153" s="127"/>
      <c r="AF153" s="126"/>
      <c r="AG153" s="10">
        <f t="shared" si="23"/>
        <v>0</v>
      </c>
    </row>
    <row r="154" spans="1:34" ht="19.5" thickBot="1" x14ac:dyDescent="0.3">
      <c r="A154" s="328" t="s">
        <v>75</v>
      </c>
      <c r="B154" s="267"/>
      <c r="C154" s="147"/>
      <c r="D154" s="147"/>
      <c r="E154" s="147"/>
      <c r="F154" s="147"/>
      <c r="G154" s="147"/>
      <c r="H154" s="147"/>
      <c r="I154" s="147"/>
      <c r="J154" s="147"/>
      <c r="K154" s="147"/>
      <c r="L154" s="147"/>
      <c r="M154" s="147"/>
      <c r="N154" s="147">
        <v>2</v>
      </c>
      <c r="O154" s="147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  <c r="AA154" s="147"/>
      <c r="AB154" s="147"/>
      <c r="AC154" s="147"/>
      <c r="AD154" s="147"/>
      <c r="AE154" s="147"/>
      <c r="AF154" s="146"/>
      <c r="AG154" s="145">
        <f t="shared" si="23"/>
        <v>2</v>
      </c>
    </row>
    <row r="155" spans="1:34" ht="19.5" thickBot="1" x14ac:dyDescent="0.3">
      <c r="A155" s="327" t="s">
        <v>74</v>
      </c>
      <c r="B155" s="266"/>
      <c r="C155" s="143"/>
      <c r="D155" s="143"/>
      <c r="E155" s="143"/>
      <c r="F155" s="143"/>
      <c r="G155" s="143"/>
      <c r="H155" s="143"/>
      <c r="I155" s="143"/>
      <c r="J155" s="143"/>
      <c r="K155" s="143"/>
      <c r="L155" s="143"/>
      <c r="M155" s="143"/>
      <c r="N155" s="143"/>
      <c r="O155" s="143"/>
      <c r="P155" s="143"/>
      <c r="Q155" s="143"/>
      <c r="R155" s="143"/>
      <c r="S155" s="143"/>
      <c r="T155" s="143"/>
      <c r="U155" s="143"/>
      <c r="V155" s="143"/>
      <c r="W155" s="143"/>
      <c r="X155" s="143"/>
      <c r="Y155" s="143"/>
      <c r="Z155" s="143"/>
      <c r="AA155" s="143"/>
      <c r="AB155" s="143"/>
      <c r="AC155" s="143"/>
      <c r="AD155" s="143"/>
      <c r="AE155" s="143"/>
      <c r="AF155" s="142"/>
      <c r="AG155" s="86">
        <f t="shared" si="23"/>
        <v>0</v>
      </c>
    </row>
    <row r="156" spans="1:34" ht="18.75" x14ac:dyDescent="0.25">
      <c r="A156" s="332" t="s">
        <v>73</v>
      </c>
      <c r="B156" s="271">
        <v>112</v>
      </c>
      <c r="C156" s="18">
        <v>108</v>
      </c>
      <c r="D156" s="18">
        <v>154</v>
      </c>
      <c r="E156" s="18">
        <v>148</v>
      </c>
      <c r="F156" s="18">
        <v>152</v>
      </c>
      <c r="G156" s="18">
        <v>140</v>
      </c>
      <c r="H156" s="18">
        <v>126</v>
      </c>
      <c r="I156" s="18">
        <v>125</v>
      </c>
      <c r="J156" s="18">
        <v>130</v>
      </c>
      <c r="K156" s="18">
        <v>143</v>
      </c>
      <c r="L156" s="18">
        <v>173</v>
      </c>
      <c r="M156" s="18">
        <v>157</v>
      </c>
      <c r="N156" s="18">
        <v>129</v>
      </c>
      <c r="O156" s="18">
        <v>137</v>
      </c>
      <c r="P156" s="18">
        <v>119</v>
      </c>
      <c r="Q156" s="18">
        <v>178</v>
      </c>
      <c r="R156" s="18">
        <v>180</v>
      </c>
      <c r="S156" s="18">
        <v>151</v>
      </c>
      <c r="T156" s="18">
        <v>143</v>
      </c>
      <c r="U156" s="18">
        <v>156</v>
      </c>
      <c r="V156" s="18">
        <v>143</v>
      </c>
      <c r="W156" s="18">
        <v>143</v>
      </c>
      <c r="X156" s="18">
        <v>167</v>
      </c>
      <c r="Y156" s="18">
        <v>172</v>
      </c>
      <c r="Z156" s="18">
        <v>146</v>
      </c>
      <c r="AA156" s="18">
        <v>138</v>
      </c>
      <c r="AB156" s="18">
        <v>149</v>
      </c>
      <c r="AC156" s="18">
        <v>152</v>
      </c>
      <c r="AD156" s="18">
        <v>144</v>
      </c>
      <c r="AE156" s="18">
        <v>152</v>
      </c>
      <c r="AF156" s="17">
        <v>146</v>
      </c>
      <c r="AG156" s="7">
        <f t="shared" si="23"/>
        <v>4513</v>
      </c>
      <c r="AH156" s="98" t="s">
        <v>72</v>
      </c>
    </row>
    <row r="157" spans="1:34" ht="19.5" thickBot="1" x14ac:dyDescent="0.3">
      <c r="A157" s="324" t="s">
        <v>71</v>
      </c>
      <c r="B157" s="263">
        <v>5</v>
      </c>
      <c r="C157" s="140"/>
      <c r="D157" s="140">
        <v>1</v>
      </c>
      <c r="E157" s="140">
        <v>11</v>
      </c>
      <c r="F157" s="140">
        <v>4</v>
      </c>
      <c r="G157" s="140">
        <v>9</v>
      </c>
      <c r="H157" s="140">
        <v>6</v>
      </c>
      <c r="I157" s="140">
        <v>4</v>
      </c>
      <c r="J157" s="140">
        <v>3</v>
      </c>
      <c r="K157" s="140">
        <v>6</v>
      </c>
      <c r="L157" s="140">
        <v>3</v>
      </c>
      <c r="M157" s="140">
        <v>23</v>
      </c>
      <c r="N157" s="140">
        <v>4</v>
      </c>
      <c r="O157" s="140">
        <v>9</v>
      </c>
      <c r="P157" s="140">
        <v>3</v>
      </c>
      <c r="Q157" s="140">
        <v>1</v>
      </c>
      <c r="R157" s="140">
        <v>1</v>
      </c>
      <c r="S157" s="140">
        <v>13</v>
      </c>
      <c r="T157" s="140">
        <v>9</v>
      </c>
      <c r="U157" s="140">
        <v>17</v>
      </c>
      <c r="V157" s="140">
        <v>14</v>
      </c>
      <c r="W157" s="140">
        <v>4</v>
      </c>
      <c r="X157" s="140">
        <v>3</v>
      </c>
      <c r="Y157" s="140">
        <v>1</v>
      </c>
      <c r="Z157" s="140">
        <v>28</v>
      </c>
      <c r="AA157" s="140">
        <v>1</v>
      </c>
      <c r="AB157" s="140">
        <v>3</v>
      </c>
      <c r="AC157" s="140">
        <v>7</v>
      </c>
      <c r="AD157" s="140">
        <v>11</v>
      </c>
      <c r="AE157" s="140">
        <v>5</v>
      </c>
      <c r="AF157" s="139">
        <v>1</v>
      </c>
      <c r="AG157" s="138">
        <f t="shared" si="23"/>
        <v>210</v>
      </c>
      <c r="AH157" s="98"/>
    </row>
    <row r="158" spans="1:34" ht="19.5" thickBot="1" x14ac:dyDescent="0.3">
      <c r="A158" s="333" t="s">
        <v>70</v>
      </c>
      <c r="B158" s="272">
        <f t="shared" ref="B158:AF158" si="25">SUM(B159:B166)</f>
        <v>1</v>
      </c>
      <c r="C158" s="35">
        <f t="shared" si="25"/>
        <v>2</v>
      </c>
      <c r="D158" s="35">
        <f t="shared" si="25"/>
        <v>0</v>
      </c>
      <c r="E158" s="35">
        <f t="shared" si="25"/>
        <v>0</v>
      </c>
      <c r="F158" s="35">
        <f t="shared" si="25"/>
        <v>1</v>
      </c>
      <c r="G158" s="35">
        <f t="shared" si="25"/>
        <v>3</v>
      </c>
      <c r="H158" s="35">
        <f t="shared" si="25"/>
        <v>2</v>
      </c>
      <c r="I158" s="35">
        <f t="shared" si="25"/>
        <v>1</v>
      </c>
      <c r="J158" s="35">
        <f t="shared" si="25"/>
        <v>0</v>
      </c>
      <c r="K158" s="35">
        <f t="shared" si="25"/>
        <v>2</v>
      </c>
      <c r="L158" s="35">
        <f t="shared" si="25"/>
        <v>0</v>
      </c>
      <c r="M158" s="35">
        <f t="shared" si="25"/>
        <v>0</v>
      </c>
      <c r="N158" s="35">
        <f t="shared" si="25"/>
        <v>0</v>
      </c>
      <c r="O158" s="35">
        <f t="shared" si="25"/>
        <v>0</v>
      </c>
      <c r="P158" s="35">
        <f t="shared" si="25"/>
        <v>0</v>
      </c>
      <c r="Q158" s="35">
        <f t="shared" si="25"/>
        <v>0</v>
      </c>
      <c r="R158" s="35">
        <f t="shared" si="25"/>
        <v>0</v>
      </c>
      <c r="S158" s="35">
        <f t="shared" si="25"/>
        <v>0</v>
      </c>
      <c r="T158" s="35">
        <f t="shared" si="25"/>
        <v>0</v>
      </c>
      <c r="U158" s="35">
        <f t="shared" si="25"/>
        <v>0</v>
      </c>
      <c r="V158" s="35">
        <f t="shared" si="25"/>
        <v>1</v>
      </c>
      <c r="W158" s="35">
        <f t="shared" si="25"/>
        <v>0</v>
      </c>
      <c r="X158" s="35">
        <f t="shared" si="25"/>
        <v>0</v>
      </c>
      <c r="Y158" s="35">
        <f t="shared" si="25"/>
        <v>0</v>
      </c>
      <c r="Z158" s="35">
        <f t="shared" si="25"/>
        <v>1</v>
      </c>
      <c r="AA158" s="35">
        <f t="shared" si="25"/>
        <v>0</v>
      </c>
      <c r="AB158" s="35">
        <f t="shared" si="25"/>
        <v>1</v>
      </c>
      <c r="AC158" s="35">
        <f t="shared" si="25"/>
        <v>0</v>
      </c>
      <c r="AD158" s="35">
        <f t="shared" si="25"/>
        <v>3</v>
      </c>
      <c r="AE158" s="35">
        <f t="shared" si="25"/>
        <v>0</v>
      </c>
      <c r="AF158" s="34">
        <f t="shared" si="25"/>
        <v>6</v>
      </c>
      <c r="AG158" s="33">
        <f t="shared" si="23"/>
        <v>24</v>
      </c>
    </row>
    <row r="159" spans="1:34" ht="18.75" x14ac:dyDescent="0.25">
      <c r="A159" s="329" t="s">
        <v>69</v>
      </c>
      <c r="B159" s="268"/>
      <c r="C159" s="136"/>
      <c r="D159" s="136"/>
      <c r="E159" s="136"/>
      <c r="F159" s="136"/>
      <c r="G159" s="136">
        <v>1</v>
      </c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A159" s="136"/>
      <c r="AB159" s="136"/>
      <c r="AC159" s="136"/>
      <c r="AD159" s="136"/>
      <c r="AE159" s="136"/>
      <c r="AF159" s="135">
        <v>1</v>
      </c>
      <c r="AG159" s="134">
        <f t="shared" si="23"/>
        <v>2</v>
      </c>
    </row>
    <row r="160" spans="1:34" ht="18.75" x14ac:dyDescent="0.25">
      <c r="A160" s="330" t="s">
        <v>68</v>
      </c>
      <c r="B160" s="269"/>
      <c r="C160" s="130"/>
      <c r="D160" s="130"/>
      <c r="E160" s="130"/>
      <c r="F160" s="130"/>
      <c r="G160" s="130"/>
      <c r="H160" s="130">
        <v>2</v>
      </c>
      <c r="I160" s="130"/>
      <c r="J160" s="130"/>
      <c r="K160" s="130">
        <v>1</v>
      </c>
      <c r="L160" s="130"/>
      <c r="M160" s="130"/>
      <c r="N160" s="130"/>
      <c r="O160" s="130"/>
      <c r="P160" s="130"/>
      <c r="Q160" s="130"/>
      <c r="R160" s="130"/>
      <c r="S160" s="130"/>
      <c r="T160" s="130"/>
      <c r="U160" s="130"/>
      <c r="V160" s="130"/>
      <c r="W160" s="130"/>
      <c r="X160" s="130"/>
      <c r="Y160" s="130"/>
      <c r="Z160" s="130"/>
      <c r="AA160" s="130"/>
      <c r="AB160" s="130"/>
      <c r="AC160" s="130"/>
      <c r="AD160" s="130"/>
      <c r="AE160" s="130"/>
      <c r="AF160" s="129">
        <v>1</v>
      </c>
      <c r="AG160" s="64">
        <f t="shared" si="23"/>
        <v>4</v>
      </c>
    </row>
    <row r="161" spans="1:34" ht="18.75" x14ac:dyDescent="0.25">
      <c r="A161" s="330" t="s">
        <v>67</v>
      </c>
      <c r="B161" s="269"/>
      <c r="C161" s="130">
        <v>2</v>
      </c>
      <c r="D161" s="130"/>
      <c r="E161" s="130"/>
      <c r="F161" s="130">
        <v>1</v>
      </c>
      <c r="G161" s="130"/>
      <c r="H161" s="130"/>
      <c r="I161" s="130"/>
      <c r="J161" s="130"/>
      <c r="K161" s="130"/>
      <c r="L161" s="130"/>
      <c r="M161" s="130"/>
      <c r="N161" s="130"/>
      <c r="O161" s="130"/>
      <c r="P161" s="130"/>
      <c r="Q161" s="130"/>
      <c r="R161" s="130"/>
      <c r="S161" s="130"/>
      <c r="T161" s="130"/>
      <c r="U161" s="130"/>
      <c r="V161" s="130"/>
      <c r="W161" s="130"/>
      <c r="X161" s="130"/>
      <c r="Y161" s="130"/>
      <c r="Z161" s="130"/>
      <c r="AA161" s="130"/>
      <c r="AB161" s="130"/>
      <c r="AC161" s="130"/>
      <c r="AD161" s="130"/>
      <c r="AE161" s="130"/>
      <c r="AF161" s="129">
        <v>2</v>
      </c>
      <c r="AG161" s="64">
        <f t="shared" si="23"/>
        <v>5</v>
      </c>
    </row>
    <row r="162" spans="1:34" ht="18.75" x14ac:dyDescent="0.25">
      <c r="A162" s="330" t="s">
        <v>66</v>
      </c>
      <c r="B162" s="269">
        <v>1</v>
      </c>
      <c r="C162" s="130"/>
      <c r="D162" s="130"/>
      <c r="E162" s="130"/>
      <c r="F162" s="130"/>
      <c r="G162" s="130">
        <v>2</v>
      </c>
      <c r="H162" s="130"/>
      <c r="I162" s="130">
        <v>1</v>
      </c>
      <c r="J162" s="130"/>
      <c r="K162" s="130">
        <v>1</v>
      </c>
      <c r="L162" s="130"/>
      <c r="M162" s="130"/>
      <c r="N162" s="130"/>
      <c r="O162" s="130"/>
      <c r="P162" s="130"/>
      <c r="Q162" s="130"/>
      <c r="R162" s="130"/>
      <c r="S162" s="130"/>
      <c r="T162" s="130"/>
      <c r="U162" s="130"/>
      <c r="V162" s="130"/>
      <c r="W162" s="130"/>
      <c r="X162" s="130"/>
      <c r="Y162" s="130"/>
      <c r="Z162" s="130"/>
      <c r="AA162" s="130"/>
      <c r="AB162" s="130">
        <v>1</v>
      </c>
      <c r="AC162" s="130"/>
      <c r="AD162" s="130">
        <v>3</v>
      </c>
      <c r="AE162" s="130"/>
      <c r="AF162" s="129">
        <v>1</v>
      </c>
      <c r="AG162" s="64">
        <f t="shared" si="23"/>
        <v>10</v>
      </c>
    </row>
    <row r="163" spans="1:34" ht="18.75" x14ac:dyDescent="0.25">
      <c r="A163" s="330" t="s">
        <v>65</v>
      </c>
      <c r="B163" s="269"/>
      <c r="C163" s="130"/>
      <c r="D163" s="130"/>
      <c r="E163" s="130"/>
      <c r="F163" s="130"/>
      <c r="G163" s="130"/>
      <c r="H163" s="130"/>
      <c r="I163" s="130"/>
      <c r="J163" s="130"/>
      <c r="K163" s="130"/>
      <c r="L163" s="130"/>
      <c r="M163" s="130"/>
      <c r="N163" s="130"/>
      <c r="O163" s="130"/>
      <c r="P163" s="130"/>
      <c r="Q163" s="130"/>
      <c r="R163" s="130"/>
      <c r="S163" s="130"/>
      <c r="T163" s="130"/>
      <c r="U163" s="130"/>
      <c r="V163" s="130"/>
      <c r="W163" s="130"/>
      <c r="X163" s="130"/>
      <c r="Y163" s="130"/>
      <c r="Z163" s="130"/>
      <c r="AA163" s="130"/>
      <c r="AB163" s="130"/>
      <c r="AC163" s="130"/>
      <c r="AD163" s="130"/>
      <c r="AE163" s="130"/>
      <c r="AF163" s="129"/>
      <c r="AG163" s="64">
        <f t="shared" si="23"/>
        <v>0</v>
      </c>
    </row>
    <row r="164" spans="1:34" ht="18.75" x14ac:dyDescent="0.25">
      <c r="A164" s="330" t="s">
        <v>64</v>
      </c>
      <c r="B164" s="269"/>
      <c r="C164" s="130"/>
      <c r="D164" s="130"/>
      <c r="E164" s="130"/>
      <c r="F164" s="130"/>
      <c r="G164" s="130"/>
      <c r="H164" s="130"/>
      <c r="I164" s="130"/>
      <c r="J164" s="130"/>
      <c r="K164" s="130"/>
      <c r="L164" s="130"/>
      <c r="M164" s="130"/>
      <c r="N164" s="130"/>
      <c r="O164" s="130"/>
      <c r="P164" s="130"/>
      <c r="Q164" s="130"/>
      <c r="R164" s="130"/>
      <c r="S164" s="130"/>
      <c r="T164" s="130"/>
      <c r="U164" s="130"/>
      <c r="V164" s="130"/>
      <c r="W164" s="130"/>
      <c r="X164" s="130"/>
      <c r="Y164" s="130"/>
      <c r="Z164" s="130"/>
      <c r="AA164" s="130"/>
      <c r="AB164" s="130"/>
      <c r="AC164" s="130"/>
      <c r="AD164" s="130"/>
      <c r="AE164" s="130"/>
      <c r="AF164" s="129">
        <v>1</v>
      </c>
      <c r="AG164" s="64">
        <f t="shared" si="23"/>
        <v>1</v>
      </c>
    </row>
    <row r="165" spans="1:34" ht="18.75" x14ac:dyDescent="0.25">
      <c r="A165" s="330" t="s">
        <v>63</v>
      </c>
      <c r="B165" s="269"/>
      <c r="C165" s="130"/>
      <c r="D165" s="130"/>
      <c r="E165" s="130"/>
      <c r="F165" s="130"/>
      <c r="G165" s="130"/>
      <c r="H165" s="130"/>
      <c r="I165" s="130"/>
      <c r="J165" s="130"/>
      <c r="K165" s="130"/>
      <c r="L165" s="130"/>
      <c r="M165" s="130"/>
      <c r="N165" s="130"/>
      <c r="O165" s="130"/>
      <c r="P165" s="130"/>
      <c r="Q165" s="130"/>
      <c r="R165" s="130"/>
      <c r="S165" s="130"/>
      <c r="T165" s="130"/>
      <c r="U165" s="130"/>
      <c r="V165" s="130">
        <v>1</v>
      </c>
      <c r="W165" s="130"/>
      <c r="X165" s="130"/>
      <c r="Y165" s="130"/>
      <c r="Z165" s="130">
        <v>1</v>
      </c>
      <c r="AA165" s="130"/>
      <c r="AB165" s="130"/>
      <c r="AC165" s="130"/>
      <c r="AD165" s="130"/>
      <c r="AE165" s="130"/>
      <c r="AF165" s="129"/>
      <c r="AG165" s="64">
        <f t="shared" si="23"/>
        <v>2</v>
      </c>
    </row>
    <row r="166" spans="1:34" ht="19.5" thickBot="1" x14ac:dyDescent="0.3">
      <c r="A166" s="331" t="s">
        <v>62</v>
      </c>
      <c r="B166" s="270"/>
      <c r="C166" s="127"/>
      <c r="D166" s="127"/>
      <c r="E166" s="127"/>
      <c r="F166" s="127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  <c r="Y166" s="127"/>
      <c r="Z166" s="127"/>
      <c r="AA166" s="127"/>
      <c r="AB166" s="127"/>
      <c r="AC166" s="127"/>
      <c r="AD166" s="127"/>
      <c r="AE166" s="127"/>
      <c r="AF166" s="126"/>
      <c r="AG166" s="10">
        <f t="shared" si="23"/>
        <v>0</v>
      </c>
    </row>
    <row r="167" spans="1:34" ht="18.75" x14ac:dyDescent="0.25">
      <c r="A167" s="332" t="s">
        <v>61</v>
      </c>
      <c r="B167" s="271">
        <f t="shared" ref="B167:AF167" si="26">SUM(B168:B171)</f>
        <v>0</v>
      </c>
      <c r="C167" s="18">
        <f t="shared" si="26"/>
        <v>2</v>
      </c>
      <c r="D167" s="18">
        <f t="shared" si="26"/>
        <v>0</v>
      </c>
      <c r="E167" s="18">
        <f t="shared" si="26"/>
        <v>0</v>
      </c>
      <c r="F167" s="18">
        <f t="shared" si="26"/>
        <v>0</v>
      </c>
      <c r="G167" s="18">
        <f t="shared" si="26"/>
        <v>0</v>
      </c>
      <c r="H167" s="18">
        <f t="shared" si="26"/>
        <v>0</v>
      </c>
      <c r="I167" s="18">
        <f t="shared" si="26"/>
        <v>0</v>
      </c>
      <c r="J167" s="18">
        <f t="shared" si="26"/>
        <v>1</v>
      </c>
      <c r="K167" s="18">
        <f t="shared" si="26"/>
        <v>1</v>
      </c>
      <c r="L167" s="18">
        <f t="shared" si="26"/>
        <v>0</v>
      </c>
      <c r="M167" s="18">
        <f t="shared" si="26"/>
        <v>0</v>
      </c>
      <c r="N167" s="18">
        <f t="shared" si="26"/>
        <v>1</v>
      </c>
      <c r="O167" s="18">
        <f t="shared" si="26"/>
        <v>0</v>
      </c>
      <c r="P167" s="18">
        <f t="shared" si="26"/>
        <v>0</v>
      </c>
      <c r="Q167" s="18">
        <f t="shared" si="26"/>
        <v>1</v>
      </c>
      <c r="R167" s="18">
        <f t="shared" si="26"/>
        <v>0</v>
      </c>
      <c r="S167" s="18">
        <f t="shared" si="26"/>
        <v>0</v>
      </c>
      <c r="T167" s="18">
        <f t="shared" si="26"/>
        <v>0</v>
      </c>
      <c r="U167" s="18">
        <f t="shared" si="26"/>
        <v>1</v>
      </c>
      <c r="V167" s="18">
        <f t="shared" si="26"/>
        <v>0</v>
      </c>
      <c r="W167" s="18">
        <f t="shared" si="26"/>
        <v>0</v>
      </c>
      <c r="X167" s="18">
        <f t="shared" si="26"/>
        <v>0</v>
      </c>
      <c r="Y167" s="18">
        <f t="shared" si="26"/>
        <v>0</v>
      </c>
      <c r="Z167" s="18">
        <f t="shared" si="26"/>
        <v>0</v>
      </c>
      <c r="AA167" s="18">
        <f t="shared" si="26"/>
        <v>0</v>
      </c>
      <c r="AB167" s="18">
        <f t="shared" si="26"/>
        <v>2</v>
      </c>
      <c r="AC167" s="18">
        <f t="shared" si="26"/>
        <v>0</v>
      </c>
      <c r="AD167" s="18">
        <f t="shared" si="26"/>
        <v>0</v>
      </c>
      <c r="AE167" s="18">
        <f t="shared" si="26"/>
        <v>0</v>
      </c>
      <c r="AF167" s="17">
        <f t="shared" si="26"/>
        <v>1</v>
      </c>
      <c r="AG167" s="7">
        <f t="shared" si="23"/>
        <v>10</v>
      </c>
    </row>
    <row r="168" spans="1:34" ht="18.75" x14ac:dyDescent="0.25">
      <c r="A168" s="334" t="s">
        <v>60</v>
      </c>
      <c r="B168" s="269"/>
      <c r="C168" s="130"/>
      <c r="D168" s="130"/>
      <c r="E168" s="130"/>
      <c r="F168" s="130"/>
      <c r="G168" s="130"/>
      <c r="H168" s="130"/>
      <c r="I168" s="130"/>
      <c r="J168" s="130"/>
      <c r="K168" s="130"/>
      <c r="L168" s="130"/>
      <c r="M168" s="130"/>
      <c r="N168" s="130"/>
      <c r="O168" s="130"/>
      <c r="P168" s="130"/>
      <c r="Q168" s="130"/>
      <c r="R168" s="130"/>
      <c r="S168" s="130"/>
      <c r="T168" s="130"/>
      <c r="U168" s="130"/>
      <c r="V168" s="130"/>
      <c r="W168" s="130"/>
      <c r="X168" s="130"/>
      <c r="Y168" s="130"/>
      <c r="Z168" s="130"/>
      <c r="AA168" s="130"/>
      <c r="AB168" s="130"/>
      <c r="AC168" s="130"/>
      <c r="AD168" s="130"/>
      <c r="AE168" s="130"/>
      <c r="AF168" s="129">
        <v>1</v>
      </c>
      <c r="AG168" s="64">
        <f t="shared" si="23"/>
        <v>1</v>
      </c>
    </row>
    <row r="169" spans="1:34" ht="18.75" x14ac:dyDescent="0.25">
      <c r="A169" s="334" t="s">
        <v>59</v>
      </c>
      <c r="B169" s="269"/>
      <c r="C169" s="130"/>
      <c r="D169" s="130"/>
      <c r="E169" s="130"/>
      <c r="F169" s="130"/>
      <c r="G169" s="130"/>
      <c r="H169" s="130"/>
      <c r="I169" s="130"/>
      <c r="J169" s="130"/>
      <c r="K169" s="130"/>
      <c r="L169" s="130"/>
      <c r="M169" s="130"/>
      <c r="N169" s="130"/>
      <c r="O169" s="130"/>
      <c r="P169" s="130"/>
      <c r="Q169" s="130"/>
      <c r="R169" s="130"/>
      <c r="S169" s="130"/>
      <c r="T169" s="130"/>
      <c r="U169" s="130"/>
      <c r="V169" s="130"/>
      <c r="W169" s="130"/>
      <c r="X169" s="130"/>
      <c r="Y169" s="130"/>
      <c r="Z169" s="130"/>
      <c r="AA169" s="130"/>
      <c r="AB169" s="130"/>
      <c r="AC169" s="130"/>
      <c r="AD169" s="130"/>
      <c r="AE169" s="130"/>
      <c r="AF169" s="129"/>
      <c r="AG169" s="64">
        <f t="shared" si="23"/>
        <v>0</v>
      </c>
    </row>
    <row r="170" spans="1:34" ht="18.75" x14ac:dyDescent="0.25">
      <c r="A170" s="334" t="s">
        <v>58</v>
      </c>
      <c r="B170" s="269"/>
      <c r="C170" s="130"/>
      <c r="D170" s="130"/>
      <c r="E170" s="130"/>
      <c r="F170" s="130"/>
      <c r="G170" s="130"/>
      <c r="H170" s="130"/>
      <c r="I170" s="130"/>
      <c r="J170" s="130"/>
      <c r="K170" s="130"/>
      <c r="L170" s="130"/>
      <c r="M170" s="130"/>
      <c r="N170" s="130"/>
      <c r="O170" s="130"/>
      <c r="P170" s="130"/>
      <c r="Q170" s="130"/>
      <c r="R170" s="130"/>
      <c r="S170" s="130"/>
      <c r="T170" s="130"/>
      <c r="U170" s="130"/>
      <c r="V170" s="130"/>
      <c r="W170" s="130"/>
      <c r="X170" s="130"/>
      <c r="Y170" s="130"/>
      <c r="Z170" s="130"/>
      <c r="AA170" s="130"/>
      <c r="AB170" s="130"/>
      <c r="AC170" s="130"/>
      <c r="AD170" s="130"/>
      <c r="AE170" s="130"/>
      <c r="AF170" s="129"/>
      <c r="AG170" s="64">
        <f t="shared" si="23"/>
        <v>0</v>
      </c>
    </row>
    <row r="171" spans="1:34" ht="19.5" thickBot="1" x14ac:dyDescent="0.3">
      <c r="A171" s="335" t="s">
        <v>57</v>
      </c>
      <c r="B171" s="270"/>
      <c r="C171" s="127">
        <v>2</v>
      </c>
      <c r="D171" s="127"/>
      <c r="E171" s="127"/>
      <c r="F171" s="127"/>
      <c r="G171" s="127"/>
      <c r="H171" s="127"/>
      <c r="I171" s="127"/>
      <c r="J171" s="127">
        <v>1</v>
      </c>
      <c r="K171" s="127">
        <v>1</v>
      </c>
      <c r="L171" s="127"/>
      <c r="M171" s="127"/>
      <c r="N171" s="127">
        <v>1</v>
      </c>
      <c r="O171" s="127"/>
      <c r="P171" s="127"/>
      <c r="Q171" s="127">
        <v>1</v>
      </c>
      <c r="R171" s="127"/>
      <c r="S171" s="127"/>
      <c r="T171" s="127"/>
      <c r="U171" s="127">
        <v>1</v>
      </c>
      <c r="V171" s="127"/>
      <c r="W171" s="127"/>
      <c r="X171" s="127"/>
      <c r="Y171" s="127"/>
      <c r="Z171" s="127"/>
      <c r="AA171" s="127"/>
      <c r="AB171" s="127">
        <v>2</v>
      </c>
      <c r="AC171" s="127"/>
      <c r="AD171" s="127"/>
      <c r="AE171" s="127"/>
      <c r="AF171" s="126"/>
      <c r="AG171" s="10">
        <f t="shared" si="23"/>
        <v>9</v>
      </c>
    </row>
    <row r="172" spans="1:34" ht="19.5" thickBot="1" x14ac:dyDescent="0.3">
      <c r="A172" s="336" t="s">
        <v>56</v>
      </c>
      <c r="B172" s="273"/>
      <c r="C172" s="124"/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  <c r="S172" s="124"/>
      <c r="T172" s="124"/>
      <c r="U172" s="124"/>
      <c r="V172" s="124"/>
      <c r="W172" s="124"/>
      <c r="X172" s="124"/>
      <c r="Y172" s="124"/>
      <c r="Z172" s="124"/>
      <c r="AA172" s="124"/>
      <c r="AB172" s="124"/>
      <c r="AC172" s="124"/>
      <c r="AD172" s="124"/>
      <c r="AE172" s="124"/>
      <c r="AF172" s="123"/>
      <c r="AG172" s="122">
        <f t="shared" si="23"/>
        <v>0</v>
      </c>
    </row>
    <row r="173" spans="1:34" ht="19.5" thickBot="1" x14ac:dyDescent="0.3">
      <c r="A173" s="299" t="s">
        <v>55</v>
      </c>
      <c r="B173" s="247">
        <f>SUM(B174:B176)</f>
        <v>1</v>
      </c>
      <c r="C173" s="120">
        <f t="shared" ref="C173:AF173" si="27">SUM(C174:C176)</f>
        <v>0</v>
      </c>
      <c r="D173" s="120">
        <f t="shared" si="27"/>
        <v>0</v>
      </c>
      <c r="E173" s="120">
        <f t="shared" si="27"/>
        <v>1</v>
      </c>
      <c r="F173" s="120">
        <f t="shared" si="27"/>
        <v>0</v>
      </c>
      <c r="G173" s="120">
        <f t="shared" si="27"/>
        <v>3</v>
      </c>
      <c r="H173" s="120">
        <f t="shared" si="27"/>
        <v>2</v>
      </c>
      <c r="I173" s="120">
        <f t="shared" si="27"/>
        <v>1</v>
      </c>
      <c r="J173" s="120">
        <f t="shared" si="27"/>
        <v>0</v>
      </c>
      <c r="K173" s="120">
        <f t="shared" si="27"/>
        <v>2</v>
      </c>
      <c r="L173" s="120">
        <f t="shared" si="27"/>
        <v>4</v>
      </c>
      <c r="M173" s="120">
        <f t="shared" si="27"/>
        <v>2</v>
      </c>
      <c r="N173" s="120">
        <f t="shared" si="27"/>
        <v>2</v>
      </c>
      <c r="O173" s="120">
        <f t="shared" si="27"/>
        <v>1</v>
      </c>
      <c r="P173" s="120">
        <f t="shared" si="27"/>
        <v>0</v>
      </c>
      <c r="Q173" s="120">
        <f t="shared" si="27"/>
        <v>1</v>
      </c>
      <c r="R173" s="120">
        <f t="shared" si="27"/>
        <v>2</v>
      </c>
      <c r="S173" s="120">
        <f t="shared" si="27"/>
        <v>3</v>
      </c>
      <c r="T173" s="120">
        <f t="shared" si="27"/>
        <v>0</v>
      </c>
      <c r="U173" s="120">
        <f t="shared" si="27"/>
        <v>1</v>
      </c>
      <c r="V173" s="120">
        <f t="shared" si="27"/>
        <v>1</v>
      </c>
      <c r="W173" s="120">
        <f t="shared" si="27"/>
        <v>1</v>
      </c>
      <c r="X173" s="120">
        <f t="shared" si="27"/>
        <v>0</v>
      </c>
      <c r="Y173" s="120">
        <f t="shared" si="27"/>
        <v>1</v>
      </c>
      <c r="Z173" s="120">
        <f t="shared" si="27"/>
        <v>1</v>
      </c>
      <c r="AA173" s="120">
        <f t="shared" si="27"/>
        <v>0</v>
      </c>
      <c r="AB173" s="120">
        <f t="shared" si="27"/>
        <v>2</v>
      </c>
      <c r="AC173" s="120">
        <f t="shared" si="27"/>
        <v>2</v>
      </c>
      <c r="AD173" s="120">
        <f t="shared" si="27"/>
        <v>0</v>
      </c>
      <c r="AE173" s="120">
        <f t="shared" si="27"/>
        <v>1</v>
      </c>
      <c r="AF173" s="119">
        <f t="shared" si="27"/>
        <v>1</v>
      </c>
      <c r="AG173" s="118">
        <f t="shared" si="23"/>
        <v>36</v>
      </c>
      <c r="AH173" s="98" t="s">
        <v>54</v>
      </c>
    </row>
    <row r="174" spans="1:34" ht="18.75" x14ac:dyDescent="0.25">
      <c r="A174" s="337" t="s">
        <v>53</v>
      </c>
      <c r="B174" s="274"/>
      <c r="C174" s="116">
        <v>0</v>
      </c>
      <c r="D174" s="116">
        <v>0</v>
      </c>
      <c r="E174" s="116">
        <v>1</v>
      </c>
      <c r="F174" s="116">
        <v>0</v>
      </c>
      <c r="G174" s="116">
        <v>3</v>
      </c>
      <c r="H174" s="116">
        <v>1</v>
      </c>
      <c r="I174" s="116">
        <v>1</v>
      </c>
      <c r="J174" s="116">
        <v>0</v>
      </c>
      <c r="K174" s="116">
        <v>2</v>
      </c>
      <c r="L174" s="116">
        <v>4</v>
      </c>
      <c r="M174" s="116">
        <v>1</v>
      </c>
      <c r="N174" s="116">
        <v>1</v>
      </c>
      <c r="O174" s="116">
        <v>1</v>
      </c>
      <c r="P174" s="116">
        <v>0</v>
      </c>
      <c r="Q174" s="116">
        <v>1</v>
      </c>
      <c r="R174" s="116">
        <v>2</v>
      </c>
      <c r="S174" s="116">
        <v>3</v>
      </c>
      <c r="T174" s="116">
        <v>0</v>
      </c>
      <c r="U174" s="116">
        <v>1</v>
      </c>
      <c r="V174" s="116">
        <v>1</v>
      </c>
      <c r="W174" s="116">
        <v>1</v>
      </c>
      <c r="X174" s="116">
        <v>0</v>
      </c>
      <c r="Y174" s="116">
        <v>1</v>
      </c>
      <c r="Z174" s="116">
        <v>1</v>
      </c>
      <c r="AA174" s="116">
        <v>0</v>
      </c>
      <c r="AB174" s="116">
        <v>2</v>
      </c>
      <c r="AC174" s="116">
        <v>2</v>
      </c>
      <c r="AD174" s="116">
        <v>0</v>
      </c>
      <c r="AE174" s="116">
        <v>1</v>
      </c>
      <c r="AF174" s="115">
        <v>1</v>
      </c>
      <c r="AG174" s="114">
        <f t="shared" si="23"/>
        <v>32</v>
      </c>
      <c r="AH174" s="98"/>
    </row>
    <row r="175" spans="1:34" ht="18.75" x14ac:dyDescent="0.25">
      <c r="A175" s="338" t="s">
        <v>52</v>
      </c>
      <c r="B175" s="275">
        <v>1</v>
      </c>
      <c r="C175" s="112">
        <v>0</v>
      </c>
      <c r="D175" s="112">
        <v>0</v>
      </c>
      <c r="E175" s="112"/>
      <c r="F175" s="112">
        <v>0</v>
      </c>
      <c r="G175" s="112"/>
      <c r="H175" s="112">
        <v>1</v>
      </c>
      <c r="I175" s="112"/>
      <c r="J175" s="112"/>
      <c r="K175" s="112"/>
      <c r="L175" s="112"/>
      <c r="M175" s="112">
        <v>1</v>
      </c>
      <c r="N175" s="112">
        <v>1</v>
      </c>
      <c r="O175" s="112"/>
      <c r="P175" s="112"/>
      <c r="Q175" s="112"/>
      <c r="R175" s="112"/>
      <c r="S175" s="112"/>
      <c r="T175" s="112"/>
      <c r="U175" s="112"/>
      <c r="V175" s="112"/>
      <c r="W175" s="112"/>
      <c r="X175" s="112"/>
      <c r="Y175" s="112"/>
      <c r="Z175" s="112"/>
      <c r="AA175" s="112"/>
      <c r="AB175" s="112"/>
      <c r="AC175" s="112"/>
      <c r="AD175" s="112"/>
      <c r="AE175" s="112"/>
      <c r="AF175" s="111"/>
      <c r="AG175" s="110">
        <f t="shared" si="23"/>
        <v>4</v>
      </c>
      <c r="AH175" s="98"/>
    </row>
    <row r="176" spans="1:34" ht="19.5" thickBot="1" x14ac:dyDescent="0.3">
      <c r="A176" s="371" t="s">
        <v>168</v>
      </c>
      <c r="B176" s="372"/>
      <c r="C176" s="373">
        <v>0</v>
      </c>
      <c r="D176" s="373">
        <v>0</v>
      </c>
      <c r="E176" s="373"/>
      <c r="F176" s="373">
        <v>0</v>
      </c>
      <c r="G176" s="373"/>
      <c r="H176" s="373"/>
      <c r="I176" s="373"/>
      <c r="J176" s="373"/>
      <c r="K176" s="373"/>
      <c r="L176" s="373"/>
      <c r="M176" s="373"/>
      <c r="N176" s="373"/>
      <c r="O176" s="373"/>
      <c r="P176" s="373"/>
      <c r="Q176" s="373"/>
      <c r="R176" s="373"/>
      <c r="S176" s="373"/>
      <c r="T176" s="373"/>
      <c r="U176" s="373"/>
      <c r="V176" s="373"/>
      <c r="W176" s="373"/>
      <c r="X176" s="373"/>
      <c r="Y176" s="373"/>
      <c r="Z176" s="373"/>
      <c r="AA176" s="373"/>
      <c r="AB176" s="373"/>
      <c r="AC176" s="373"/>
      <c r="AD176" s="373"/>
      <c r="AE176" s="373"/>
      <c r="AF176" s="374"/>
      <c r="AG176" s="375">
        <f t="shared" si="23"/>
        <v>0</v>
      </c>
      <c r="AH176" s="98"/>
    </row>
    <row r="177" spans="1:34" ht="19.5" thickBot="1" x14ac:dyDescent="0.3">
      <c r="A177" s="312" t="s">
        <v>51</v>
      </c>
      <c r="B177" s="376">
        <f t="shared" ref="B177:AF177" si="28">SUM(B178:B179)</f>
        <v>3</v>
      </c>
      <c r="C177" s="377">
        <f t="shared" si="28"/>
        <v>1</v>
      </c>
      <c r="D177" s="377">
        <f t="shared" si="28"/>
        <v>5</v>
      </c>
      <c r="E177" s="377">
        <f t="shared" si="28"/>
        <v>2</v>
      </c>
      <c r="F177" s="377">
        <f t="shared" si="28"/>
        <v>3</v>
      </c>
      <c r="G177" s="377">
        <f t="shared" si="28"/>
        <v>1</v>
      </c>
      <c r="H177" s="377">
        <f t="shared" si="28"/>
        <v>4</v>
      </c>
      <c r="I177" s="377">
        <f t="shared" si="28"/>
        <v>3</v>
      </c>
      <c r="J177" s="377">
        <f t="shared" si="28"/>
        <v>1</v>
      </c>
      <c r="K177" s="377">
        <f t="shared" si="28"/>
        <v>4</v>
      </c>
      <c r="L177" s="377">
        <f t="shared" si="28"/>
        <v>8</v>
      </c>
      <c r="M177" s="377">
        <f t="shared" si="28"/>
        <v>2</v>
      </c>
      <c r="N177" s="377">
        <f t="shared" si="28"/>
        <v>3</v>
      </c>
      <c r="O177" s="377">
        <f t="shared" si="28"/>
        <v>0</v>
      </c>
      <c r="P177" s="377">
        <f t="shared" si="28"/>
        <v>1</v>
      </c>
      <c r="Q177" s="377">
        <f t="shared" si="28"/>
        <v>1</v>
      </c>
      <c r="R177" s="377">
        <f t="shared" si="28"/>
        <v>2</v>
      </c>
      <c r="S177" s="377">
        <f t="shared" si="28"/>
        <v>7</v>
      </c>
      <c r="T177" s="377">
        <f t="shared" si="28"/>
        <v>2</v>
      </c>
      <c r="U177" s="377">
        <f t="shared" si="28"/>
        <v>2</v>
      </c>
      <c r="V177" s="377">
        <f t="shared" si="28"/>
        <v>9</v>
      </c>
      <c r="W177" s="377">
        <f t="shared" si="28"/>
        <v>2</v>
      </c>
      <c r="X177" s="377">
        <f t="shared" si="28"/>
        <v>3</v>
      </c>
      <c r="Y177" s="377">
        <f t="shared" si="28"/>
        <v>6</v>
      </c>
      <c r="Z177" s="377">
        <f t="shared" si="28"/>
        <v>4</v>
      </c>
      <c r="AA177" s="377">
        <f t="shared" si="28"/>
        <v>3</v>
      </c>
      <c r="AB177" s="377">
        <f t="shared" si="28"/>
        <v>3</v>
      </c>
      <c r="AC177" s="377">
        <f t="shared" si="28"/>
        <v>2</v>
      </c>
      <c r="AD177" s="377">
        <f t="shared" si="28"/>
        <v>2</v>
      </c>
      <c r="AE177" s="377">
        <f t="shared" si="28"/>
        <v>2</v>
      </c>
      <c r="AF177" s="378">
        <f t="shared" si="28"/>
        <v>1</v>
      </c>
      <c r="AG177" s="379">
        <f t="shared" si="23"/>
        <v>92</v>
      </c>
      <c r="AH177" s="98" t="s">
        <v>48</v>
      </c>
    </row>
    <row r="178" spans="1:34" ht="18.75" x14ac:dyDescent="0.25">
      <c r="A178" s="340" t="s">
        <v>50</v>
      </c>
      <c r="B178" s="277">
        <v>1</v>
      </c>
      <c r="C178" s="105">
        <v>0</v>
      </c>
      <c r="D178" s="105">
        <v>0</v>
      </c>
      <c r="E178" s="105">
        <v>0</v>
      </c>
      <c r="F178" s="105">
        <v>0</v>
      </c>
      <c r="G178" s="105">
        <v>0</v>
      </c>
      <c r="H178" s="105">
        <v>2</v>
      </c>
      <c r="I178" s="105">
        <v>0</v>
      </c>
      <c r="J178" s="105">
        <v>1</v>
      </c>
      <c r="K178" s="105">
        <v>0</v>
      </c>
      <c r="L178" s="105">
        <v>1</v>
      </c>
      <c r="M178" s="105">
        <v>1</v>
      </c>
      <c r="N178" s="105">
        <v>0</v>
      </c>
      <c r="O178" s="105">
        <v>0</v>
      </c>
      <c r="P178" s="105">
        <v>0</v>
      </c>
      <c r="Q178" s="105">
        <v>0</v>
      </c>
      <c r="R178" s="105">
        <v>1</v>
      </c>
      <c r="S178" s="105">
        <v>1</v>
      </c>
      <c r="T178" s="105">
        <v>0</v>
      </c>
      <c r="U178" s="105">
        <v>1</v>
      </c>
      <c r="V178" s="105">
        <v>1</v>
      </c>
      <c r="W178" s="105">
        <v>0</v>
      </c>
      <c r="X178" s="105">
        <v>0</v>
      </c>
      <c r="Y178" s="105">
        <v>2</v>
      </c>
      <c r="Z178" s="105">
        <v>0</v>
      </c>
      <c r="AA178" s="105">
        <v>0</v>
      </c>
      <c r="AB178" s="105">
        <v>0</v>
      </c>
      <c r="AC178" s="105">
        <v>0</v>
      </c>
      <c r="AD178" s="105">
        <v>1</v>
      </c>
      <c r="AE178" s="105">
        <v>2</v>
      </c>
      <c r="AF178" s="104">
        <v>0</v>
      </c>
      <c r="AG178" s="103">
        <f t="shared" si="23"/>
        <v>15</v>
      </c>
      <c r="AH178" s="98" t="s">
        <v>48</v>
      </c>
    </row>
    <row r="179" spans="1:34" ht="19.5" thickBot="1" x14ac:dyDescent="0.3">
      <c r="A179" s="313" t="s">
        <v>49</v>
      </c>
      <c r="B179" s="278">
        <v>2</v>
      </c>
      <c r="C179" s="101">
        <v>1</v>
      </c>
      <c r="D179" s="101">
        <v>5</v>
      </c>
      <c r="E179" s="101">
        <v>2</v>
      </c>
      <c r="F179" s="101">
        <v>3</v>
      </c>
      <c r="G179" s="101">
        <v>1</v>
      </c>
      <c r="H179" s="101">
        <v>2</v>
      </c>
      <c r="I179" s="101">
        <v>3</v>
      </c>
      <c r="J179" s="101">
        <v>0</v>
      </c>
      <c r="K179" s="101">
        <v>4</v>
      </c>
      <c r="L179" s="101">
        <v>7</v>
      </c>
      <c r="M179" s="101">
        <v>1</v>
      </c>
      <c r="N179" s="101">
        <v>3</v>
      </c>
      <c r="O179" s="101">
        <v>0</v>
      </c>
      <c r="P179" s="101">
        <v>1</v>
      </c>
      <c r="Q179" s="101">
        <v>1</v>
      </c>
      <c r="R179" s="101">
        <v>1</v>
      </c>
      <c r="S179" s="101">
        <v>6</v>
      </c>
      <c r="T179" s="101">
        <v>2</v>
      </c>
      <c r="U179" s="101">
        <v>1</v>
      </c>
      <c r="V179" s="101">
        <v>8</v>
      </c>
      <c r="W179" s="101">
        <v>2</v>
      </c>
      <c r="X179" s="101">
        <v>3</v>
      </c>
      <c r="Y179" s="101">
        <v>4</v>
      </c>
      <c r="Z179" s="101">
        <v>4</v>
      </c>
      <c r="AA179" s="101">
        <v>3</v>
      </c>
      <c r="AB179" s="101">
        <v>3</v>
      </c>
      <c r="AC179" s="101">
        <v>2</v>
      </c>
      <c r="AD179" s="101">
        <v>1</v>
      </c>
      <c r="AE179" s="101">
        <v>0</v>
      </c>
      <c r="AF179" s="100">
        <v>1</v>
      </c>
      <c r="AG179" s="99">
        <f t="shared" si="23"/>
        <v>77</v>
      </c>
      <c r="AH179" s="98" t="s">
        <v>48</v>
      </c>
    </row>
    <row r="180" spans="1:34" ht="18.75" x14ac:dyDescent="0.25">
      <c r="A180" s="341" t="s">
        <v>47</v>
      </c>
      <c r="B180" s="279"/>
      <c r="C180" s="96"/>
      <c r="D180" s="96"/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  <c r="AA180" s="96"/>
      <c r="AB180" s="96"/>
      <c r="AC180" s="96"/>
      <c r="AD180" s="96"/>
      <c r="AE180" s="96"/>
      <c r="AF180" s="95"/>
      <c r="AG180" s="94">
        <f t="shared" ref="AG180:AG211" si="29">SUM(B180:AF180)</f>
        <v>0</v>
      </c>
    </row>
    <row r="181" spans="1:34" ht="19.5" thickBot="1" x14ac:dyDescent="0.3">
      <c r="A181" s="342" t="s">
        <v>46</v>
      </c>
      <c r="B181" s="280"/>
      <c r="C181" s="92"/>
      <c r="D181" s="92"/>
      <c r="E181" s="92"/>
      <c r="F181" s="92"/>
      <c r="G181" s="92"/>
      <c r="H181" s="92"/>
      <c r="I181" s="92"/>
      <c r="J181" s="92"/>
      <c r="K181" s="92"/>
      <c r="L181" s="92"/>
      <c r="M181" s="92"/>
      <c r="N181" s="92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2"/>
      <c r="AA181" s="92"/>
      <c r="AB181" s="92"/>
      <c r="AC181" s="92"/>
      <c r="AD181" s="92"/>
      <c r="AE181" s="92"/>
      <c r="AF181" s="91"/>
      <c r="AG181" s="90">
        <f t="shared" si="29"/>
        <v>0</v>
      </c>
    </row>
    <row r="182" spans="1:34" ht="19.5" thickBot="1" x14ac:dyDescent="0.3">
      <c r="A182" s="343" t="s">
        <v>45</v>
      </c>
      <c r="B182" s="281">
        <f t="shared" ref="B182:AF182" si="30">SUM(B183:B208)</f>
        <v>53</v>
      </c>
      <c r="C182" s="88">
        <f t="shared" si="30"/>
        <v>44</v>
      </c>
      <c r="D182" s="88">
        <f t="shared" si="30"/>
        <v>49</v>
      </c>
      <c r="E182" s="88">
        <f t="shared" si="30"/>
        <v>63</v>
      </c>
      <c r="F182" s="88">
        <f t="shared" si="30"/>
        <v>71</v>
      </c>
      <c r="G182" s="88">
        <f t="shared" si="30"/>
        <v>61</v>
      </c>
      <c r="H182" s="88">
        <f t="shared" si="30"/>
        <v>59</v>
      </c>
      <c r="I182" s="88">
        <f t="shared" si="30"/>
        <v>56</v>
      </c>
      <c r="J182" s="88">
        <f t="shared" si="30"/>
        <v>40</v>
      </c>
      <c r="K182" s="88">
        <f t="shared" si="30"/>
        <v>48</v>
      </c>
      <c r="L182" s="88">
        <f t="shared" si="30"/>
        <v>46</v>
      </c>
      <c r="M182" s="88">
        <f t="shared" si="30"/>
        <v>67</v>
      </c>
      <c r="N182" s="88">
        <f t="shared" si="30"/>
        <v>47</v>
      </c>
      <c r="O182" s="88">
        <f t="shared" si="30"/>
        <v>75</v>
      </c>
      <c r="P182" s="88">
        <f t="shared" si="30"/>
        <v>48</v>
      </c>
      <c r="Q182" s="88">
        <f t="shared" si="30"/>
        <v>63</v>
      </c>
      <c r="R182" s="88">
        <f t="shared" si="30"/>
        <v>70</v>
      </c>
      <c r="S182" s="88">
        <f t="shared" si="30"/>
        <v>77</v>
      </c>
      <c r="T182" s="88">
        <f t="shared" si="30"/>
        <v>64</v>
      </c>
      <c r="U182" s="88">
        <f t="shared" si="30"/>
        <v>70</v>
      </c>
      <c r="V182" s="88">
        <f t="shared" si="30"/>
        <v>64</v>
      </c>
      <c r="W182" s="88">
        <f t="shared" si="30"/>
        <v>36</v>
      </c>
      <c r="X182" s="88">
        <f t="shared" si="30"/>
        <v>45</v>
      </c>
      <c r="Y182" s="88">
        <f t="shared" si="30"/>
        <v>59</v>
      </c>
      <c r="Z182" s="88">
        <f t="shared" si="30"/>
        <v>74</v>
      </c>
      <c r="AA182" s="88">
        <f t="shared" si="30"/>
        <v>66</v>
      </c>
      <c r="AB182" s="88">
        <f t="shared" si="30"/>
        <v>65</v>
      </c>
      <c r="AC182" s="88">
        <f t="shared" si="30"/>
        <v>76</v>
      </c>
      <c r="AD182" s="88">
        <f t="shared" si="30"/>
        <v>60</v>
      </c>
      <c r="AE182" s="88">
        <f t="shared" si="30"/>
        <v>59</v>
      </c>
      <c r="AF182" s="87">
        <f t="shared" si="30"/>
        <v>42</v>
      </c>
      <c r="AG182" s="86">
        <f t="shared" si="29"/>
        <v>1817</v>
      </c>
      <c r="AH182" s="85"/>
    </row>
    <row r="183" spans="1:34" ht="18.75" x14ac:dyDescent="0.25">
      <c r="A183" s="76" t="s">
        <v>44</v>
      </c>
      <c r="B183" s="282">
        <v>7</v>
      </c>
      <c r="C183" s="84">
        <v>5</v>
      </c>
      <c r="D183" s="84">
        <v>3</v>
      </c>
      <c r="E183" s="84">
        <v>2</v>
      </c>
      <c r="F183" s="84">
        <v>5</v>
      </c>
      <c r="G183" s="84">
        <v>4</v>
      </c>
      <c r="H183" s="84">
        <v>1</v>
      </c>
      <c r="I183" s="84">
        <v>6</v>
      </c>
      <c r="J183" s="84"/>
      <c r="K183" s="84">
        <v>7</v>
      </c>
      <c r="L183" s="84">
        <v>6</v>
      </c>
      <c r="M183" s="84">
        <v>1</v>
      </c>
      <c r="N183" s="83">
        <v>2</v>
      </c>
      <c r="O183" s="83">
        <v>4</v>
      </c>
      <c r="P183" s="83">
        <v>7</v>
      </c>
      <c r="Q183" s="83">
        <v>4</v>
      </c>
      <c r="R183" s="83">
        <v>8</v>
      </c>
      <c r="S183" s="83">
        <v>1</v>
      </c>
      <c r="T183" s="83">
        <v>4</v>
      </c>
      <c r="U183" s="83">
        <v>10</v>
      </c>
      <c r="V183" s="83"/>
      <c r="W183" s="83">
        <v>5</v>
      </c>
      <c r="X183" s="83">
        <v>6</v>
      </c>
      <c r="Y183" s="83">
        <v>1</v>
      </c>
      <c r="Z183" s="83">
        <v>7</v>
      </c>
      <c r="AA183" s="83">
        <v>8</v>
      </c>
      <c r="AB183" s="83">
        <v>6</v>
      </c>
      <c r="AC183" s="83">
        <v>5</v>
      </c>
      <c r="AD183" s="83">
        <v>4</v>
      </c>
      <c r="AE183" s="83">
        <v>2</v>
      </c>
      <c r="AF183" s="82">
        <v>2</v>
      </c>
      <c r="AG183" s="11">
        <f t="shared" si="29"/>
        <v>133</v>
      </c>
    </row>
    <row r="184" spans="1:34" ht="18.75" x14ac:dyDescent="0.25">
      <c r="A184" s="76" t="s">
        <v>43</v>
      </c>
      <c r="B184" s="283"/>
      <c r="C184" s="69"/>
      <c r="D184" s="69"/>
      <c r="E184" s="69"/>
      <c r="F184" s="69"/>
      <c r="G184" s="69"/>
      <c r="H184" s="69">
        <v>3</v>
      </c>
      <c r="I184" s="69">
        <v>1</v>
      </c>
      <c r="J184" s="69"/>
      <c r="K184" s="69"/>
      <c r="L184" s="69"/>
      <c r="M184" s="69"/>
      <c r="N184" s="68"/>
      <c r="O184" s="68"/>
      <c r="P184" s="68"/>
      <c r="Q184" s="68"/>
      <c r="R184" s="68"/>
      <c r="S184" s="68"/>
      <c r="T184" s="68">
        <v>5</v>
      </c>
      <c r="U184" s="68">
        <v>1</v>
      </c>
      <c r="V184" s="68"/>
      <c r="W184" s="68">
        <v>1</v>
      </c>
      <c r="X184" s="68"/>
      <c r="Y184" s="68"/>
      <c r="Z184" s="68"/>
      <c r="AA184" s="68"/>
      <c r="AB184" s="68"/>
      <c r="AC184" s="68">
        <v>1</v>
      </c>
      <c r="AD184" s="68"/>
      <c r="AE184" s="68"/>
      <c r="AF184" s="67"/>
      <c r="AG184" s="64">
        <f t="shared" si="29"/>
        <v>12</v>
      </c>
    </row>
    <row r="185" spans="1:34" ht="18.75" x14ac:dyDescent="0.25">
      <c r="A185" s="76" t="s">
        <v>42</v>
      </c>
      <c r="B185" s="283">
        <v>1</v>
      </c>
      <c r="C185" s="69"/>
      <c r="D185" s="69"/>
      <c r="E185" s="69">
        <v>4</v>
      </c>
      <c r="F185" s="69">
        <v>13</v>
      </c>
      <c r="G185" s="69"/>
      <c r="H185" s="69">
        <v>2</v>
      </c>
      <c r="I185" s="69">
        <v>3</v>
      </c>
      <c r="J185" s="69"/>
      <c r="K185" s="69">
        <v>1</v>
      </c>
      <c r="L185" s="69"/>
      <c r="M185" s="69">
        <v>9</v>
      </c>
      <c r="N185" s="68"/>
      <c r="O185" s="68"/>
      <c r="P185" s="68">
        <v>1</v>
      </c>
      <c r="Q185" s="68"/>
      <c r="R185" s="68"/>
      <c r="S185" s="68">
        <v>13</v>
      </c>
      <c r="T185" s="68"/>
      <c r="U185" s="68"/>
      <c r="V185" s="68"/>
      <c r="W185" s="68"/>
      <c r="X185" s="68"/>
      <c r="Y185" s="68"/>
      <c r="Z185" s="68">
        <v>8</v>
      </c>
      <c r="AA185" s="68">
        <v>7</v>
      </c>
      <c r="AB185" s="68"/>
      <c r="AC185" s="68"/>
      <c r="AD185" s="68">
        <v>10</v>
      </c>
      <c r="AE185" s="68"/>
      <c r="AF185" s="67"/>
      <c r="AG185" s="64">
        <f t="shared" si="29"/>
        <v>72</v>
      </c>
    </row>
    <row r="186" spans="1:34" ht="18.75" x14ac:dyDescent="0.25">
      <c r="A186" s="76" t="s">
        <v>41</v>
      </c>
      <c r="B186" s="283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  <c r="AA186" s="68"/>
      <c r="AB186" s="68"/>
      <c r="AC186" s="68"/>
      <c r="AD186" s="68"/>
      <c r="AE186" s="68"/>
      <c r="AF186" s="67"/>
      <c r="AG186" s="64">
        <f t="shared" si="29"/>
        <v>0</v>
      </c>
    </row>
    <row r="187" spans="1:34" s="77" customFormat="1" ht="18.75" x14ac:dyDescent="0.25">
      <c r="A187" s="81" t="s">
        <v>40</v>
      </c>
      <c r="B187" s="284">
        <v>36</v>
      </c>
      <c r="C187" s="80">
        <v>34</v>
      </c>
      <c r="D187" s="80">
        <v>41</v>
      </c>
      <c r="E187" s="80">
        <v>57</v>
      </c>
      <c r="F187" s="80">
        <v>50</v>
      </c>
      <c r="G187" s="80">
        <v>54</v>
      </c>
      <c r="H187" s="80">
        <v>45</v>
      </c>
      <c r="I187" s="80">
        <v>43</v>
      </c>
      <c r="J187" s="80">
        <v>38</v>
      </c>
      <c r="K187" s="80">
        <v>37</v>
      </c>
      <c r="L187" s="80">
        <v>40</v>
      </c>
      <c r="M187" s="80">
        <v>54</v>
      </c>
      <c r="N187" s="79">
        <v>44</v>
      </c>
      <c r="O187" s="79">
        <v>54</v>
      </c>
      <c r="P187" s="79">
        <v>37</v>
      </c>
      <c r="Q187" s="79">
        <v>53</v>
      </c>
      <c r="R187" s="79">
        <v>56</v>
      </c>
      <c r="S187" s="79">
        <v>61</v>
      </c>
      <c r="T187" s="79">
        <v>40</v>
      </c>
      <c r="U187" s="79">
        <v>56</v>
      </c>
      <c r="V187" s="79">
        <v>48</v>
      </c>
      <c r="W187" s="79">
        <v>25</v>
      </c>
      <c r="X187" s="79">
        <v>38</v>
      </c>
      <c r="Y187" s="79">
        <v>56</v>
      </c>
      <c r="Z187" s="79">
        <v>56</v>
      </c>
      <c r="AA187" s="79">
        <v>47</v>
      </c>
      <c r="AB187" s="79">
        <v>58</v>
      </c>
      <c r="AC187" s="79">
        <v>58</v>
      </c>
      <c r="AD187" s="79">
        <v>42</v>
      </c>
      <c r="AE187" s="79">
        <v>55</v>
      </c>
      <c r="AF187" s="78">
        <v>38</v>
      </c>
      <c r="AG187" s="21">
        <f t="shared" si="29"/>
        <v>1451</v>
      </c>
    </row>
    <row r="188" spans="1:34" ht="18.75" x14ac:dyDescent="0.25">
      <c r="A188" s="76" t="s">
        <v>39</v>
      </c>
      <c r="B188" s="283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8"/>
      <c r="O188" s="68">
        <v>1</v>
      </c>
      <c r="P188" s="68"/>
      <c r="Q188" s="68"/>
      <c r="R188" s="68"/>
      <c r="S188" s="68"/>
      <c r="T188" s="68"/>
      <c r="U188" s="68"/>
      <c r="V188" s="68">
        <v>2</v>
      </c>
      <c r="W188" s="68"/>
      <c r="X188" s="68"/>
      <c r="Y188" s="68"/>
      <c r="Z188" s="68"/>
      <c r="AA188" s="68"/>
      <c r="AB188" s="68"/>
      <c r="AC188" s="68"/>
      <c r="AD188" s="68"/>
      <c r="AE188" s="68"/>
      <c r="AF188" s="67"/>
      <c r="AG188" s="64">
        <f t="shared" si="29"/>
        <v>3</v>
      </c>
    </row>
    <row r="189" spans="1:34" ht="18.75" x14ac:dyDescent="0.25">
      <c r="A189" s="76" t="s">
        <v>38</v>
      </c>
      <c r="B189" s="283"/>
      <c r="C189" s="69"/>
      <c r="D189" s="69"/>
      <c r="E189" s="69"/>
      <c r="F189" s="69"/>
      <c r="G189" s="69"/>
      <c r="H189" s="69">
        <v>1</v>
      </c>
      <c r="I189" s="69"/>
      <c r="J189" s="69"/>
      <c r="K189" s="69"/>
      <c r="L189" s="69"/>
      <c r="M189" s="69"/>
      <c r="N189" s="68"/>
      <c r="O189" s="68">
        <v>1</v>
      </c>
      <c r="P189" s="68"/>
      <c r="Q189" s="68"/>
      <c r="R189" s="68"/>
      <c r="S189" s="68"/>
      <c r="T189" s="68">
        <v>2</v>
      </c>
      <c r="U189" s="68"/>
      <c r="V189" s="68"/>
      <c r="W189" s="68"/>
      <c r="X189" s="68"/>
      <c r="Y189" s="68"/>
      <c r="Z189" s="68"/>
      <c r="AA189" s="68"/>
      <c r="AB189" s="68"/>
      <c r="AC189" s="68">
        <v>1</v>
      </c>
      <c r="AD189" s="68"/>
      <c r="AE189" s="68"/>
      <c r="AF189" s="67"/>
      <c r="AG189" s="64">
        <f t="shared" si="29"/>
        <v>5</v>
      </c>
    </row>
    <row r="190" spans="1:34" ht="18.75" x14ac:dyDescent="0.25">
      <c r="A190" s="76" t="s">
        <v>37</v>
      </c>
      <c r="B190" s="283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  <c r="AA190" s="68"/>
      <c r="AB190" s="68"/>
      <c r="AC190" s="68"/>
      <c r="AD190" s="68"/>
      <c r="AE190" s="68"/>
      <c r="AF190" s="67"/>
      <c r="AG190" s="64">
        <f t="shared" si="29"/>
        <v>0</v>
      </c>
    </row>
    <row r="191" spans="1:34" ht="18.75" x14ac:dyDescent="0.25">
      <c r="A191" s="76" t="s">
        <v>36</v>
      </c>
      <c r="B191" s="283">
        <v>5</v>
      </c>
      <c r="C191" s="69"/>
      <c r="D191" s="69"/>
      <c r="E191" s="69"/>
      <c r="F191" s="69"/>
      <c r="G191" s="69"/>
      <c r="H191" s="69">
        <v>6</v>
      </c>
      <c r="I191" s="69">
        <v>2</v>
      </c>
      <c r="J191" s="69"/>
      <c r="K191" s="69"/>
      <c r="L191" s="69"/>
      <c r="M191" s="69"/>
      <c r="N191" s="68"/>
      <c r="O191" s="68">
        <v>12</v>
      </c>
      <c r="P191" s="68">
        <v>2</v>
      </c>
      <c r="Q191" s="68">
        <v>1</v>
      </c>
      <c r="R191" s="68"/>
      <c r="S191" s="68"/>
      <c r="T191" s="68">
        <v>12</v>
      </c>
      <c r="U191" s="68"/>
      <c r="V191" s="68">
        <v>9</v>
      </c>
      <c r="W191" s="68">
        <v>2</v>
      </c>
      <c r="X191" s="68"/>
      <c r="Y191" s="68"/>
      <c r="Z191" s="68">
        <v>1</v>
      </c>
      <c r="AA191" s="68"/>
      <c r="AB191" s="68"/>
      <c r="AC191" s="68">
        <v>8</v>
      </c>
      <c r="AD191" s="68"/>
      <c r="AE191" s="68"/>
      <c r="AF191" s="67"/>
      <c r="AG191" s="64">
        <f t="shared" si="29"/>
        <v>60</v>
      </c>
    </row>
    <row r="192" spans="1:34" ht="18.75" x14ac:dyDescent="0.25">
      <c r="A192" s="66" t="s">
        <v>35</v>
      </c>
      <c r="B192" s="283">
        <v>1</v>
      </c>
      <c r="C192" s="69"/>
      <c r="D192" s="69"/>
      <c r="E192" s="69"/>
      <c r="F192" s="69">
        <v>2</v>
      </c>
      <c r="G192" s="69"/>
      <c r="H192" s="69"/>
      <c r="I192" s="69"/>
      <c r="J192" s="69"/>
      <c r="K192" s="69"/>
      <c r="L192" s="69"/>
      <c r="M192" s="69">
        <v>1</v>
      </c>
      <c r="N192" s="68"/>
      <c r="O192" s="68">
        <v>1</v>
      </c>
      <c r="P192" s="68"/>
      <c r="Q192" s="68"/>
      <c r="R192" s="68"/>
      <c r="S192" s="68"/>
      <c r="T192" s="68"/>
      <c r="U192" s="68">
        <v>1</v>
      </c>
      <c r="V192" s="68">
        <v>1</v>
      </c>
      <c r="W192" s="68">
        <v>1</v>
      </c>
      <c r="X192" s="68"/>
      <c r="Y192" s="68"/>
      <c r="Z192" s="68"/>
      <c r="AA192" s="68"/>
      <c r="AB192" s="68"/>
      <c r="AC192" s="68"/>
      <c r="AD192" s="68"/>
      <c r="AE192" s="68"/>
      <c r="AF192" s="67"/>
      <c r="AG192" s="64">
        <f t="shared" si="29"/>
        <v>8</v>
      </c>
    </row>
    <row r="193" spans="1:33" ht="18.75" x14ac:dyDescent="0.25">
      <c r="A193" s="66" t="s">
        <v>34</v>
      </c>
      <c r="B193" s="283"/>
      <c r="C193" s="69"/>
      <c r="D193" s="69"/>
      <c r="E193" s="69"/>
      <c r="F193" s="69"/>
      <c r="G193" s="69"/>
      <c r="H193" s="69">
        <v>1</v>
      </c>
      <c r="I193" s="69"/>
      <c r="J193" s="69"/>
      <c r="K193" s="69"/>
      <c r="L193" s="69"/>
      <c r="M193" s="69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  <c r="AA193" s="68"/>
      <c r="AB193" s="68"/>
      <c r="AC193" s="68"/>
      <c r="AD193" s="68"/>
      <c r="AE193" s="68"/>
      <c r="AF193" s="67"/>
      <c r="AG193" s="64">
        <f t="shared" si="29"/>
        <v>1</v>
      </c>
    </row>
    <row r="194" spans="1:33" ht="18.75" x14ac:dyDescent="0.25">
      <c r="A194" s="66" t="s">
        <v>33</v>
      </c>
      <c r="B194" s="283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  <c r="AA194" s="68"/>
      <c r="AB194" s="68"/>
      <c r="AC194" s="68"/>
      <c r="AD194" s="68"/>
      <c r="AE194" s="68"/>
      <c r="AF194" s="67"/>
      <c r="AG194" s="64">
        <f t="shared" si="29"/>
        <v>0</v>
      </c>
    </row>
    <row r="195" spans="1:33" ht="18.75" x14ac:dyDescent="0.25">
      <c r="A195" s="66" t="s">
        <v>32</v>
      </c>
      <c r="B195" s="283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  <c r="AA195" s="68"/>
      <c r="AB195" s="68"/>
      <c r="AC195" s="68"/>
      <c r="AD195" s="68"/>
      <c r="AE195" s="68"/>
      <c r="AF195" s="67"/>
      <c r="AG195" s="64">
        <f t="shared" si="29"/>
        <v>0</v>
      </c>
    </row>
    <row r="196" spans="1:33" ht="18.75" x14ac:dyDescent="0.25">
      <c r="A196" s="75" t="s">
        <v>31</v>
      </c>
      <c r="B196" s="285">
        <v>2</v>
      </c>
      <c r="C196" s="74">
        <v>4</v>
      </c>
      <c r="D196" s="74">
        <v>1</v>
      </c>
      <c r="E196" s="74"/>
      <c r="F196" s="74"/>
      <c r="G196" s="74">
        <v>2</v>
      </c>
      <c r="H196" s="74"/>
      <c r="I196" s="74">
        <v>1</v>
      </c>
      <c r="J196" s="74">
        <v>2</v>
      </c>
      <c r="K196" s="74">
        <v>3</v>
      </c>
      <c r="L196" s="74"/>
      <c r="M196" s="74"/>
      <c r="N196" s="73"/>
      <c r="O196" s="73"/>
      <c r="P196" s="73">
        <v>1</v>
      </c>
      <c r="Q196" s="73">
        <v>2</v>
      </c>
      <c r="R196" s="73">
        <v>6</v>
      </c>
      <c r="S196" s="73">
        <v>1</v>
      </c>
      <c r="T196" s="73"/>
      <c r="U196" s="73"/>
      <c r="V196" s="73"/>
      <c r="W196" s="73">
        <v>1</v>
      </c>
      <c r="X196" s="73">
        <v>1</v>
      </c>
      <c r="Y196" s="73">
        <v>1</v>
      </c>
      <c r="Z196" s="73"/>
      <c r="AA196" s="73">
        <v>1</v>
      </c>
      <c r="AB196" s="73"/>
      <c r="AC196" s="73"/>
      <c r="AD196" s="73">
        <v>4</v>
      </c>
      <c r="AE196" s="73">
        <v>2</v>
      </c>
      <c r="AF196" s="72">
        <v>2</v>
      </c>
      <c r="AG196" s="71">
        <f t="shared" si="29"/>
        <v>37</v>
      </c>
    </row>
    <row r="197" spans="1:33" ht="18.75" x14ac:dyDescent="0.25">
      <c r="A197" s="70" t="s">
        <v>30</v>
      </c>
      <c r="B197" s="283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  <c r="AA197" s="68"/>
      <c r="AB197" s="68"/>
      <c r="AC197" s="68"/>
      <c r="AD197" s="68"/>
      <c r="AE197" s="68"/>
      <c r="AF197" s="67"/>
      <c r="AG197" s="64">
        <f t="shared" si="29"/>
        <v>0</v>
      </c>
    </row>
    <row r="198" spans="1:33" ht="18.75" x14ac:dyDescent="0.25">
      <c r="A198" s="70" t="s">
        <v>29</v>
      </c>
      <c r="B198" s="283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  <c r="AA198" s="68"/>
      <c r="AB198" s="68"/>
      <c r="AC198" s="68"/>
      <c r="AD198" s="68"/>
      <c r="AE198" s="68"/>
      <c r="AF198" s="67"/>
      <c r="AG198" s="64">
        <f t="shared" si="29"/>
        <v>0</v>
      </c>
    </row>
    <row r="199" spans="1:33" ht="18.75" x14ac:dyDescent="0.25">
      <c r="A199" s="70" t="s">
        <v>28</v>
      </c>
      <c r="B199" s="283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  <c r="AA199" s="68"/>
      <c r="AB199" s="68"/>
      <c r="AC199" s="68"/>
      <c r="AD199" s="68"/>
      <c r="AE199" s="68"/>
      <c r="AF199" s="67"/>
      <c r="AG199" s="64">
        <f t="shared" si="29"/>
        <v>0</v>
      </c>
    </row>
    <row r="200" spans="1:33" ht="18.75" x14ac:dyDescent="0.25">
      <c r="A200" s="70" t="s">
        <v>27</v>
      </c>
      <c r="B200" s="283"/>
      <c r="C200" s="69"/>
      <c r="D200" s="69">
        <v>1</v>
      </c>
      <c r="E200" s="69"/>
      <c r="F200" s="69"/>
      <c r="G200" s="69"/>
      <c r="H200" s="69"/>
      <c r="I200" s="69"/>
      <c r="J200" s="69"/>
      <c r="K200" s="69"/>
      <c r="L200" s="69"/>
      <c r="M200" s="69"/>
      <c r="N200" s="68"/>
      <c r="O200" s="68">
        <v>1</v>
      </c>
      <c r="P200" s="68"/>
      <c r="Q200" s="68">
        <v>2</v>
      </c>
      <c r="R200" s="68"/>
      <c r="S200" s="68"/>
      <c r="T200" s="68"/>
      <c r="U200" s="68"/>
      <c r="V200" s="68"/>
      <c r="W200" s="68"/>
      <c r="X200" s="68"/>
      <c r="Y200" s="68"/>
      <c r="Z200" s="68"/>
      <c r="AA200" s="68"/>
      <c r="AB200" s="68"/>
      <c r="AC200" s="68"/>
      <c r="AD200" s="68"/>
      <c r="AE200" s="68"/>
      <c r="AF200" s="67"/>
      <c r="AG200" s="64">
        <f t="shared" si="29"/>
        <v>4</v>
      </c>
    </row>
    <row r="201" spans="1:33" ht="18.75" x14ac:dyDescent="0.25">
      <c r="A201" s="70" t="s">
        <v>26</v>
      </c>
      <c r="B201" s="283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  <c r="AA201" s="68"/>
      <c r="AB201" s="68"/>
      <c r="AC201" s="68"/>
      <c r="AD201" s="68"/>
      <c r="AE201" s="68"/>
      <c r="AF201" s="67"/>
      <c r="AG201" s="64">
        <f t="shared" si="29"/>
        <v>0</v>
      </c>
    </row>
    <row r="202" spans="1:33" ht="18.75" x14ac:dyDescent="0.25">
      <c r="A202" s="70" t="s">
        <v>25</v>
      </c>
      <c r="B202" s="283"/>
      <c r="C202" s="69"/>
      <c r="D202" s="69"/>
      <c r="E202" s="69"/>
      <c r="F202" s="69">
        <v>1</v>
      </c>
      <c r="G202" s="69"/>
      <c r="H202" s="69"/>
      <c r="I202" s="69"/>
      <c r="J202" s="69"/>
      <c r="K202" s="69"/>
      <c r="L202" s="69"/>
      <c r="M202" s="69"/>
      <c r="N202" s="68"/>
      <c r="O202" s="68"/>
      <c r="P202" s="68"/>
      <c r="Q202" s="68"/>
      <c r="R202" s="68"/>
      <c r="S202" s="68"/>
      <c r="T202" s="68"/>
      <c r="U202" s="68"/>
      <c r="V202" s="68">
        <v>1</v>
      </c>
      <c r="W202" s="68"/>
      <c r="X202" s="68"/>
      <c r="Y202" s="68"/>
      <c r="Z202" s="68"/>
      <c r="AA202" s="68"/>
      <c r="AB202" s="68"/>
      <c r="AC202" s="68"/>
      <c r="AD202" s="68"/>
      <c r="AE202" s="68"/>
      <c r="AF202" s="67"/>
      <c r="AG202" s="64">
        <f t="shared" si="29"/>
        <v>2</v>
      </c>
    </row>
    <row r="203" spans="1:33" ht="18.75" x14ac:dyDescent="0.25">
      <c r="A203" s="66" t="s">
        <v>24</v>
      </c>
      <c r="B203" s="283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>
        <v>1</v>
      </c>
      <c r="Z203" s="68"/>
      <c r="AA203" s="68"/>
      <c r="AB203" s="68"/>
      <c r="AC203" s="68">
        <v>2</v>
      </c>
      <c r="AD203" s="68"/>
      <c r="AE203" s="68"/>
      <c r="AF203" s="67"/>
      <c r="AG203" s="64">
        <f t="shared" si="29"/>
        <v>3</v>
      </c>
    </row>
    <row r="204" spans="1:33" ht="18.75" x14ac:dyDescent="0.25">
      <c r="A204" s="66" t="s">
        <v>23</v>
      </c>
      <c r="B204" s="283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  <c r="AA204" s="68"/>
      <c r="AB204" s="68"/>
      <c r="AC204" s="68"/>
      <c r="AD204" s="68"/>
      <c r="AE204" s="68"/>
      <c r="AF204" s="67"/>
      <c r="AG204" s="64">
        <f t="shared" si="29"/>
        <v>0</v>
      </c>
    </row>
    <row r="205" spans="1:33" ht="18.75" x14ac:dyDescent="0.25">
      <c r="A205" s="66" t="s">
        <v>22</v>
      </c>
      <c r="B205" s="283"/>
      <c r="C205" s="69"/>
      <c r="D205" s="69">
        <v>2</v>
      </c>
      <c r="E205" s="69"/>
      <c r="F205" s="69"/>
      <c r="G205" s="69"/>
      <c r="H205" s="69"/>
      <c r="I205" s="69"/>
      <c r="J205" s="69"/>
      <c r="K205" s="69"/>
      <c r="L205" s="69"/>
      <c r="M205" s="69">
        <v>1</v>
      </c>
      <c r="N205" s="68"/>
      <c r="O205" s="68">
        <v>1</v>
      </c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  <c r="AA205" s="68">
        <v>1</v>
      </c>
      <c r="AB205" s="68"/>
      <c r="AC205" s="68"/>
      <c r="AD205" s="68"/>
      <c r="AE205" s="68"/>
      <c r="AF205" s="67"/>
      <c r="AG205" s="64">
        <f t="shared" si="29"/>
        <v>5</v>
      </c>
    </row>
    <row r="206" spans="1:33" ht="18.75" x14ac:dyDescent="0.25">
      <c r="A206" s="66" t="s">
        <v>21</v>
      </c>
      <c r="B206" s="286">
        <v>1</v>
      </c>
      <c r="C206" s="62"/>
      <c r="D206" s="62">
        <v>1</v>
      </c>
      <c r="E206" s="62"/>
      <c r="F206" s="62"/>
      <c r="G206" s="62">
        <v>1</v>
      </c>
      <c r="H206" s="62"/>
      <c r="I206" s="62"/>
      <c r="J206" s="62"/>
      <c r="K206" s="62"/>
      <c r="L206" s="62"/>
      <c r="M206" s="62">
        <v>1</v>
      </c>
      <c r="N206" s="61">
        <v>1</v>
      </c>
      <c r="O206" s="61"/>
      <c r="P206" s="61"/>
      <c r="Q206" s="61"/>
      <c r="R206" s="61"/>
      <c r="S206" s="61"/>
      <c r="T206" s="61">
        <v>1</v>
      </c>
      <c r="U206" s="61">
        <v>2</v>
      </c>
      <c r="V206" s="61">
        <v>2</v>
      </c>
      <c r="W206" s="61">
        <v>1</v>
      </c>
      <c r="X206" s="61"/>
      <c r="Y206" s="61"/>
      <c r="Z206" s="61">
        <v>2</v>
      </c>
      <c r="AA206" s="61"/>
      <c r="AB206" s="61">
        <v>1</v>
      </c>
      <c r="AC206" s="61">
        <v>1</v>
      </c>
      <c r="AD206" s="61"/>
      <c r="AE206" s="61"/>
      <c r="AF206" s="60"/>
      <c r="AG206" s="64">
        <f t="shared" si="29"/>
        <v>15</v>
      </c>
    </row>
    <row r="207" spans="1:33" ht="18.75" x14ac:dyDescent="0.25">
      <c r="A207" s="65" t="s">
        <v>20</v>
      </c>
      <c r="B207" s="286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1"/>
      <c r="O207" s="61"/>
      <c r="P207" s="61"/>
      <c r="Q207" s="61">
        <v>1</v>
      </c>
      <c r="R207" s="61"/>
      <c r="S207" s="61">
        <v>1</v>
      </c>
      <c r="T207" s="61"/>
      <c r="U207" s="61"/>
      <c r="V207" s="61">
        <v>1</v>
      </c>
      <c r="W207" s="61"/>
      <c r="X207" s="61"/>
      <c r="Y207" s="61"/>
      <c r="Z207" s="61"/>
      <c r="AA207" s="61">
        <v>1</v>
      </c>
      <c r="AB207" s="61"/>
      <c r="AC207" s="61"/>
      <c r="AD207" s="61"/>
      <c r="AE207" s="61"/>
      <c r="AF207" s="60"/>
      <c r="AG207" s="64">
        <f t="shared" si="29"/>
        <v>4</v>
      </c>
    </row>
    <row r="208" spans="1:33" ht="19.5" thickBot="1" x14ac:dyDescent="0.3">
      <c r="A208" s="63" t="s">
        <v>19</v>
      </c>
      <c r="B208" s="286"/>
      <c r="C208" s="62">
        <v>1</v>
      </c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  <c r="AA208" s="61">
        <v>1</v>
      </c>
      <c r="AB208" s="61"/>
      <c r="AC208" s="61"/>
      <c r="AD208" s="61"/>
      <c r="AE208" s="61"/>
      <c r="AF208" s="60"/>
      <c r="AG208" s="10">
        <f t="shared" si="29"/>
        <v>2</v>
      </c>
    </row>
    <row r="209" spans="1:34" ht="19.5" thickBot="1" x14ac:dyDescent="0.3">
      <c r="A209" s="59" t="s">
        <v>18</v>
      </c>
      <c r="B209" s="287">
        <f t="shared" ref="B209:AF209" si="31">SUM(B210:B214)</f>
        <v>113</v>
      </c>
      <c r="C209" s="57">
        <f t="shared" si="31"/>
        <v>112</v>
      </c>
      <c r="D209" s="57">
        <f t="shared" si="31"/>
        <v>154</v>
      </c>
      <c r="E209" s="57">
        <f t="shared" si="31"/>
        <v>148</v>
      </c>
      <c r="F209" s="57">
        <f t="shared" si="31"/>
        <v>153</v>
      </c>
      <c r="G209" s="57">
        <f t="shared" si="31"/>
        <v>143</v>
      </c>
      <c r="H209" s="57">
        <f t="shared" si="31"/>
        <v>128</v>
      </c>
      <c r="I209" s="57">
        <f t="shared" si="31"/>
        <v>126</v>
      </c>
      <c r="J209" s="57">
        <f t="shared" si="31"/>
        <v>131</v>
      </c>
      <c r="K209" s="57">
        <f t="shared" si="31"/>
        <v>146</v>
      </c>
      <c r="L209" s="57">
        <f t="shared" si="31"/>
        <v>173</v>
      </c>
      <c r="M209" s="57">
        <f t="shared" si="31"/>
        <v>157</v>
      </c>
      <c r="N209" s="56">
        <f t="shared" si="31"/>
        <v>132</v>
      </c>
      <c r="O209" s="56">
        <f t="shared" si="31"/>
        <v>137</v>
      </c>
      <c r="P209" s="56">
        <f t="shared" si="31"/>
        <v>119</v>
      </c>
      <c r="Q209" s="56">
        <f t="shared" si="31"/>
        <v>179</v>
      </c>
      <c r="R209" s="56">
        <f t="shared" si="31"/>
        <v>180</v>
      </c>
      <c r="S209" s="56">
        <f t="shared" si="31"/>
        <v>151</v>
      </c>
      <c r="T209" s="56">
        <f t="shared" si="31"/>
        <v>143</v>
      </c>
      <c r="U209" s="56">
        <f t="shared" si="31"/>
        <v>157</v>
      </c>
      <c r="V209" s="56">
        <f t="shared" si="31"/>
        <v>144</v>
      </c>
      <c r="W209" s="56">
        <f t="shared" si="31"/>
        <v>143</v>
      </c>
      <c r="X209" s="56">
        <f t="shared" si="31"/>
        <v>167</v>
      </c>
      <c r="Y209" s="56">
        <f t="shared" si="31"/>
        <v>172</v>
      </c>
      <c r="Z209" s="56">
        <f t="shared" si="31"/>
        <v>147</v>
      </c>
      <c r="AA209" s="56">
        <f t="shared" si="31"/>
        <v>138</v>
      </c>
      <c r="AB209" s="56">
        <f t="shared" si="31"/>
        <v>152</v>
      </c>
      <c r="AC209" s="56">
        <f t="shared" si="31"/>
        <v>152</v>
      </c>
      <c r="AD209" s="56">
        <f t="shared" si="31"/>
        <v>147</v>
      </c>
      <c r="AE209" s="56">
        <f t="shared" si="31"/>
        <v>152</v>
      </c>
      <c r="AF209" s="55">
        <f t="shared" si="31"/>
        <v>153</v>
      </c>
      <c r="AG209" s="54">
        <f t="shared" si="29"/>
        <v>4549</v>
      </c>
      <c r="AH209" s="53" t="str">
        <f>IF(AG209&lt;&gt;AG93,"X","")</f>
        <v/>
      </c>
    </row>
    <row r="210" spans="1:34" ht="18.75" x14ac:dyDescent="0.25">
      <c r="A210" s="344" t="s">
        <v>17</v>
      </c>
      <c r="B210" s="288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0"/>
      <c r="AB210" s="50"/>
      <c r="AC210" s="50">
        <v>1</v>
      </c>
      <c r="AD210" s="50"/>
      <c r="AE210" s="50"/>
      <c r="AF210" s="49"/>
      <c r="AG210" s="48">
        <f t="shared" si="29"/>
        <v>1</v>
      </c>
    </row>
    <row r="211" spans="1:34" ht="18.75" x14ac:dyDescent="0.25">
      <c r="A211" s="345" t="s">
        <v>16</v>
      </c>
      <c r="B211" s="289">
        <v>1</v>
      </c>
      <c r="C211" s="46">
        <v>1</v>
      </c>
      <c r="D211" s="46"/>
      <c r="E211" s="46">
        <v>2</v>
      </c>
      <c r="F211" s="46">
        <v>2</v>
      </c>
      <c r="G211" s="46">
        <v>2</v>
      </c>
      <c r="H211" s="46">
        <v>2</v>
      </c>
      <c r="I211" s="46">
        <v>4</v>
      </c>
      <c r="J211" s="46"/>
      <c r="K211" s="46"/>
      <c r="L211" s="46">
        <v>1</v>
      </c>
      <c r="M211" s="46"/>
      <c r="N211" s="45">
        <v>2</v>
      </c>
      <c r="O211" s="45">
        <v>1</v>
      </c>
      <c r="P211" s="45">
        <v>1</v>
      </c>
      <c r="Q211" s="45">
        <v>1</v>
      </c>
      <c r="R211" s="45"/>
      <c r="S211" s="45">
        <v>2</v>
      </c>
      <c r="T211" s="45">
        <v>1</v>
      </c>
      <c r="U211" s="45"/>
      <c r="V211" s="45">
        <v>2</v>
      </c>
      <c r="W211" s="45">
        <v>3</v>
      </c>
      <c r="X211" s="45">
        <v>2</v>
      </c>
      <c r="Y211" s="45">
        <v>2</v>
      </c>
      <c r="Z211" s="45">
        <v>1</v>
      </c>
      <c r="AA211" s="45"/>
      <c r="AB211" s="45"/>
      <c r="AC211" s="45"/>
      <c r="AD211" s="45"/>
      <c r="AE211" s="45"/>
      <c r="AF211" s="44"/>
      <c r="AG211" s="43">
        <f t="shared" si="29"/>
        <v>33</v>
      </c>
    </row>
    <row r="212" spans="1:34" ht="18.75" x14ac:dyDescent="0.25">
      <c r="A212" s="345" t="s">
        <v>15</v>
      </c>
      <c r="B212" s="289">
        <v>22</v>
      </c>
      <c r="C212" s="46">
        <v>19</v>
      </c>
      <c r="D212" s="46">
        <v>11</v>
      </c>
      <c r="E212" s="46">
        <v>3</v>
      </c>
      <c r="F212" s="46">
        <v>12</v>
      </c>
      <c r="G212" s="46">
        <v>9</v>
      </c>
      <c r="H212" s="46">
        <v>7</v>
      </c>
      <c r="I212" s="46">
        <v>17</v>
      </c>
      <c r="J212" s="46">
        <v>15</v>
      </c>
      <c r="K212" s="46">
        <v>19</v>
      </c>
      <c r="L212" s="46">
        <v>22</v>
      </c>
      <c r="M212" s="46">
        <v>6</v>
      </c>
      <c r="N212" s="45">
        <v>14</v>
      </c>
      <c r="O212" s="45">
        <v>10</v>
      </c>
      <c r="P212" s="45">
        <v>14</v>
      </c>
      <c r="Q212" s="45">
        <v>10</v>
      </c>
      <c r="R212" s="45">
        <v>21</v>
      </c>
      <c r="S212" s="45">
        <v>11</v>
      </c>
      <c r="T212" s="45">
        <v>8</v>
      </c>
      <c r="U212" s="45">
        <v>19</v>
      </c>
      <c r="V212" s="45">
        <v>7</v>
      </c>
      <c r="W212" s="45">
        <v>13</v>
      </c>
      <c r="X212" s="45">
        <v>14</v>
      </c>
      <c r="Y212" s="45">
        <v>11</v>
      </c>
      <c r="Z212" s="45">
        <v>16</v>
      </c>
      <c r="AA212" s="45">
        <v>17</v>
      </c>
      <c r="AB212" s="45">
        <v>20</v>
      </c>
      <c r="AC212" s="45">
        <v>13</v>
      </c>
      <c r="AD212" s="45">
        <v>18</v>
      </c>
      <c r="AE212" s="45">
        <v>18</v>
      </c>
      <c r="AF212" s="44">
        <v>8</v>
      </c>
      <c r="AG212" s="43">
        <f t="shared" ref="AG212:AG223" si="32">SUM(B212:AF212)</f>
        <v>424</v>
      </c>
    </row>
    <row r="213" spans="1:34" ht="18.75" x14ac:dyDescent="0.25">
      <c r="A213" s="345" t="s">
        <v>14</v>
      </c>
      <c r="B213" s="289">
        <v>75</v>
      </c>
      <c r="C213" s="46">
        <v>67</v>
      </c>
      <c r="D213" s="46">
        <v>128</v>
      </c>
      <c r="E213" s="46">
        <v>113</v>
      </c>
      <c r="F213" s="46">
        <v>101</v>
      </c>
      <c r="G213" s="46">
        <v>116</v>
      </c>
      <c r="H213" s="46">
        <v>94</v>
      </c>
      <c r="I213" s="46">
        <v>79</v>
      </c>
      <c r="J213" s="46">
        <v>79</v>
      </c>
      <c r="K213" s="46">
        <v>106</v>
      </c>
      <c r="L213" s="46">
        <v>93</v>
      </c>
      <c r="M213" s="46">
        <v>128</v>
      </c>
      <c r="N213" s="45">
        <v>94</v>
      </c>
      <c r="O213" s="45">
        <v>92</v>
      </c>
      <c r="P213" s="45">
        <v>74</v>
      </c>
      <c r="Q213" s="45">
        <v>123</v>
      </c>
      <c r="R213" s="45">
        <v>149</v>
      </c>
      <c r="S213" s="45">
        <v>122</v>
      </c>
      <c r="T213" s="45">
        <v>85</v>
      </c>
      <c r="U213" s="45">
        <v>109</v>
      </c>
      <c r="V213" s="45">
        <v>99</v>
      </c>
      <c r="W213" s="45">
        <v>85</v>
      </c>
      <c r="X213" s="45">
        <v>82</v>
      </c>
      <c r="Y213" s="45">
        <v>104</v>
      </c>
      <c r="Z213" s="45">
        <v>114</v>
      </c>
      <c r="AA213" s="45">
        <v>94</v>
      </c>
      <c r="AB213" s="45">
        <v>92</v>
      </c>
      <c r="AC213" s="45">
        <v>119</v>
      </c>
      <c r="AD213" s="45">
        <v>112</v>
      </c>
      <c r="AE213" s="45">
        <v>92</v>
      </c>
      <c r="AF213" s="44">
        <v>119</v>
      </c>
      <c r="AG213" s="43">
        <f t="shared" si="32"/>
        <v>3139</v>
      </c>
    </row>
    <row r="214" spans="1:34" ht="19.5" thickBot="1" x14ac:dyDescent="0.3">
      <c r="A214" s="346" t="s">
        <v>13</v>
      </c>
      <c r="B214" s="290">
        <v>15</v>
      </c>
      <c r="C214" s="41">
        <v>25</v>
      </c>
      <c r="D214" s="41">
        <v>15</v>
      </c>
      <c r="E214" s="41">
        <v>30</v>
      </c>
      <c r="F214" s="41">
        <v>38</v>
      </c>
      <c r="G214" s="41">
        <v>16</v>
      </c>
      <c r="H214" s="41">
        <v>25</v>
      </c>
      <c r="I214" s="41">
        <v>26</v>
      </c>
      <c r="J214" s="41">
        <v>37</v>
      </c>
      <c r="K214" s="41">
        <v>21</v>
      </c>
      <c r="L214" s="41">
        <v>57</v>
      </c>
      <c r="M214" s="41">
        <v>23</v>
      </c>
      <c r="N214" s="40">
        <v>22</v>
      </c>
      <c r="O214" s="40">
        <v>34</v>
      </c>
      <c r="P214" s="40">
        <v>30</v>
      </c>
      <c r="Q214" s="40">
        <v>45</v>
      </c>
      <c r="R214" s="40">
        <v>10</v>
      </c>
      <c r="S214" s="40">
        <v>16</v>
      </c>
      <c r="T214" s="40">
        <v>49</v>
      </c>
      <c r="U214" s="40">
        <v>29</v>
      </c>
      <c r="V214" s="40">
        <v>36</v>
      </c>
      <c r="W214" s="40">
        <v>42</v>
      </c>
      <c r="X214" s="40">
        <v>69</v>
      </c>
      <c r="Y214" s="40">
        <v>55</v>
      </c>
      <c r="Z214" s="40">
        <v>16</v>
      </c>
      <c r="AA214" s="40">
        <v>27</v>
      </c>
      <c r="AB214" s="40">
        <v>40</v>
      </c>
      <c r="AC214" s="40">
        <v>19</v>
      </c>
      <c r="AD214" s="40">
        <v>17</v>
      </c>
      <c r="AE214" s="40">
        <v>42</v>
      </c>
      <c r="AF214" s="39">
        <v>26</v>
      </c>
      <c r="AG214" s="38">
        <f t="shared" si="32"/>
        <v>952</v>
      </c>
    </row>
    <row r="215" spans="1:34" ht="19.5" thickBot="1" x14ac:dyDescent="0.3">
      <c r="A215" s="333" t="s">
        <v>12</v>
      </c>
      <c r="B215" s="291">
        <f t="shared" ref="B215:AF215" si="33">SUM(B216:B219)</f>
        <v>2</v>
      </c>
      <c r="C215" s="36">
        <f t="shared" si="33"/>
        <v>0</v>
      </c>
      <c r="D215" s="36">
        <f t="shared" si="33"/>
        <v>0</v>
      </c>
      <c r="E215" s="36">
        <f t="shared" si="33"/>
        <v>5</v>
      </c>
      <c r="F215" s="36">
        <f t="shared" si="33"/>
        <v>5</v>
      </c>
      <c r="G215" s="36">
        <f t="shared" si="33"/>
        <v>4</v>
      </c>
      <c r="H215" s="36">
        <f t="shared" si="33"/>
        <v>46</v>
      </c>
      <c r="I215" s="36">
        <f t="shared" si="33"/>
        <v>34</v>
      </c>
      <c r="J215" s="36">
        <f t="shared" si="33"/>
        <v>30</v>
      </c>
      <c r="K215" s="36">
        <f t="shared" si="33"/>
        <v>18</v>
      </c>
      <c r="L215" s="36">
        <f t="shared" si="33"/>
        <v>32</v>
      </c>
      <c r="M215" s="36">
        <f t="shared" si="33"/>
        <v>43</v>
      </c>
      <c r="N215" s="35">
        <f t="shared" si="33"/>
        <v>41</v>
      </c>
      <c r="O215" s="35">
        <f t="shared" si="33"/>
        <v>27</v>
      </c>
      <c r="P215" s="35">
        <f t="shared" si="33"/>
        <v>41</v>
      </c>
      <c r="Q215" s="35">
        <f t="shared" si="33"/>
        <v>39</v>
      </c>
      <c r="R215" s="35">
        <f t="shared" si="33"/>
        <v>39</v>
      </c>
      <c r="S215" s="35">
        <f t="shared" si="33"/>
        <v>1</v>
      </c>
      <c r="T215" s="35">
        <f t="shared" si="33"/>
        <v>40</v>
      </c>
      <c r="U215" s="35">
        <f t="shared" si="33"/>
        <v>51</v>
      </c>
      <c r="V215" s="35">
        <f t="shared" si="33"/>
        <v>39</v>
      </c>
      <c r="W215" s="35">
        <f t="shared" si="33"/>
        <v>22</v>
      </c>
      <c r="X215" s="35">
        <f t="shared" si="33"/>
        <v>23</v>
      </c>
      <c r="Y215" s="35">
        <f t="shared" si="33"/>
        <v>48</v>
      </c>
      <c r="Z215" s="35">
        <f t="shared" si="33"/>
        <v>58</v>
      </c>
      <c r="AA215" s="35">
        <f t="shared" si="33"/>
        <v>44</v>
      </c>
      <c r="AB215" s="35">
        <f t="shared" si="33"/>
        <v>50</v>
      </c>
      <c r="AC215" s="35">
        <f t="shared" si="33"/>
        <v>40</v>
      </c>
      <c r="AD215" s="35">
        <f t="shared" si="33"/>
        <v>36</v>
      </c>
      <c r="AE215" s="35">
        <f t="shared" si="33"/>
        <v>45</v>
      </c>
      <c r="AF215" s="34">
        <f t="shared" si="33"/>
        <v>26</v>
      </c>
      <c r="AG215" s="33">
        <f t="shared" si="32"/>
        <v>929</v>
      </c>
    </row>
    <row r="216" spans="1:34" ht="18.75" x14ac:dyDescent="0.25">
      <c r="A216" s="81" t="s">
        <v>7</v>
      </c>
      <c r="B216" s="292">
        <v>0</v>
      </c>
      <c r="C216" s="31">
        <v>0</v>
      </c>
      <c r="D216" s="31">
        <v>0</v>
      </c>
      <c r="E216" s="31">
        <v>0</v>
      </c>
      <c r="F216" s="31">
        <v>0</v>
      </c>
      <c r="G216" s="31">
        <v>0</v>
      </c>
      <c r="H216" s="31">
        <v>0</v>
      </c>
      <c r="I216" s="31">
        <v>3</v>
      </c>
      <c r="J216" s="31">
        <v>0</v>
      </c>
      <c r="K216" s="31">
        <v>1</v>
      </c>
      <c r="L216" s="31">
        <v>1</v>
      </c>
      <c r="M216" s="31">
        <v>2</v>
      </c>
      <c r="N216" s="30">
        <v>0</v>
      </c>
      <c r="O216" s="30">
        <v>0</v>
      </c>
      <c r="P216" s="30">
        <v>1</v>
      </c>
      <c r="Q216" s="30">
        <v>1</v>
      </c>
      <c r="R216" s="30">
        <v>1</v>
      </c>
      <c r="S216" s="30">
        <v>0</v>
      </c>
      <c r="T216" s="30">
        <v>1</v>
      </c>
      <c r="U216" s="30">
        <v>0</v>
      </c>
      <c r="V216" s="30">
        <v>1</v>
      </c>
      <c r="W216" s="30">
        <v>3</v>
      </c>
      <c r="X216" s="30">
        <v>0</v>
      </c>
      <c r="Y216" s="30">
        <v>8</v>
      </c>
      <c r="Z216" s="30">
        <v>5</v>
      </c>
      <c r="AA216" s="30">
        <v>1</v>
      </c>
      <c r="AB216" s="30">
        <v>3</v>
      </c>
      <c r="AC216" s="30">
        <v>3</v>
      </c>
      <c r="AD216" s="30">
        <v>6</v>
      </c>
      <c r="AE216" s="30">
        <v>3</v>
      </c>
      <c r="AF216" s="29">
        <v>1</v>
      </c>
      <c r="AG216" s="28">
        <f t="shared" si="32"/>
        <v>45</v>
      </c>
    </row>
    <row r="217" spans="1:34" ht="18.75" x14ac:dyDescent="0.25">
      <c r="A217" s="347" t="s">
        <v>11</v>
      </c>
      <c r="B217" s="293">
        <v>2</v>
      </c>
      <c r="C217" s="25">
        <v>0</v>
      </c>
      <c r="D217" s="25">
        <v>0</v>
      </c>
      <c r="E217" s="25">
        <v>5</v>
      </c>
      <c r="F217" s="25">
        <v>5</v>
      </c>
      <c r="G217" s="25">
        <v>4</v>
      </c>
      <c r="H217" s="25">
        <v>44</v>
      </c>
      <c r="I217" s="25">
        <v>30</v>
      </c>
      <c r="J217" s="25">
        <v>30</v>
      </c>
      <c r="K217" s="25">
        <v>17</v>
      </c>
      <c r="L217" s="25">
        <v>30</v>
      </c>
      <c r="M217" s="25">
        <v>35</v>
      </c>
      <c r="N217" s="24">
        <v>39</v>
      </c>
      <c r="O217" s="24">
        <v>18</v>
      </c>
      <c r="P217" s="24">
        <v>36</v>
      </c>
      <c r="Q217" s="24">
        <v>38</v>
      </c>
      <c r="R217" s="24">
        <v>37</v>
      </c>
      <c r="S217" s="24">
        <v>1</v>
      </c>
      <c r="T217" s="24">
        <v>36</v>
      </c>
      <c r="U217" s="24">
        <v>51</v>
      </c>
      <c r="V217" s="24">
        <v>38</v>
      </c>
      <c r="W217" s="24">
        <v>18</v>
      </c>
      <c r="X217" s="24">
        <v>23</v>
      </c>
      <c r="Y217" s="24">
        <v>39</v>
      </c>
      <c r="Z217" s="24">
        <v>43</v>
      </c>
      <c r="AA217" s="24">
        <v>35</v>
      </c>
      <c r="AB217" s="24">
        <v>40</v>
      </c>
      <c r="AC217" s="24">
        <v>37</v>
      </c>
      <c r="AD217" s="24">
        <v>29</v>
      </c>
      <c r="AE217" s="24">
        <v>42</v>
      </c>
      <c r="AF217" s="23">
        <v>25</v>
      </c>
      <c r="AG217" s="21">
        <f t="shared" si="32"/>
        <v>827</v>
      </c>
    </row>
    <row r="218" spans="1:34" ht="18.75" x14ac:dyDescent="0.25">
      <c r="A218" s="348" t="s">
        <v>169</v>
      </c>
      <c r="B218" s="293">
        <v>0</v>
      </c>
      <c r="C218" s="25">
        <v>0</v>
      </c>
      <c r="D218" s="25">
        <v>0</v>
      </c>
      <c r="E218" s="25">
        <v>0</v>
      </c>
      <c r="F218" s="25">
        <v>0</v>
      </c>
      <c r="G218" s="25">
        <v>0</v>
      </c>
      <c r="H218" s="25">
        <v>0</v>
      </c>
      <c r="I218" s="25">
        <v>0</v>
      </c>
      <c r="J218" s="25">
        <v>0</v>
      </c>
      <c r="K218" s="25">
        <v>0</v>
      </c>
      <c r="L218" s="25">
        <v>0</v>
      </c>
      <c r="M218" s="25">
        <v>0</v>
      </c>
      <c r="N218" s="24">
        <v>0</v>
      </c>
      <c r="O218" s="24">
        <v>1</v>
      </c>
      <c r="P218" s="24">
        <v>0</v>
      </c>
      <c r="Q218" s="24">
        <v>0</v>
      </c>
      <c r="R218" s="24">
        <v>1</v>
      </c>
      <c r="S218" s="24">
        <v>0</v>
      </c>
      <c r="T218" s="24">
        <v>3</v>
      </c>
      <c r="U218" s="24">
        <v>0</v>
      </c>
      <c r="V218" s="24">
        <v>0</v>
      </c>
      <c r="W218" s="24">
        <v>0</v>
      </c>
      <c r="X218" s="24">
        <v>0</v>
      </c>
      <c r="Y218" s="24">
        <v>0</v>
      </c>
      <c r="Z218" s="24">
        <v>0</v>
      </c>
      <c r="AA218" s="24">
        <v>0</v>
      </c>
      <c r="AB218" s="24">
        <v>0</v>
      </c>
      <c r="AC218" s="24">
        <v>0</v>
      </c>
      <c r="AD218" s="24">
        <v>0</v>
      </c>
      <c r="AE218" s="24">
        <v>0</v>
      </c>
      <c r="AF218" s="23">
        <v>0</v>
      </c>
      <c r="AG218" s="21">
        <f t="shared" si="32"/>
        <v>5</v>
      </c>
    </row>
    <row r="219" spans="1:34" ht="19.5" thickBot="1" x14ac:dyDescent="0.3">
      <c r="A219" s="348" t="s">
        <v>8</v>
      </c>
      <c r="B219" s="293">
        <v>0</v>
      </c>
      <c r="C219" s="25">
        <v>0</v>
      </c>
      <c r="D219" s="25">
        <v>0</v>
      </c>
      <c r="E219" s="25">
        <v>0</v>
      </c>
      <c r="F219" s="25">
        <v>0</v>
      </c>
      <c r="G219" s="25">
        <v>0</v>
      </c>
      <c r="H219" s="25">
        <v>2</v>
      </c>
      <c r="I219" s="25">
        <v>1</v>
      </c>
      <c r="J219" s="25">
        <v>0</v>
      </c>
      <c r="K219" s="25">
        <v>0</v>
      </c>
      <c r="L219" s="25">
        <v>1</v>
      </c>
      <c r="M219" s="25">
        <v>6</v>
      </c>
      <c r="N219" s="24">
        <v>2</v>
      </c>
      <c r="O219" s="24">
        <v>8</v>
      </c>
      <c r="P219" s="24">
        <v>4</v>
      </c>
      <c r="Q219" s="24">
        <v>0</v>
      </c>
      <c r="R219" s="24">
        <v>0</v>
      </c>
      <c r="S219" s="24">
        <v>0</v>
      </c>
      <c r="T219" s="24">
        <v>0</v>
      </c>
      <c r="U219" s="24">
        <v>0</v>
      </c>
      <c r="V219" s="24">
        <v>0</v>
      </c>
      <c r="W219" s="24">
        <v>1</v>
      </c>
      <c r="X219" s="24">
        <v>0</v>
      </c>
      <c r="Y219" s="24">
        <v>1</v>
      </c>
      <c r="Z219" s="24">
        <v>10</v>
      </c>
      <c r="AA219" s="24">
        <v>8</v>
      </c>
      <c r="AB219" s="24">
        <v>7</v>
      </c>
      <c r="AC219" s="24">
        <v>0</v>
      </c>
      <c r="AD219" s="24">
        <v>1</v>
      </c>
      <c r="AE219" s="24">
        <v>0</v>
      </c>
      <c r="AF219" s="23">
        <v>0</v>
      </c>
      <c r="AG219" s="21">
        <f t="shared" si="32"/>
        <v>52</v>
      </c>
    </row>
    <row r="220" spans="1:34" ht="19.5" thickBot="1" x14ac:dyDescent="0.3">
      <c r="A220" s="327" t="s">
        <v>164</v>
      </c>
      <c r="B220" s="266">
        <f t="shared" ref="B220:AF220" si="34">SUM(B221:B223)</f>
        <v>32</v>
      </c>
      <c r="C220" s="143">
        <f t="shared" si="34"/>
        <v>26</v>
      </c>
      <c r="D220" s="143">
        <f t="shared" si="34"/>
        <v>35</v>
      </c>
      <c r="E220" s="143">
        <f t="shared" si="34"/>
        <v>54</v>
      </c>
      <c r="F220" s="143">
        <f t="shared" si="34"/>
        <v>47</v>
      </c>
      <c r="G220" s="143">
        <f t="shared" si="34"/>
        <v>42</v>
      </c>
      <c r="H220" s="143">
        <f t="shared" si="34"/>
        <v>4</v>
      </c>
      <c r="I220" s="143">
        <f t="shared" si="34"/>
        <v>2</v>
      </c>
      <c r="J220" s="143">
        <f t="shared" si="34"/>
        <v>0</v>
      </c>
      <c r="K220" s="143">
        <f t="shared" si="34"/>
        <v>0</v>
      </c>
      <c r="L220" s="143">
        <f t="shared" si="34"/>
        <v>0</v>
      </c>
      <c r="M220" s="143">
        <f t="shared" si="34"/>
        <v>7</v>
      </c>
      <c r="N220" s="143">
        <f t="shared" si="34"/>
        <v>0</v>
      </c>
      <c r="O220" s="143">
        <f t="shared" si="34"/>
        <v>2</v>
      </c>
      <c r="P220" s="143">
        <f t="shared" si="34"/>
        <v>3</v>
      </c>
      <c r="Q220" s="143">
        <f t="shared" si="34"/>
        <v>1</v>
      </c>
      <c r="R220" s="143">
        <f t="shared" si="34"/>
        <v>1</v>
      </c>
      <c r="S220" s="143">
        <f t="shared" si="34"/>
        <v>46</v>
      </c>
      <c r="T220" s="143">
        <f t="shared" si="34"/>
        <v>0</v>
      </c>
      <c r="U220" s="143">
        <f t="shared" si="34"/>
        <v>0</v>
      </c>
      <c r="V220" s="143">
        <f t="shared" si="34"/>
        <v>3</v>
      </c>
      <c r="W220" s="143">
        <f t="shared" si="34"/>
        <v>0</v>
      </c>
      <c r="X220" s="143">
        <f t="shared" si="34"/>
        <v>0</v>
      </c>
      <c r="Y220" s="143">
        <f t="shared" si="34"/>
        <v>0</v>
      </c>
      <c r="Z220" s="143">
        <f t="shared" si="34"/>
        <v>3</v>
      </c>
      <c r="AA220" s="143">
        <f t="shared" si="34"/>
        <v>4</v>
      </c>
      <c r="AB220" s="143">
        <f t="shared" si="34"/>
        <v>1</v>
      </c>
      <c r="AC220" s="143">
        <f t="shared" si="34"/>
        <v>2</v>
      </c>
      <c r="AD220" s="143">
        <f t="shared" si="34"/>
        <v>6</v>
      </c>
      <c r="AE220" s="143">
        <f t="shared" si="34"/>
        <v>0</v>
      </c>
      <c r="AF220" s="143">
        <f t="shared" si="34"/>
        <v>0</v>
      </c>
      <c r="AG220" s="86">
        <f t="shared" si="32"/>
        <v>321</v>
      </c>
    </row>
    <row r="221" spans="1:34" ht="18.75" x14ac:dyDescent="0.25">
      <c r="A221" s="349" t="s">
        <v>165</v>
      </c>
      <c r="B221" s="355">
        <v>0</v>
      </c>
      <c r="C221" s="218">
        <v>0</v>
      </c>
      <c r="D221" s="218">
        <v>0</v>
      </c>
      <c r="E221" s="218">
        <v>1</v>
      </c>
      <c r="F221" s="218">
        <v>1</v>
      </c>
      <c r="G221" s="218">
        <v>0</v>
      </c>
      <c r="H221" s="218">
        <v>0</v>
      </c>
      <c r="I221" s="218">
        <v>0</v>
      </c>
      <c r="J221" s="218">
        <v>0</v>
      </c>
      <c r="K221" s="218">
        <v>0</v>
      </c>
      <c r="L221" s="218">
        <v>0</v>
      </c>
      <c r="M221" s="218">
        <v>1</v>
      </c>
      <c r="N221" s="218">
        <v>0</v>
      </c>
      <c r="O221" s="218">
        <v>0</v>
      </c>
      <c r="P221" s="218">
        <v>0</v>
      </c>
      <c r="Q221" s="218">
        <v>0</v>
      </c>
      <c r="R221" s="218">
        <v>0</v>
      </c>
      <c r="S221" s="218">
        <v>2</v>
      </c>
      <c r="T221" s="218">
        <v>0</v>
      </c>
      <c r="U221" s="218">
        <v>0</v>
      </c>
      <c r="V221" s="218">
        <v>0</v>
      </c>
      <c r="W221" s="218">
        <v>0</v>
      </c>
      <c r="X221" s="218">
        <v>0</v>
      </c>
      <c r="Y221" s="218">
        <v>0</v>
      </c>
      <c r="Z221" s="218">
        <v>0</v>
      </c>
      <c r="AA221" s="218">
        <v>0</v>
      </c>
      <c r="AB221" s="218">
        <v>0</v>
      </c>
      <c r="AC221" s="218">
        <v>0</v>
      </c>
      <c r="AD221" s="218">
        <v>1</v>
      </c>
      <c r="AE221" s="218">
        <v>0</v>
      </c>
      <c r="AF221" s="218">
        <v>0</v>
      </c>
      <c r="AG221" s="225">
        <f t="shared" si="32"/>
        <v>6</v>
      </c>
    </row>
    <row r="222" spans="1:34" ht="18.75" x14ac:dyDescent="0.25">
      <c r="A222" s="350" t="s">
        <v>166</v>
      </c>
      <c r="B222" s="273">
        <v>32</v>
      </c>
      <c r="C222" s="124">
        <v>26</v>
      </c>
      <c r="D222" s="124">
        <v>33</v>
      </c>
      <c r="E222" s="124">
        <v>45</v>
      </c>
      <c r="F222" s="124">
        <v>44</v>
      </c>
      <c r="G222" s="124">
        <v>32</v>
      </c>
      <c r="H222" s="124">
        <v>4</v>
      </c>
      <c r="I222" s="124">
        <v>2</v>
      </c>
      <c r="J222" s="124">
        <v>0</v>
      </c>
      <c r="K222" s="124">
        <v>0</v>
      </c>
      <c r="L222" s="124">
        <v>0</v>
      </c>
      <c r="M222" s="124">
        <v>6</v>
      </c>
      <c r="N222" s="124">
        <v>0</v>
      </c>
      <c r="O222" s="124">
        <v>2</v>
      </c>
      <c r="P222" s="124">
        <v>3</v>
      </c>
      <c r="Q222" s="124">
        <v>1</v>
      </c>
      <c r="R222" s="124">
        <v>1</v>
      </c>
      <c r="S222" s="124">
        <v>40</v>
      </c>
      <c r="T222" s="124">
        <v>0</v>
      </c>
      <c r="U222" s="124">
        <v>0</v>
      </c>
      <c r="V222" s="124">
        <v>3</v>
      </c>
      <c r="W222" s="124">
        <v>0</v>
      </c>
      <c r="X222" s="124">
        <v>0</v>
      </c>
      <c r="Y222" s="124">
        <v>0</v>
      </c>
      <c r="Z222" s="124">
        <v>3</v>
      </c>
      <c r="AA222" s="124">
        <v>4</v>
      </c>
      <c r="AB222" s="124">
        <v>1</v>
      </c>
      <c r="AC222" s="124">
        <v>2</v>
      </c>
      <c r="AD222" s="124">
        <v>5</v>
      </c>
      <c r="AE222" s="124">
        <v>0</v>
      </c>
      <c r="AF222" s="124">
        <v>0</v>
      </c>
      <c r="AG222" s="122">
        <f t="shared" si="32"/>
        <v>289</v>
      </c>
    </row>
    <row r="223" spans="1:34" ht="19.5" thickBot="1" x14ac:dyDescent="0.3">
      <c r="A223" s="324" t="s">
        <v>167</v>
      </c>
      <c r="B223" s="263">
        <v>0</v>
      </c>
      <c r="C223" s="140">
        <v>0</v>
      </c>
      <c r="D223" s="140">
        <v>2</v>
      </c>
      <c r="E223" s="140">
        <v>8</v>
      </c>
      <c r="F223" s="140">
        <v>2</v>
      </c>
      <c r="G223" s="140">
        <v>10</v>
      </c>
      <c r="H223" s="140">
        <v>0</v>
      </c>
      <c r="I223" s="140">
        <v>0</v>
      </c>
      <c r="J223" s="140">
        <v>0</v>
      </c>
      <c r="K223" s="140">
        <v>0</v>
      </c>
      <c r="L223" s="140">
        <v>0</v>
      </c>
      <c r="M223" s="140">
        <v>0</v>
      </c>
      <c r="N223" s="140">
        <v>0</v>
      </c>
      <c r="O223" s="140">
        <v>0</v>
      </c>
      <c r="P223" s="140">
        <v>0</v>
      </c>
      <c r="Q223" s="140">
        <v>0</v>
      </c>
      <c r="R223" s="140">
        <v>0</v>
      </c>
      <c r="S223" s="140">
        <v>4</v>
      </c>
      <c r="T223" s="140">
        <v>0</v>
      </c>
      <c r="U223" s="140">
        <v>0</v>
      </c>
      <c r="V223" s="140">
        <v>0</v>
      </c>
      <c r="W223" s="140">
        <v>0</v>
      </c>
      <c r="X223" s="140">
        <v>0</v>
      </c>
      <c r="Y223" s="140">
        <v>0</v>
      </c>
      <c r="Z223" s="140">
        <v>0</v>
      </c>
      <c r="AA223" s="140">
        <v>0</v>
      </c>
      <c r="AB223" s="140">
        <v>0</v>
      </c>
      <c r="AC223" s="140">
        <v>0</v>
      </c>
      <c r="AD223" s="140">
        <v>0</v>
      </c>
      <c r="AE223" s="140">
        <v>0</v>
      </c>
      <c r="AF223" s="140">
        <v>0</v>
      </c>
      <c r="AG223" s="138">
        <f t="shared" si="32"/>
        <v>26</v>
      </c>
    </row>
    <row r="224" spans="1:34" ht="18.75" x14ac:dyDescent="0.25">
      <c r="A224" s="351" t="s">
        <v>4</v>
      </c>
      <c r="B224" s="265">
        <f t="shared" ref="B224:AF224" si="35">SUM(B225:B227)</f>
        <v>7</v>
      </c>
      <c r="C224" s="8">
        <f t="shared" si="35"/>
        <v>1</v>
      </c>
      <c r="D224" s="8">
        <f t="shared" si="35"/>
        <v>5</v>
      </c>
      <c r="E224" s="8">
        <f t="shared" si="35"/>
        <v>6</v>
      </c>
      <c r="F224" s="8">
        <f t="shared" si="35"/>
        <v>4</v>
      </c>
      <c r="G224" s="8">
        <f t="shared" si="35"/>
        <v>11</v>
      </c>
      <c r="H224" s="8">
        <f t="shared" si="35"/>
        <v>5</v>
      </c>
      <c r="I224" s="8">
        <f t="shared" si="35"/>
        <v>9</v>
      </c>
      <c r="J224" s="8">
        <f t="shared" si="35"/>
        <v>2</v>
      </c>
      <c r="K224" s="8">
        <f t="shared" si="35"/>
        <v>3</v>
      </c>
      <c r="L224" s="8">
        <f t="shared" si="35"/>
        <v>3</v>
      </c>
      <c r="M224" s="8">
        <f t="shared" si="35"/>
        <v>12</v>
      </c>
      <c r="N224" s="8">
        <f t="shared" si="35"/>
        <v>9</v>
      </c>
      <c r="O224" s="8">
        <f t="shared" si="35"/>
        <v>6</v>
      </c>
      <c r="P224" s="8">
        <f t="shared" si="35"/>
        <v>6</v>
      </c>
      <c r="Q224" s="8">
        <f t="shared" si="35"/>
        <v>3</v>
      </c>
      <c r="R224" s="8">
        <f t="shared" si="35"/>
        <v>5</v>
      </c>
      <c r="S224" s="8">
        <f t="shared" si="35"/>
        <v>9</v>
      </c>
      <c r="T224" s="8">
        <f t="shared" si="35"/>
        <v>7</v>
      </c>
      <c r="U224" s="8">
        <f t="shared" si="35"/>
        <v>8</v>
      </c>
      <c r="V224" s="8">
        <f t="shared" si="35"/>
        <v>12</v>
      </c>
      <c r="W224" s="8">
        <f t="shared" si="35"/>
        <v>12</v>
      </c>
      <c r="X224" s="8">
        <f t="shared" si="35"/>
        <v>3</v>
      </c>
      <c r="Y224" s="8">
        <f t="shared" si="35"/>
        <v>3</v>
      </c>
      <c r="Z224" s="8">
        <f t="shared" si="35"/>
        <v>8</v>
      </c>
      <c r="AA224" s="8">
        <f t="shared" si="35"/>
        <v>7</v>
      </c>
      <c r="AB224" s="8">
        <f t="shared" si="35"/>
        <v>2</v>
      </c>
      <c r="AC224" s="8">
        <f t="shared" si="35"/>
        <v>5</v>
      </c>
      <c r="AD224" s="8">
        <f t="shared" si="35"/>
        <v>8</v>
      </c>
      <c r="AE224" s="8">
        <f t="shared" si="35"/>
        <v>0</v>
      </c>
      <c r="AF224" s="8">
        <f t="shared" si="35"/>
        <v>0</v>
      </c>
      <c r="AG224" s="7">
        <f t="shared" ref="AG224:AG227" si="36">SUM(B224:AF224)</f>
        <v>181</v>
      </c>
      <c r="AH224" s="406" t="s">
        <v>3</v>
      </c>
    </row>
    <row r="225" spans="1:34" ht="18.75" x14ac:dyDescent="0.25">
      <c r="A225" s="352" t="s">
        <v>2</v>
      </c>
      <c r="B225" s="5">
        <v>2</v>
      </c>
      <c r="C225" s="3">
        <v>0</v>
      </c>
      <c r="D225" s="3">
        <v>3</v>
      </c>
      <c r="E225" s="3">
        <v>3</v>
      </c>
      <c r="F225" s="3">
        <v>2</v>
      </c>
      <c r="G225" s="3">
        <v>6</v>
      </c>
      <c r="H225" s="3">
        <v>2</v>
      </c>
      <c r="I225" s="3">
        <v>1</v>
      </c>
      <c r="J225" s="3">
        <v>0</v>
      </c>
      <c r="K225" s="3">
        <v>2</v>
      </c>
      <c r="L225" s="3">
        <v>2</v>
      </c>
      <c r="M225" s="3">
        <v>8</v>
      </c>
      <c r="N225" s="5">
        <v>5</v>
      </c>
      <c r="O225" s="3">
        <v>3</v>
      </c>
      <c r="P225" s="3">
        <v>3</v>
      </c>
      <c r="Q225" s="3">
        <v>2</v>
      </c>
      <c r="R225" s="3">
        <v>1</v>
      </c>
      <c r="S225" s="3">
        <v>5</v>
      </c>
      <c r="T225" s="3">
        <v>4</v>
      </c>
      <c r="U225" s="3">
        <v>1</v>
      </c>
      <c r="V225" s="3">
        <v>7</v>
      </c>
      <c r="W225" s="3">
        <v>5</v>
      </c>
      <c r="X225" s="3">
        <v>0</v>
      </c>
      <c r="Y225" s="3">
        <v>2</v>
      </c>
      <c r="Z225" s="4">
        <v>4</v>
      </c>
      <c r="AA225" s="3">
        <v>4</v>
      </c>
      <c r="AB225" s="3">
        <v>2</v>
      </c>
      <c r="AC225" s="3">
        <v>1</v>
      </c>
      <c r="AD225" s="3">
        <v>4</v>
      </c>
      <c r="AE225" s="3">
        <v>0</v>
      </c>
      <c r="AF225" s="2">
        <v>0</v>
      </c>
      <c r="AG225" s="1">
        <f t="shared" si="36"/>
        <v>84</v>
      </c>
      <c r="AH225" s="407"/>
    </row>
    <row r="226" spans="1:34" ht="18.75" x14ac:dyDescent="0.25">
      <c r="A226" s="352" t="s">
        <v>1</v>
      </c>
      <c r="B226" s="5">
        <v>5</v>
      </c>
      <c r="C226" s="3">
        <v>1</v>
      </c>
      <c r="D226" s="3">
        <v>2</v>
      </c>
      <c r="E226" s="3">
        <v>3</v>
      </c>
      <c r="F226" s="3">
        <v>2</v>
      </c>
      <c r="G226" s="3">
        <v>5</v>
      </c>
      <c r="H226" s="3">
        <v>3</v>
      </c>
      <c r="I226" s="3">
        <v>8</v>
      </c>
      <c r="J226" s="3">
        <v>2</v>
      </c>
      <c r="K226" s="3">
        <v>1</v>
      </c>
      <c r="L226" s="3">
        <v>1</v>
      </c>
      <c r="M226" s="3">
        <v>4</v>
      </c>
      <c r="N226" s="5">
        <v>4</v>
      </c>
      <c r="O226" s="3">
        <v>3</v>
      </c>
      <c r="P226" s="3">
        <v>3</v>
      </c>
      <c r="Q226" s="3">
        <v>1</v>
      </c>
      <c r="R226" s="3">
        <v>4</v>
      </c>
      <c r="S226" s="3">
        <v>4</v>
      </c>
      <c r="T226" s="3">
        <v>3</v>
      </c>
      <c r="U226" s="3">
        <v>7</v>
      </c>
      <c r="V226" s="3">
        <v>5</v>
      </c>
      <c r="W226" s="3">
        <v>7</v>
      </c>
      <c r="X226" s="3">
        <v>3</v>
      </c>
      <c r="Y226" s="3">
        <v>1</v>
      </c>
      <c r="Z226" s="4">
        <v>4</v>
      </c>
      <c r="AA226" s="3">
        <v>3</v>
      </c>
      <c r="AB226" s="3">
        <v>0</v>
      </c>
      <c r="AC226" s="3">
        <v>4</v>
      </c>
      <c r="AD226" s="3">
        <v>4</v>
      </c>
      <c r="AE226" s="3">
        <v>0</v>
      </c>
      <c r="AF226" s="2">
        <v>0</v>
      </c>
      <c r="AG226" s="1">
        <f t="shared" si="36"/>
        <v>97</v>
      </c>
      <c r="AH226" s="407"/>
    </row>
    <row r="227" spans="1:34" ht="19.5" thickBot="1" x14ac:dyDescent="0.3">
      <c r="A227" s="353" t="s">
        <v>0</v>
      </c>
      <c r="B227" s="297"/>
      <c r="C227" s="240"/>
      <c r="D227" s="240"/>
      <c r="E227" s="240"/>
      <c r="F227" s="240"/>
      <c r="G227" s="240"/>
      <c r="H227" s="240"/>
      <c r="I227" s="240"/>
      <c r="J227" s="240"/>
      <c r="K227" s="241"/>
      <c r="L227" s="241"/>
      <c r="M227" s="241"/>
      <c r="N227" s="242"/>
      <c r="O227" s="243"/>
      <c r="P227" s="243"/>
      <c r="Q227" s="243"/>
      <c r="R227" s="243"/>
      <c r="S227" s="243"/>
      <c r="T227" s="243"/>
      <c r="U227" s="243"/>
      <c r="V227" s="243"/>
      <c r="W227" s="243"/>
      <c r="X227" s="243"/>
      <c r="Y227" s="243"/>
      <c r="Z227" s="243"/>
      <c r="AA227" s="243"/>
      <c r="AB227" s="243"/>
      <c r="AC227" s="243"/>
      <c r="AD227" s="243"/>
      <c r="AE227" s="243"/>
      <c r="AF227" s="244"/>
      <c r="AG227" s="10">
        <f t="shared" si="36"/>
        <v>0</v>
      </c>
      <c r="AH227" s="408"/>
    </row>
    <row r="247" ht="18.75" customHeight="1" x14ac:dyDescent="0.25"/>
    <row r="248" ht="18.75" customHeight="1" x14ac:dyDescent="0.25"/>
    <row r="249" ht="18.75" customHeight="1" x14ac:dyDescent="0.25"/>
    <row r="250" ht="18.75" customHeight="1" x14ac:dyDescent="0.25"/>
    <row r="251" ht="18.75" customHeight="1" x14ac:dyDescent="0.25"/>
    <row r="252" ht="18.75" customHeight="1" x14ac:dyDescent="0.25"/>
    <row r="253" ht="18.75" customHeight="1" x14ac:dyDescent="0.25"/>
    <row r="254" ht="18.75" customHeight="1" x14ac:dyDescent="0.25"/>
    <row r="255" ht="18.75" customHeight="1" x14ac:dyDescent="0.25"/>
    <row r="256" ht="18.75" customHeight="1" x14ac:dyDescent="0.25"/>
    <row r="257" ht="18.75" customHeight="1" x14ac:dyDescent="0.25"/>
    <row r="258" ht="19.5" customHeight="1" x14ac:dyDescent="0.25"/>
    <row r="260" ht="18.75" customHeight="1" x14ac:dyDescent="0.25"/>
    <row r="263" ht="18.75" customHeight="1" x14ac:dyDescent="0.25"/>
  </sheetData>
  <dataConsolidate link="1"/>
  <mergeCells count="3">
    <mergeCell ref="A1:AG1"/>
    <mergeCell ref="AI84:AI86"/>
    <mergeCell ref="AH224:AH227"/>
  </mergeCells>
  <conditionalFormatting sqref="B29:AF52">
    <cfRule type="cellIs" dxfId="29" priority="6" operator="lessThan">
      <formula>0</formula>
    </cfRule>
  </conditionalFormatting>
  <conditionalFormatting sqref="D54:D77">
    <cfRule type="cellIs" dxfId="28" priority="2" operator="lessThan">
      <formula>0</formula>
    </cfRule>
  </conditionalFormatting>
  <conditionalFormatting sqref="G54:G77">
    <cfRule type="cellIs" dxfId="27" priority="1" operator="lessThan">
      <formula>0</formula>
    </cfRule>
  </conditionalFormatting>
  <conditionalFormatting sqref="AH81">
    <cfRule type="cellIs" dxfId="26" priority="4" operator="equal">
      <formula>"*"</formula>
    </cfRule>
  </conditionalFormatting>
  <conditionalFormatting sqref="AH84 AH87">
    <cfRule type="cellIs" dxfId="25" priority="5" operator="equal">
      <formula>"*"</formula>
    </cfRule>
  </conditionalFormatting>
  <conditionalFormatting sqref="AH93">
    <cfRule type="cellIs" dxfId="24" priority="10" operator="equal">
      <formula>"*"</formula>
    </cfRule>
  </conditionalFormatting>
  <conditionalFormatting sqref="AH130">
    <cfRule type="cellIs" dxfId="23" priority="8" operator="equal">
      <formula>"*"</formula>
    </cfRule>
  </conditionalFormatting>
  <conditionalFormatting sqref="AH144:AH145">
    <cfRule type="cellIs" dxfId="22" priority="9" operator="equal">
      <formula>"*"</formula>
    </cfRule>
  </conditionalFormatting>
  <conditionalFormatting sqref="AH182">
    <cfRule type="cellIs" dxfId="21" priority="7" operator="equal">
      <formula>"*"</formula>
    </cfRule>
  </conditionalFormatting>
  <conditionalFormatting sqref="AH209">
    <cfRule type="cellIs" dxfId="20" priority="3" operator="equal">
      <formula>"X"</formula>
    </cfRule>
  </conditionalFormatting>
  <dataValidations disablePrompts="1" count="1">
    <dataValidation type="whole" allowBlank="1" showInputMessage="1" showErrorMessage="1" errorTitle="ERROR" error="Por favor ingrese solo Números" sqref="A98:A99 A101:A115" xr:uid="{773D2306-BF4D-4694-BB8F-305CA4F116D1}">
      <formula1>0</formula1>
      <formula2>1000000000</formula2>
    </dataValidation>
  </dataValidation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20DBD-3EF7-4EC6-AECF-8B69DD379829}">
  <dimension ref="A1:AI263"/>
  <sheetViews>
    <sheetView zoomScale="80" zoomScaleNormal="80" workbookViewId="0">
      <pane xSplit="1" ySplit="3" topLeftCell="B81" activePane="bottomRight" state="frozen"/>
      <selection activeCell="AG3" sqref="AG3"/>
      <selection pane="topRight" activeCell="AG3" sqref="AG3"/>
      <selection pane="bottomLeft" activeCell="AG3" sqref="AG3"/>
      <selection pane="bottomRight" activeCell="G85" sqref="G85"/>
    </sheetView>
  </sheetViews>
  <sheetFormatPr baseColWidth="10" defaultRowHeight="15" x14ac:dyDescent="0.25"/>
  <cols>
    <col min="1" max="1" width="34.7109375" customWidth="1"/>
    <col min="2" max="6" width="8.28515625" customWidth="1"/>
    <col min="7" max="7" width="8.28515625" style="399" customWidth="1"/>
    <col min="8" max="13" width="8.28515625" customWidth="1"/>
    <col min="14" max="14" width="8.140625" customWidth="1"/>
    <col min="15" max="27" width="8.28515625" customWidth="1"/>
    <col min="28" max="28" width="9.7109375" customWidth="1"/>
    <col min="29" max="32" width="8.28515625" customWidth="1"/>
    <col min="33" max="33" width="11.140625" customWidth="1"/>
    <col min="34" max="34" width="12.42578125" customWidth="1"/>
  </cols>
  <sheetData>
    <row r="1" spans="1:33" ht="21.75" thickBot="1" x14ac:dyDescent="0.3">
      <c r="A1" s="400"/>
      <c r="B1" s="401"/>
      <c r="C1" s="401"/>
      <c r="D1" s="401"/>
      <c r="E1" s="401"/>
      <c r="F1" s="401"/>
      <c r="G1" s="401"/>
      <c r="H1" s="401"/>
      <c r="I1" s="401"/>
      <c r="J1" s="401"/>
      <c r="K1" s="401"/>
      <c r="L1" s="401"/>
      <c r="M1" s="401"/>
      <c r="N1" s="401"/>
      <c r="O1" s="401"/>
      <c r="P1" s="401"/>
      <c r="Q1" s="401"/>
      <c r="R1" s="401"/>
      <c r="S1" s="401"/>
      <c r="T1" s="401"/>
      <c r="U1" s="401"/>
      <c r="V1" s="401"/>
      <c r="W1" s="401"/>
      <c r="X1" s="401"/>
      <c r="Y1" s="401"/>
      <c r="Z1" s="401"/>
      <c r="AA1" s="401"/>
      <c r="AB1" s="401"/>
      <c r="AC1" s="401"/>
      <c r="AD1" s="401"/>
      <c r="AE1" s="401"/>
      <c r="AF1" s="401"/>
      <c r="AG1" s="402"/>
    </row>
    <row r="2" spans="1:33" ht="21.75" thickBot="1" x14ac:dyDescent="0.3">
      <c r="A2" s="298" t="s">
        <v>162</v>
      </c>
      <c r="B2" s="354">
        <v>1</v>
      </c>
      <c r="C2" s="215">
        <f t="shared" ref="C2:AA2" si="0">+B2+1</f>
        <v>2</v>
      </c>
      <c r="D2" s="215">
        <f t="shared" si="0"/>
        <v>3</v>
      </c>
      <c r="E2" s="215">
        <f t="shared" si="0"/>
        <v>4</v>
      </c>
      <c r="F2" s="215">
        <f t="shared" si="0"/>
        <v>5</v>
      </c>
      <c r="G2" s="381">
        <f t="shared" si="0"/>
        <v>6</v>
      </c>
      <c r="H2" s="217">
        <f t="shared" si="0"/>
        <v>7</v>
      </c>
      <c r="I2" s="215">
        <f t="shared" si="0"/>
        <v>8</v>
      </c>
      <c r="J2" s="215">
        <f t="shared" si="0"/>
        <v>9</v>
      </c>
      <c r="K2" s="215">
        <f t="shared" si="0"/>
        <v>10</v>
      </c>
      <c r="L2" s="215">
        <f t="shared" si="0"/>
        <v>11</v>
      </c>
      <c r="M2" s="215">
        <f t="shared" si="0"/>
        <v>12</v>
      </c>
      <c r="N2" s="217">
        <f t="shared" si="0"/>
        <v>13</v>
      </c>
      <c r="O2" s="217">
        <f t="shared" si="0"/>
        <v>14</v>
      </c>
      <c r="P2" s="215">
        <f t="shared" si="0"/>
        <v>15</v>
      </c>
      <c r="Q2" s="215">
        <f t="shared" si="0"/>
        <v>16</v>
      </c>
      <c r="R2" s="215">
        <f t="shared" si="0"/>
        <v>17</v>
      </c>
      <c r="S2" s="215">
        <f t="shared" si="0"/>
        <v>18</v>
      </c>
      <c r="T2" s="215">
        <f t="shared" si="0"/>
        <v>19</v>
      </c>
      <c r="U2" s="217">
        <f t="shared" si="0"/>
        <v>20</v>
      </c>
      <c r="V2" s="217">
        <f t="shared" si="0"/>
        <v>21</v>
      </c>
      <c r="W2" s="215">
        <f t="shared" si="0"/>
        <v>22</v>
      </c>
      <c r="X2" s="215">
        <f t="shared" si="0"/>
        <v>23</v>
      </c>
      <c r="Y2" s="215">
        <f t="shared" si="0"/>
        <v>24</v>
      </c>
      <c r="Z2" s="215">
        <f t="shared" si="0"/>
        <v>25</v>
      </c>
      <c r="AA2" s="215">
        <f t="shared" si="0"/>
        <v>26</v>
      </c>
      <c r="AB2" s="217">
        <v>27</v>
      </c>
      <c r="AC2" s="217">
        <f>+AB2+1</f>
        <v>28</v>
      </c>
      <c r="AD2" s="215">
        <v>29</v>
      </c>
      <c r="AE2" s="215">
        <v>30</v>
      </c>
      <c r="AF2" s="215">
        <v>31</v>
      </c>
      <c r="AG2" s="214" t="s">
        <v>148</v>
      </c>
    </row>
    <row r="3" spans="1:33" ht="19.5" thickBot="1" x14ac:dyDescent="0.3">
      <c r="A3" s="299" t="s">
        <v>147</v>
      </c>
      <c r="B3" s="247">
        <f t="shared" ref="B3:AF3" si="1">SUM(B4:B27)</f>
        <v>184</v>
      </c>
      <c r="C3" s="120">
        <f t="shared" si="1"/>
        <v>231</v>
      </c>
      <c r="D3" s="120">
        <f t="shared" si="1"/>
        <v>140</v>
      </c>
      <c r="E3" s="120">
        <f t="shared" si="1"/>
        <v>142</v>
      </c>
      <c r="F3" s="120">
        <f t="shared" si="1"/>
        <v>143</v>
      </c>
      <c r="G3" s="382">
        <f t="shared" si="1"/>
        <v>0</v>
      </c>
      <c r="H3" s="120">
        <f t="shared" si="1"/>
        <v>192</v>
      </c>
      <c r="I3" s="120">
        <f t="shared" si="1"/>
        <v>196</v>
      </c>
      <c r="J3" s="120">
        <f t="shared" si="1"/>
        <v>162</v>
      </c>
      <c r="K3" s="120">
        <f t="shared" si="1"/>
        <v>139</v>
      </c>
      <c r="L3" s="120">
        <f t="shared" si="1"/>
        <v>159</v>
      </c>
      <c r="M3" s="120">
        <f t="shared" si="1"/>
        <v>143</v>
      </c>
      <c r="N3" s="120">
        <f t="shared" si="1"/>
        <v>178</v>
      </c>
      <c r="O3" s="120">
        <f t="shared" si="1"/>
        <v>165</v>
      </c>
      <c r="P3" s="120">
        <f t="shared" si="1"/>
        <v>182</v>
      </c>
      <c r="Q3" s="120">
        <f t="shared" si="1"/>
        <v>174</v>
      </c>
      <c r="R3" s="120">
        <f t="shared" si="1"/>
        <v>167</v>
      </c>
      <c r="S3" s="120">
        <f t="shared" si="1"/>
        <v>161</v>
      </c>
      <c r="T3" s="120">
        <f t="shared" si="1"/>
        <v>160</v>
      </c>
      <c r="U3" s="120">
        <f t="shared" si="1"/>
        <v>175</v>
      </c>
      <c r="V3" s="120">
        <f t="shared" si="1"/>
        <v>204</v>
      </c>
      <c r="W3" s="120">
        <f t="shared" si="1"/>
        <v>189</v>
      </c>
      <c r="X3" s="120">
        <f t="shared" si="1"/>
        <v>197</v>
      </c>
      <c r="Y3" s="120">
        <f t="shared" si="1"/>
        <v>164</v>
      </c>
      <c r="Z3" s="120">
        <f t="shared" si="1"/>
        <v>185</v>
      </c>
      <c r="AA3" s="120">
        <f t="shared" si="1"/>
        <v>164</v>
      </c>
      <c r="AB3" s="120">
        <f t="shared" si="1"/>
        <v>198</v>
      </c>
      <c r="AC3" s="120">
        <f t="shared" si="1"/>
        <v>204</v>
      </c>
      <c r="AD3" s="120">
        <f t="shared" si="1"/>
        <v>225</v>
      </c>
      <c r="AE3" s="120">
        <f t="shared" si="1"/>
        <v>178</v>
      </c>
      <c r="AF3" s="120">
        <f t="shared" si="1"/>
        <v>0</v>
      </c>
      <c r="AG3" s="118">
        <f t="shared" ref="AG3:AG66" si="2">SUM(B3:AF3)</f>
        <v>5101</v>
      </c>
    </row>
    <row r="4" spans="1:33" ht="18.75" x14ac:dyDescent="0.25">
      <c r="A4" s="300" t="s">
        <v>144</v>
      </c>
      <c r="B4" s="248">
        <v>2</v>
      </c>
      <c r="C4" s="199">
        <v>3</v>
      </c>
      <c r="D4" s="199">
        <v>3</v>
      </c>
      <c r="E4" s="199">
        <v>1</v>
      </c>
      <c r="F4" s="199">
        <v>7</v>
      </c>
      <c r="G4" s="383"/>
      <c r="H4" s="199">
        <v>2</v>
      </c>
      <c r="I4" s="199">
        <v>4</v>
      </c>
      <c r="J4" s="199">
        <v>3</v>
      </c>
      <c r="K4" s="199">
        <v>4</v>
      </c>
      <c r="L4" s="199">
        <v>2</v>
      </c>
      <c r="M4" s="199">
        <v>5</v>
      </c>
      <c r="N4" s="199">
        <v>5</v>
      </c>
      <c r="O4" s="199">
        <v>3</v>
      </c>
      <c r="P4" s="199">
        <v>3</v>
      </c>
      <c r="Q4" s="199">
        <v>4</v>
      </c>
      <c r="R4" s="199">
        <v>4</v>
      </c>
      <c r="S4" s="199">
        <v>7</v>
      </c>
      <c r="T4" s="199">
        <v>2</v>
      </c>
      <c r="U4" s="199">
        <v>4</v>
      </c>
      <c r="V4" s="199">
        <v>2</v>
      </c>
      <c r="W4" s="199">
        <v>2</v>
      </c>
      <c r="X4" s="199">
        <v>4</v>
      </c>
      <c r="Y4" s="199">
        <v>3</v>
      </c>
      <c r="Z4" s="199">
        <v>5</v>
      </c>
      <c r="AA4" s="199">
        <v>3</v>
      </c>
      <c r="AB4" s="199">
        <v>7</v>
      </c>
      <c r="AC4" s="199">
        <v>3</v>
      </c>
      <c r="AD4" s="199">
        <v>4</v>
      </c>
      <c r="AE4" s="199">
        <v>5</v>
      </c>
      <c r="AF4" s="206"/>
      <c r="AG4" s="134">
        <f t="shared" si="2"/>
        <v>106</v>
      </c>
    </row>
    <row r="5" spans="1:33" ht="18.75" x14ac:dyDescent="0.25">
      <c r="A5" s="301" t="s">
        <v>143</v>
      </c>
      <c r="B5" s="249">
        <v>13</v>
      </c>
      <c r="C5" s="162">
        <v>3</v>
      </c>
      <c r="D5" s="162">
        <v>4</v>
      </c>
      <c r="E5" s="162">
        <v>3</v>
      </c>
      <c r="F5" s="162">
        <v>6</v>
      </c>
      <c r="G5" s="384"/>
      <c r="H5" s="162">
        <v>6</v>
      </c>
      <c r="I5" s="162">
        <v>2</v>
      </c>
      <c r="J5" s="162">
        <v>8</v>
      </c>
      <c r="K5" s="162">
        <v>4</v>
      </c>
      <c r="L5" s="162">
        <v>1</v>
      </c>
      <c r="M5" s="162">
        <v>3</v>
      </c>
      <c r="N5" s="162">
        <v>10</v>
      </c>
      <c r="O5" s="162">
        <v>7</v>
      </c>
      <c r="P5" s="162">
        <v>3</v>
      </c>
      <c r="Q5" s="162">
        <v>6</v>
      </c>
      <c r="R5" s="162">
        <v>4</v>
      </c>
      <c r="S5" s="162">
        <v>3</v>
      </c>
      <c r="T5" s="162">
        <v>2</v>
      </c>
      <c r="U5" s="162">
        <v>7</v>
      </c>
      <c r="V5" s="162">
        <v>7</v>
      </c>
      <c r="W5" s="162">
        <v>2</v>
      </c>
      <c r="X5" s="162">
        <v>4</v>
      </c>
      <c r="Y5" s="162">
        <v>3</v>
      </c>
      <c r="Z5" s="162">
        <v>3</v>
      </c>
      <c r="AA5" s="162">
        <v>3</v>
      </c>
      <c r="AB5" s="162">
        <v>7</v>
      </c>
      <c r="AC5" s="162">
        <v>6</v>
      </c>
      <c r="AD5" s="162">
        <v>6</v>
      </c>
      <c r="AE5" s="162">
        <v>3</v>
      </c>
      <c r="AF5" s="161"/>
      <c r="AG5" s="64">
        <f t="shared" si="2"/>
        <v>139</v>
      </c>
    </row>
    <row r="6" spans="1:33" ht="18.75" x14ac:dyDescent="0.25">
      <c r="A6" s="301" t="s">
        <v>142</v>
      </c>
      <c r="B6" s="249">
        <v>9</v>
      </c>
      <c r="C6" s="162">
        <v>3</v>
      </c>
      <c r="D6" s="162">
        <v>5</v>
      </c>
      <c r="E6" s="162">
        <v>5</v>
      </c>
      <c r="F6" s="162">
        <v>1</v>
      </c>
      <c r="G6" s="384"/>
      <c r="H6" s="162">
        <v>8</v>
      </c>
      <c r="I6" s="162">
        <v>5</v>
      </c>
      <c r="J6" s="162">
        <v>4</v>
      </c>
      <c r="K6" s="162">
        <v>2</v>
      </c>
      <c r="L6" s="162">
        <v>3</v>
      </c>
      <c r="M6" s="162">
        <v>2</v>
      </c>
      <c r="N6" s="162">
        <v>15</v>
      </c>
      <c r="O6" s="162">
        <v>11</v>
      </c>
      <c r="P6" s="162">
        <v>2</v>
      </c>
      <c r="Q6" s="162">
        <v>2</v>
      </c>
      <c r="R6" s="162"/>
      <c r="S6" s="162">
        <v>4</v>
      </c>
      <c r="T6" s="162">
        <v>1</v>
      </c>
      <c r="U6" s="162">
        <v>12</v>
      </c>
      <c r="V6" s="162">
        <v>3</v>
      </c>
      <c r="W6" s="162">
        <v>4</v>
      </c>
      <c r="X6" s="162">
        <v>5</v>
      </c>
      <c r="Y6" s="162">
        <v>4</v>
      </c>
      <c r="Z6" s="162">
        <v>10</v>
      </c>
      <c r="AA6" s="162">
        <v>4</v>
      </c>
      <c r="AB6" s="162">
        <v>12</v>
      </c>
      <c r="AC6" s="162">
        <v>8</v>
      </c>
      <c r="AD6" s="162">
        <v>4</v>
      </c>
      <c r="AE6" s="162">
        <v>3</v>
      </c>
      <c r="AF6" s="161"/>
      <c r="AG6" s="64">
        <f t="shared" si="2"/>
        <v>151</v>
      </c>
    </row>
    <row r="7" spans="1:33" ht="18.75" x14ac:dyDescent="0.25">
      <c r="A7" s="301" t="s">
        <v>141</v>
      </c>
      <c r="B7" s="249">
        <v>14</v>
      </c>
      <c r="C7" s="162">
        <v>3</v>
      </c>
      <c r="D7" s="162">
        <v>4</v>
      </c>
      <c r="E7" s="162">
        <v>6</v>
      </c>
      <c r="F7" s="162">
        <v>4</v>
      </c>
      <c r="G7" s="384"/>
      <c r="H7" s="162">
        <v>10</v>
      </c>
      <c r="I7" s="162">
        <v>6</v>
      </c>
      <c r="J7" s="162">
        <v>2</v>
      </c>
      <c r="K7" s="162">
        <v>1</v>
      </c>
      <c r="L7" s="162">
        <v>1</v>
      </c>
      <c r="M7" s="162">
        <v>6</v>
      </c>
      <c r="N7" s="162">
        <v>11</v>
      </c>
      <c r="O7" s="162">
        <v>4</v>
      </c>
      <c r="P7" s="162">
        <v>2</v>
      </c>
      <c r="Q7" s="162">
        <v>1</v>
      </c>
      <c r="R7" s="162">
        <v>5</v>
      </c>
      <c r="S7" s="162">
        <v>1</v>
      </c>
      <c r="T7" s="162"/>
      <c r="U7" s="162">
        <v>18</v>
      </c>
      <c r="V7" s="162">
        <v>12</v>
      </c>
      <c r="W7" s="162">
        <v>11</v>
      </c>
      <c r="X7" s="162">
        <v>8</v>
      </c>
      <c r="Y7" s="162">
        <v>4</v>
      </c>
      <c r="Z7" s="162">
        <v>1</v>
      </c>
      <c r="AA7" s="162">
        <v>5</v>
      </c>
      <c r="AB7" s="162">
        <v>7</v>
      </c>
      <c r="AC7" s="162">
        <v>12</v>
      </c>
      <c r="AD7" s="162">
        <v>8</v>
      </c>
      <c r="AE7" s="162">
        <v>6</v>
      </c>
      <c r="AF7" s="161"/>
      <c r="AG7" s="64">
        <f t="shared" si="2"/>
        <v>173</v>
      </c>
    </row>
    <row r="8" spans="1:33" ht="18.75" x14ac:dyDescent="0.25">
      <c r="A8" s="301" t="s">
        <v>140</v>
      </c>
      <c r="B8" s="249">
        <v>9</v>
      </c>
      <c r="C8" s="162">
        <v>11</v>
      </c>
      <c r="D8" s="162">
        <v>2</v>
      </c>
      <c r="E8" s="162">
        <v>4</v>
      </c>
      <c r="F8" s="162">
        <v>1</v>
      </c>
      <c r="G8" s="384"/>
      <c r="H8" s="162">
        <v>15</v>
      </c>
      <c r="I8" s="162">
        <v>3</v>
      </c>
      <c r="J8" s="162">
        <v>4</v>
      </c>
      <c r="K8" s="162">
        <v>3</v>
      </c>
      <c r="L8" s="162">
        <v>5</v>
      </c>
      <c r="M8" s="162">
        <v>6</v>
      </c>
      <c r="N8" s="162">
        <v>12</v>
      </c>
      <c r="O8" s="162">
        <v>12</v>
      </c>
      <c r="P8" s="162">
        <v>3</v>
      </c>
      <c r="Q8" s="162">
        <v>9</v>
      </c>
      <c r="R8" s="162">
        <v>2</v>
      </c>
      <c r="S8" s="162">
        <v>8</v>
      </c>
      <c r="T8" s="162">
        <v>3</v>
      </c>
      <c r="U8" s="162">
        <v>16</v>
      </c>
      <c r="V8" s="162">
        <v>11</v>
      </c>
      <c r="W8" s="162">
        <v>5</v>
      </c>
      <c r="X8" s="162">
        <v>6</v>
      </c>
      <c r="Y8" s="162">
        <v>5</v>
      </c>
      <c r="Z8" s="162">
        <v>2</v>
      </c>
      <c r="AA8" s="162">
        <v>1</v>
      </c>
      <c r="AB8" s="162">
        <v>15</v>
      </c>
      <c r="AC8" s="162">
        <v>11</v>
      </c>
      <c r="AD8" s="162">
        <v>2</v>
      </c>
      <c r="AE8" s="162">
        <v>1</v>
      </c>
      <c r="AF8" s="161"/>
      <c r="AG8" s="64">
        <f t="shared" si="2"/>
        <v>187</v>
      </c>
    </row>
    <row r="9" spans="1:33" ht="18.75" x14ac:dyDescent="0.25">
      <c r="A9" s="301" t="s">
        <v>139</v>
      </c>
      <c r="B9" s="249">
        <v>16</v>
      </c>
      <c r="C9" s="162">
        <v>6</v>
      </c>
      <c r="D9" s="162"/>
      <c r="E9" s="162">
        <v>2</v>
      </c>
      <c r="F9" s="162">
        <v>2</v>
      </c>
      <c r="G9" s="384"/>
      <c r="H9" s="162">
        <v>10</v>
      </c>
      <c r="I9" s="162">
        <v>6</v>
      </c>
      <c r="J9" s="162">
        <v>2</v>
      </c>
      <c r="K9" s="162">
        <v>1</v>
      </c>
      <c r="L9" s="162">
        <v>3</v>
      </c>
      <c r="M9" s="162">
        <v>3</v>
      </c>
      <c r="N9" s="162">
        <v>3</v>
      </c>
      <c r="O9" s="162">
        <v>9</v>
      </c>
      <c r="P9" s="162">
        <v>5</v>
      </c>
      <c r="Q9" s="162">
        <v>3</v>
      </c>
      <c r="R9" s="162">
        <v>3</v>
      </c>
      <c r="S9" s="162">
        <v>1</v>
      </c>
      <c r="T9" s="162">
        <v>3</v>
      </c>
      <c r="U9" s="162">
        <v>12</v>
      </c>
      <c r="V9" s="162">
        <v>7</v>
      </c>
      <c r="W9" s="162">
        <v>3</v>
      </c>
      <c r="X9" s="162">
        <v>3</v>
      </c>
      <c r="Y9" s="162">
        <v>5</v>
      </c>
      <c r="Z9" s="162">
        <v>2</v>
      </c>
      <c r="AA9" s="162">
        <v>4</v>
      </c>
      <c r="AB9" s="162">
        <v>11</v>
      </c>
      <c r="AC9" s="162">
        <v>13</v>
      </c>
      <c r="AD9" s="162">
        <v>7</v>
      </c>
      <c r="AE9" s="162">
        <v>5</v>
      </c>
      <c r="AF9" s="161"/>
      <c r="AG9" s="64">
        <f t="shared" si="2"/>
        <v>150</v>
      </c>
    </row>
    <row r="10" spans="1:33" ht="18.75" x14ac:dyDescent="0.25">
      <c r="A10" s="301" t="s">
        <v>138</v>
      </c>
      <c r="B10" s="249">
        <v>8</v>
      </c>
      <c r="C10" s="162">
        <v>4</v>
      </c>
      <c r="D10" s="162"/>
      <c r="E10" s="162">
        <v>2</v>
      </c>
      <c r="F10" s="162">
        <v>5</v>
      </c>
      <c r="G10" s="384"/>
      <c r="H10" s="162">
        <v>16</v>
      </c>
      <c r="I10" s="162">
        <v>4</v>
      </c>
      <c r="J10" s="162">
        <v>1</v>
      </c>
      <c r="K10" s="162">
        <v>2</v>
      </c>
      <c r="L10" s="162">
        <v>5</v>
      </c>
      <c r="M10" s="162">
        <v>2</v>
      </c>
      <c r="N10" s="162">
        <v>18</v>
      </c>
      <c r="O10" s="162">
        <v>11</v>
      </c>
      <c r="P10" s="162">
        <v>3</v>
      </c>
      <c r="Q10" s="162">
        <v>3</v>
      </c>
      <c r="R10" s="162">
        <v>9</v>
      </c>
      <c r="S10" s="162">
        <v>3</v>
      </c>
      <c r="T10" s="162">
        <v>1</v>
      </c>
      <c r="U10" s="162">
        <v>3</v>
      </c>
      <c r="V10" s="162">
        <v>11</v>
      </c>
      <c r="W10" s="162">
        <v>3</v>
      </c>
      <c r="X10" s="162">
        <v>3</v>
      </c>
      <c r="Y10" s="162">
        <v>5</v>
      </c>
      <c r="Z10" s="162">
        <v>4</v>
      </c>
      <c r="AA10" s="162">
        <v>3</v>
      </c>
      <c r="AB10" s="162">
        <v>7</v>
      </c>
      <c r="AC10" s="162">
        <v>14</v>
      </c>
      <c r="AD10" s="162">
        <v>1</v>
      </c>
      <c r="AE10" s="162">
        <v>3</v>
      </c>
      <c r="AF10" s="161"/>
      <c r="AG10" s="64">
        <f t="shared" si="2"/>
        <v>154</v>
      </c>
    </row>
    <row r="11" spans="1:33" ht="18.75" x14ac:dyDescent="0.25">
      <c r="A11" s="301" t="s">
        <v>137</v>
      </c>
      <c r="B11" s="249">
        <v>8</v>
      </c>
      <c r="C11" s="162">
        <v>4</v>
      </c>
      <c r="D11" s="162">
        <v>3</v>
      </c>
      <c r="E11" s="162">
        <v>6</v>
      </c>
      <c r="F11" s="162">
        <v>2</v>
      </c>
      <c r="G11" s="384"/>
      <c r="H11" s="162">
        <v>13</v>
      </c>
      <c r="I11" s="162">
        <v>10</v>
      </c>
      <c r="J11" s="162">
        <v>3</v>
      </c>
      <c r="K11" s="162">
        <v>4</v>
      </c>
      <c r="L11" s="162">
        <v>8</v>
      </c>
      <c r="M11" s="162">
        <v>5</v>
      </c>
      <c r="N11" s="162">
        <v>14</v>
      </c>
      <c r="O11" s="162">
        <v>9</v>
      </c>
      <c r="P11" s="162">
        <v>2</v>
      </c>
      <c r="Q11" s="162"/>
      <c r="R11" s="162">
        <v>4</v>
      </c>
      <c r="S11" s="162">
        <v>6</v>
      </c>
      <c r="T11" s="162">
        <v>5</v>
      </c>
      <c r="U11" s="162">
        <v>12</v>
      </c>
      <c r="V11" s="162">
        <v>22</v>
      </c>
      <c r="W11" s="162">
        <v>7</v>
      </c>
      <c r="X11" s="162">
        <v>3</v>
      </c>
      <c r="Y11" s="162">
        <v>7</v>
      </c>
      <c r="Z11" s="162">
        <v>2</v>
      </c>
      <c r="AA11" s="162">
        <v>3</v>
      </c>
      <c r="AB11" s="162">
        <v>15</v>
      </c>
      <c r="AC11" s="162">
        <v>20</v>
      </c>
      <c r="AD11" s="162">
        <v>8</v>
      </c>
      <c r="AE11" s="162">
        <v>6</v>
      </c>
      <c r="AF11" s="161"/>
      <c r="AG11" s="64">
        <f t="shared" si="2"/>
        <v>211</v>
      </c>
    </row>
    <row r="12" spans="1:33" ht="18.75" x14ac:dyDescent="0.25">
      <c r="A12" s="301" t="s">
        <v>136</v>
      </c>
      <c r="B12" s="249">
        <v>14</v>
      </c>
      <c r="C12" s="162">
        <v>7</v>
      </c>
      <c r="D12" s="162">
        <v>3</v>
      </c>
      <c r="E12" s="162">
        <v>4</v>
      </c>
      <c r="F12" s="162">
        <v>5</v>
      </c>
      <c r="G12" s="384"/>
      <c r="H12" s="162">
        <v>10</v>
      </c>
      <c r="I12" s="162">
        <v>6</v>
      </c>
      <c r="J12" s="162">
        <v>12</v>
      </c>
      <c r="K12" s="162">
        <v>3</v>
      </c>
      <c r="L12" s="162">
        <v>8</v>
      </c>
      <c r="M12" s="162">
        <v>8</v>
      </c>
      <c r="N12" s="162">
        <v>4</v>
      </c>
      <c r="O12" s="162">
        <v>21</v>
      </c>
      <c r="P12" s="162">
        <v>8</v>
      </c>
      <c r="Q12" s="162">
        <v>5</v>
      </c>
      <c r="R12" s="162">
        <v>8</v>
      </c>
      <c r="S12" s="162">
        <v>7</v>
      </c>
      <c r="T12" s="162">
        <v>5</v>
      </c>
      <c r="U12" s="162">
        <v>3</v>
      </c>
      <c r="V12" s="162">
        <v>30</v>
      </c>
      <c r="W12" s="162">
        <v>9</v>
      </c>
      <c r="X12" s="162">
        <v>6</v>
      </c>
      <c r="Y12" s="162">
        <v>4</v>
      </c>
      <c r="Z12" s="162">
        <v>10</v>
      </c>
      <c r="AA12" s="162">
        <v>3</v>
      </c>
      <c r="AB12" s="162">
        <v>14</v>
      </c>
      <c r="AC12" s="162">
        <v>17</v>
      </c>
      <c r="AD12" s="162">
        <v>6</v>
      </c>
      <c r="AE12" s="162">
        <v>5</v>
      </c>
      <c r="AF12" s="161"/>
      <c r="AG12" s="64">
        <f t="shared" si="2"/>
        <v>245</v>
      </c>
    </row>
    <row r="13" spans="1:33" ht="18.75" x14ac:dyDescent="0.25">
      <c r="A13" s="301" t="s">
        <v>135</v>
      </c>
      <c r="B13" s="249">
        <v>13</v>
      </c>
      <c r="C13" s="162">
        <v>60</v>
      </c>
      <c r="D13" s="162">
        <v>45</v>
      </c>
      <c r="E13" s="162">
        <v>31</v>
      </c>
      <c r="F13" s="162">
        <v>51</v>
      </c>
      <c r="G13" s="384"/>
      <c r="H13" s="162">
        <v>20</v>
      </c>
      <c r="I13" s="162">
        <v>31</v>
      </c>
      <c r="J13" s="162">
        <v>22</v>
      </c>
      <c r="K13" s="162">
        <v>27</v>
      </c>
      <c r="L13" s="162">
        <v>35</v>
      </c>
      <c r="M13" s="162">
        <v>34</v>
      </c>
      <c r="N13" s="162">
        <v>7</v>
      </c>
      <c r="O13" s="162">
        <v>14</v>
      </c>
      <c r="P13" s="162">
        <v>47</v>
      </c>
      <c r="Q13" s="162">
        <v>42</v>
      </c>
      <c r="R13" s="162">
        <v>42</v>
      </c>
      <c r="S13" s="162">
        <v>39</v>
      </c>
      <c r="T13" s="162">
        <v>42</v>
      </c>
      <c r="U13" s="162">
        <v>16</v>
      </c>
      <c r="V13" s="162">
        <v>11</v>
      </c>
      <c r="W13" s="162">
        <v>43</v>
      </c>
      <c r="X13" s="162">
        <v>46</v>
      </c>
      <c r="Y13" s="162">
        <v>44</v>
      </c>
      <c r="Z13" s="162">
        <v>47</v>
      </c>
      <c r="AA13" s="162">
        <v>44</v>
      </c>
      <c r="AB13" s="162">
        <v>14</v>
      </c>
      <c r="AC13" s="162">
        <v>14</v>
      </c>
      <c r="AD13" s="162">
        <v>45</v>
      </c>
      <c r="AE13" s="162">
        <v>49</v>
      </c>
      <c r="AF13" s="161"/>
      <c r="AG13" s="64">
        <f t="shared" si="2"/>
        <v>975</v>
      </c>
    </row>
    <row r="14" spans="1:33" ht="18.75" x14ac:dyDescent="0.25">
      <c r="A14" s="301" t="s">
        <v>134</v>
      </c>
      <c r="B14" s="249">
        <v>14</v>
      </c>
      <c r="C14" s="162">
        <v>34</v>
      </c>
      <c r="D14" s="162">
        <v>15</v>
      </c>
      <c r="E14" s="162">
        <v>16</v>
      </c>
      <c r="F14" s="162">
        <v>12</v>
      </c>
      <c r="G14" s="384"/>
      <c r="H14" s="162">
        <v>11</v>
      </c>
      <c r="I14" s="162">
        <v>24</v>
      </c>
      <c r="J14" s="162">
        <v>24</v>
      </c>
      <c r="K14" s="162">
        <v>16</v>
      </c>
      <c r="L14" s="162">
        <v>21</v>
      </c>
      <c r="M14" s="162">
        <v>16</v>
      </c>
      <c r="N14" s="162">
        <v>11</v>
      </c>
      <c r="O14" s="162">
        <v>9</v>
      </c>
      <c r="P14" s="162">
        <v>20</v>
      </c>
      <c r="Q14" s="162">
        <v>27</v>
      </c>
      <c r="R14" s="162">
        <v>19</v>
      </c>
      <c r="S14" s="162">
        <v>18</v>
      </c>
      <c r="T14" s="162">
        <v>22</v>
      </c>
      <c r="U14" s="162">
        <v>9</v>
      </c>
      <c r="V14" s="162">
        <v>12</v>
      </c>
      <c r="W14" s="162">
        <v>19</v>
      </c>
      <c r="X14" s="162">
        <v>25</v>
      </c>
      <c r="Y14" s="162">
        <v>17</v>
      </c>
      <c r="Z14" s="162">
        <v>18</v>
      </c>
      <c r="AA14" s="162">
        <v>10</v>
      </c>
      <c r="AB14" s="162">
        <v>18</v>
      </c>
      <c r="AC14" s="162">
        <v>17</v>
      </c>
      <c r="AD14" s="162">
        <v>31</v>
      </c>
      <c r="AE14" s="162">
        <v>15</v>
      </c>
      <c r="AF14" s="161"/>
      <c r="AG14" s="64">
        <f t="shared" si="2"/>
        <v>520</v>
      </c>
    </row>
    <row r="15" spans="1:33" ht="18.75" x14ac:dyDescent="0.25">
      <c r="A15" s="301" t="s">
        <v>133</v>
      </c>
      <c r="B15" s="249">
        <v>19</v>
      </c>
      <c r="C15" s="162">
        <v>18</v>
      </c>
      <c r="D15" s="162">
        <v>17</v>
      </c>
      <c r="E15" s="162">
        <v>12</v>
      </c>
      <c r="F15" s="162">
        <v>10</v>
      </c>
      <c r="G15" s="384"/>
      <c r="H15" s="162">
        <v>13</v>
      </c>
      <c r="I15" s="162">
        <v>18</v>
      </c>
      <c r="J15" s="162">
        <v>17</v>
      </c>
      <c r="K15" s="162">
        <v>15</v>
      </c>
      <c r="L15" s="162">
        <v>14</v>
      </c>
      <c r="M15" s="162">
        <v>7</v>
      </c>
      <c r="N15" s="162">
        <v>10</v>
      </c>
      <c r="O15" s="162">
        <v>7</v>
      </c>
      <c r="P15" s="162">
        <v>25</v>
      </c>
      <c r="Q15" s="162">
        <v>20</v>
      </c>
      <c r="R15" s="162">
        <v>14</v>
      </c>
      <c r="S15" s="162">
        <v>12</v>
      </c>
      <c r="T15" s="162">
        <v>15</v>
      </c>
      <c r="U15" s="162">
        <v>4</v>
      </c>
      <c r="V15" s="162">
        <v>17</v>
      </c>
      <c r="W15" s="162">
        <v>24</v>
      </c>
      <c r="X15" s="162">
        <v>23</v>
      </c>
      <c r="Y15" s="162">
        <v>15</v>
      </c>
      <c r="Z15" s="162">
        <v>19</v>
      </c>
      <c r="AA15" s="162">
        <v>13</v>
      </c>
      <c r="AB15" s="162">
        <v>16</v>
      </c>
      <c r="AC15" s="162">
        <v>10</v>
      </c>
      <c r="AD15" s="162">
        <v>22</v>
      </c>
      <c r="AE15" s="162">
        <v>13</v>
      </c>
      <c r="AF15" s="161"/>
      <c r="AG15" s="64">
        <f t="shared" si="2"/>
        <v>439</v>
      </c>
    </row>
    <row r="16" spans="1:33" ht="18.75" x14ac:dyDescent="0.25">
      <c r="A16" s="301" t="s">
        <v>132</v>
      </c>
      <c r="B16" s="249">
        <v>9</v>
      </c>
      <c r="C16" s="162">
        <v>13</v>
      </c>
      <c r="D16" s="162">
        <v>8</v>
      </c>
      <c r="E16" s="162">
        <v>13</v>
      </c>
      <c r="F16" s="162">
        <v>17</v>
      </c>
      <c r="G16" s="384"/>
      <c r="H16" s="162">
        <v>18</v>
      </c>
      <c r="I16" s="162">
        <v>21</v>
      </c>
      <c r="J16" s="162">
        <v>19</v>
      </c>
      <c r="K16" s="162">
        <v>10</v>
      </c>
      <c r="L16" s="162">
        <v>20</v>
      </c>
      <c r="M16" s="162">
        <v>13</v>
      </c>
      <c r="N16" s="162">
        <v>27</v>
      </c>
      <c r="O16" s="162">
        <v>9</v>
      </c>
      <c r="P16" s="162">
        <v>14</v>
      </c>
      <c r="Q16" s="162">
        <v>16</v>
      </c>
      <c r="R16" s="162">
        <v>12</v>
      </c>
      <c r="S16" s="162">
        <v>7</v>
      </c>
      <c r="T16" s="162">
        <v>16</v>
      </c>
      <c r="U16" s="162">
        <v>10</v>
      </c>
      <c r="V16" s="162">
        <v>13</v>
      </c>
      <c r="W16" s="162">
        <v>21</v>
      </c>
      <c r="X16" s="162">
        <v>15</v>
      </c>
      <c r="Y16" s="162">
        <v>12</v>
      </c>
      <c r="Z16" s="162">
        <v>19</v>
      </c>
      <c r="AA16" s="162">
        <v>15</v>
      </c>
      <c r="AB16" s="162">
        <v>13</v>
      </c>
      <c r="AC16" s="162">
        <v>11</v>
      </c>
      <c r="AD16" s="162">
        <v>14</v>
      </c>
      <c r="AE16" s="162">
        <v>22</v>
      </c>
      <c r="AF16" s="161"/>
      <c r="AG16" s="64">
        <f t="shared" si="2"/>
        <v>427</v>
      </c>
    </row>
    <row r="17" spans="1:33" ht="18.75" x14ac:dyDescent="0.25">
      <c r="A17" s="301" t="s">
        <v>131</v>
      </c>
      <c r="B17" s="249">
        <v>10</v>
      </c>
      <c r="C17" s="162">
        <v>16</v>
      </c>
      <c r="D17" s="162">
        <v>13</v>
      </c>
      <c r="E17" s="162">
        <v>11</v>
      </c>
      <c r="F17" s="162">
        <v>7</v>
      </c>
      <c r="G17" s="384"/>
      <c r="H17" s="162">
        <v>10</v>
      </c>
      <c r="I17" s="162">
        <v>22</v>
      </c>
      <c r="J17" s="162">
        <v>16</v>
      </c>
      <c r="K17" s="162">
        <v>19</v>
      </c>
      <c r="L17" s="162">
        <v>12</v>
      </c>
      <c r="M17" s="162">
        <v>9</v>
      </c>
      <c r="N17" s="162">
        <v>8</v>
      </c>
      <c r="O17" s="162">
        <v>9</v>
      </c>
      <c r="P17" s="162">
        <v>20</v>
      </c>
      <c r="Q17" s="162">
        <v>8</v>
      </c>
      <c r="R17" s="162">
        <v>11</v>
      </c>
      <c r="S17" s="162">
        <v>14</v>
      </c>
      <c r="T17" s="162">
        <v>11</v>
      </c>
      <c r="U17" s="162">
        <v>15</v>
      </c>
      <c r="V17" s="162">
        <v>14</v>
      </c>
      <c r="W17" s="162">
        <v>11</v>
      </c>
      <c r="X17" s="162">
        <v>10</v>
      </c>
      <c r="Y17" s="162">
        <v>8</v>
      </c>
      <c r="Z17" s="162">
        <v>11</v>
      </c>
      <c r="AA17" s="162">
        <v>20</v>
      </c>
      <c r="AB17" s="162">
        <v>14</v>
      </c>
      <c r="AC17" s="162">
        <v>18</v>
      </c>
      <c r="AD17" s="162">
        <v>20</v>
      </c>
      <c r="AE17" s="162">
        <v>19</v>
      </c>
      <c r="AF17" s="161"/>
      <c r="AG17" s="64">
        <f t="shared" si="2"/>
        <v>386</v>
      </c>
    </row>
    <row r="18" spans="1:33" ht="18.75" x14ac:dyDescent="0.25">
      <c r="A18" s="301" t="s">
        <v>130</v>
      </c>
      <c r="B18" s="249">
        <v>8</v>
      </c>
      <c r="C18" s="162">
        <v>22</v>
      </c>
      <c r="D18" s="162">
        <v>10</v>
      </c>
      <c r="E18" s="162">
        <v>10</v>
      </c>
      <c r="F18" s="162">
        <v>8</v>
      </c>
      <c r="G18" s="384"/>
      <c r="H18" s="162">
        <v>11</v>
      </c>
      <c r="I18" s="162">
        <v>16</v>
      </c>
      <c r="J18" s="162">
        <v>7</v>
      </c>
      <c r="K18" s="162">
        <v>8</v>
      </c>
      <c r="L18" s="162">
        <v>7</v>
      </c>
      <c r="M18" s="162">
        <v>8</v>
      </c>
      <c r="N18" s="162">
        <v>3</v>
      </c>
      <c r="O18" s="162">
        <v>8</v>
      </c>
      <c r="P18" s="162">
        <v>8</v>
      </c>
      <c r="Q18" s="162">
        <v>9</v>
      </c>
      <c r="R18" s="162">
        <v>8</v>
      </c>
      <c r="S18" s="162">
        <v>11</v>
      </c>
      <c r="T18" s="162">
        <v>9</v>
      </c>
      <c r="U18" s="162">
        <v>9</v>
      </c>
      <c r="V18" s="162">
        <v>8</v>
      </c>
      <c r="W18" s="162">
        <v>14</v>
      </c>
      <c r="X18" s="162">
        <v>12</v>
      </c>
      <c r="Y18" s="162">
        <v>11</v>
      </c>
      <c r="Z18" s="162">
        <v>16</v>
      </c>
      <c r="AA18" s="162">
        <v>12</v>
      </c>
      <c r="AB18" s="162">
        <v>11</v>
      </c>
      <c r="AC18" s="162">
        <v>7</v>
      </c>
      <c r="AD18" s="162">
        <v>18</v>
      </c>
      <c r="AE18" s="162">
        <v>9</v>
      </c>
      <c r="AF18" s="161"/>
      <c r="AG18" s="64">
        <f t="shared" si="2"/>
        <v>298</v>
      </c>
    </row>
    <row r="19" spans="1:33" ht="18.75" x14ac:dyDescent="0.25">
      <c r="A19" s="301" t="s">
        <v>129</v>
      </c>
      <c r="B19" s="249">
        <v>8</v>
      </c>
      <c r="C19" s="162">
        <v>12</v>
      </c>
      <c r="D19" s="162">
        <v>3</v>
      </c>
      <c r="E19" s="162">
        <v>10</v>
      </c>
      <c r="F19" s="162">
        <v>5</v>
      </c>
      <c r="G19" s="384"/>
      <c r="H19" s="162">
        <v>6</v>
      </c>
      <c r="I19" s="162">
        <v>9</v>
      </c>
      <c r="J19" s="162">
        <v>7</v>
      </c>
      <c r="K19" s="162">
        <v>6</v>
      </c>
      <c r="L19" s="162">
        <v>3</v>
      </c>
      <c r="M19" s="162">
        <v>5</v>
      </c>
      <c r="N19" s="162">
        <v>5</v>
      </c>
      <c r="O19" s="162">
        <v>13</v>
      </c>
      <c r="P19" s="162">
        <v>6</v>
      </c>
      <c r="Q19" s="162">
        <v>3</v>
      </c>
      <c r="R19" s="162">
        <v>6</v>
      </c>
      <c r="S19" s="162">
        <v>11</v>
      </c>
      <c r="T19" s="162">
        <v>8</v>
      </c>
      <c r="U19" s="162">
        <v>8</v>
      </c>
      <c r="V19" s="162">
        <v>9</v>
      </c>
      <c r="W19" s="162">
        <v>5</v>
      </c>
      <c r="X19" s="162">
        <v>10</v>
      </c>
      <c r="Y19" s="162">
        <v>7</v>
      </c>
      <c r="Z19" s="162">
        <v>6</v>
      </c>
      <c r="AA19" s="162">
        <v>7</v>
      </c>
      <c r="AB19" s="162">
        <v>9</v>
      </c>
      <c r="AC19" s="162">
        <v>10</v>
      </c>
      <c r="AD19" s="162">
        <v>15</v>
      </c>
      <c r="AE19" s="162">
        <v>8</v>
      </c>
      <c r="AF19" s="161"/>
      <c r="AG19" s="64">
        <f t="shared" si="2"/>
        <v>220</v>
      </c>
    </row>
    <row r="20" spans="1:33" ht="18.75" x14ac:dyDescent="0.25">
      <c r="A20" s="301" t="s">
        <v>128</v>
      </c>
      <c r="B20" s="249">
        <v>3</v>
      </c>
      <c r="C20" s="162">
        <v>1</v>
      </c>
      <c r="D20" s="162">
        <v>1</v>
      </c>
      <c r="E20" s="162">
        <v>1</v>
      </c>
      <c r="F20" s="162"/>
      <c r="G20" s="384"/>
      <c r="H20" s="162">
        <v>4</v>
      </c>
      <c r="I20" s="162">
        <v>5</v>
      </c>
      <c r="J20" s="162">
        <v>3</v>
      </c>
      <c r="K20" s="162">
        <v>2</v>
      </c>
      <c r="L20" s="162">
        <v>3</v>
      </c>
      <c r="M20" s="162">
        <v>10</v>
      </c>
      <c r="N20" s="162">
        <v>3</v>
      </c>
      <c r="O20" s="162">
        <v>2</v>
      </c>
      <c r="P20" s="162">
        <v>4</v>
      </c>
      <c r="Q20" s="162">
        <v>8</v>
      </c>
      <c r="R20" s="162">
        <v>6</v>
      </c>
      <c r="S20" s="162">
        <v>3</v>
      </c>
      <c r="T20" s="162">
        <v>4</v>
      </c>
      <c r="U20" s="162">
        <v>2</v>
      </c>
      <c r="V20" s="162">
        <v>7</v>
      </c>
      <c r="W20" s="162">
        <v>2</v>
      </c>
      <c r="X20" s="162">
        <v>4</v>
      </c>
      <c r="Y20" s="162">
        <v>3</v>
      </c>
      <c r="Z20" s="162">
        <v>2</v>
      </c>
      <c r="AA20" s="162">
        <v>4</v>
      </c>
      <c r="AB20" s="162">
        <v>3</v>
      </c>
      <c r="AC20" s="162">
        <v>6</v>
      </c>
      <c r="AD20" s="162">
        <v>4</v>
      </c>
      <c r="AE20" s="162">
        <v>4</v>
      </c>
      <c r="AF20" s="161"/>
      <c r="AG20" s="64">
        <f t="shared" si="2"/>
        <v>104</v>
      </c>
    </row>
    <row r="21" spans="1:33" ht="18.75" x14ac:dyDescent="0.25">
      <c r="A21" s="301" t="s">
        <v>127</v>
      </c>
      <c r="B21" s="249">
        <v>2</v>
      </c>
      <c r="C21" s="162">
        <v>4</v>
      </c>
      <c r="D21" s="162"/>
      <c r="E21" s="162">
        <v>2</v>
      </c>
      <c r="F21" s="162"/>
      <c r="G21" s="384"/>
      <c r="H21" s="162">
        <v>2</v>
      </c>
      <c r="I21" s="162">
        <v>2</v>
      </c>
      <c r="J21" s="162">
        <v>2</v>
      </c>
      <c r="K21" s="162">
        <v>7</v>
      </c>
      <c r="L21" s="162">
        <v>2</v>
      </c>
      <c r="M21" s="162"/>
      <c r="N21" s="162"/>
      <c r="O21" s="162">
        <v>2</v>
      </c>
      <c r="P21" s="162">
        <v>1</v>
      </c>
      <c r="Q21" s="162">
        <v>1</v>
      </c>
      <c r="R21" s="162">
        <v>2</v>
      </c>
      <c r="S21" s="162">
        <v>2</v>
      </c>
      <c r="T21" s="162">
        <v>5</v>
      </c>
      <c r="U21" s="162">
        <v>10</v>
      </c>
      <c r="V21" s="162">
        <v>3</v>
      </c>
      <c r="W21" s="162">
        <v>2</v>
      </c>
      <c r="X21" s="162">
        <v>5</v>
      </c>
      <c r="Y21" s="162">
        <v>4</v>
      </c>
      <c r="Z21" s="162">
        <v>3</v>
      </c>
      <c r="AA21" s="162">
        <v>4</v>
      </c>
      <c r="AB21" s="162">
        <v>2</v>
      </c>
      <c r="AC21" s="162">
        <v>6</v>
      </c>
      <c r="AD21" s="162">
        <v>4</v>
      </c>
      <c r="AE21" s="162"/>
      <c r="AF21" s="161"/>
      <c r="AG21" s="64">
        <f t="shared" si="2"/>
        <v>79</v>
      </c>
    </row>
    <row r="22" spans="1:33" ht="18.75" x14ac:dyDescent="0.25">
      <c r="A22" s="301" t="s">
        <v>126</v>
      </c>
      <c r="B22" s="249">
        <v>2</v>
      </c>
      <c r="C22" s="162">
        <v>1</v>
      </c>
      <c r="D22" s="162"/>
      <c r="E22" s="162">
        <v>2</v>
      </c>
      <c r="F22" s="162"/>
      <c r="G22" s="384"/>
      <c r="H22" s="162">
        <v>1</v>
      </c>
      <c r="I22" s="162">
        <v>1</v>
      </c>
      <c r="J22" s="162">
        <v>1</v>
      </c>
      <c r="K22" s="162">
        <v>1</v>
      </c>
      <c r="L22" s="162">
        <v>3</v>
      </c>
      <c r="M22" s="162">
        <v>1</v>
      </c>
      <c r="N22" s="162">
        <v>4</v>
      </c>
      <c r="O22" s="162">
        <v>1</v>
      </c>
      <c r="P22" s="162">
        <v>3</v>
      </c>
      <c r="Q22" s="162">
        <v>2</v>
      </c>
      <c r="R22" s="162">
        <v>2</v>
      </c>
      <c r="S22" s="162">
        <v>1</v>
      </c>
      <c r="T22" s="162">
        <v>2</v>
      </c>
      <c r="U22" s="162">
        <v>2</v>
      </c>
      <c r="V22" s="162">
        <v>2</v>
      </c>
      <c r="W22" s="162">
        <v>1</v>
      </c>
      <c r="X22" s="162">
        <v>3</v>
      </c>
      <c r="Y22" s="162">
        <v>3</v>
      </c>
      <c r="Z22" s="162">
        <v>1</v>
      </c>
      <c r="AA22" s="162">
        <v>2</v>
      </c>
      <c r="AB22" s="162">
        <v>1</v>
      </c>
      <c r="AC22" s="162">
        <v>1</v>
      </c>
      <c r="AD22" s="162">
        <v>3</v>
      </c>
      <c r="AE22" s="162"/>
      <c r="AF22" s="161"/>
      <c r="AG22" s="64">
        <f t="shared" si="2"/>
        <v>47</v>
      </c>
    </row>
    <row r="23" spans="1:33" ht="18.75" x14ac:dyDescent="0.25">
      <c r="A23" s="301" t="s">
        <v>125</v>
      </c>
      <c r="B23" s="249"/>
      <c r="C23" s="162"/>
      <c r="D23" s="162">
        <v>2</v>
      </c>
      <c r="E23" s="162"/>
      <c r="F23" s="162"/>
      <c r="G23" s="384"/>
      <c r="H23" s="162">
        <v>2</v>
      </c>
      <c r="I23" s="162">
        <v>1</v>
      </c>
      <c r="J23" s="162">
        <v>2</v>
      </c>
      <c r="K23" s="162">
        <v>1</v>
      </c>
      <c r="L23" s="162"/>
      <c r="M23" s="162"/>
      <c r="N23" s="162">
        <v>1</v>
      </c>
      <c r="O23" s="162">
        <v>2</v>
      </c>
      <c r="P23" s="162">
        <v>2</v>
      </c>
      <c r="Q23" s="162">
        <v>2</v>
      </c>
      <c r="R23" s="162"/>
      <c r="S23" s="162"/>
      <c r="T23" s="162">
        <v>2</v>
      </c>
      <c r="U23" s="162"/>
      <c r="V23" s="162">
        <v>1</v>
      </c>
      <c r="W23" s="162"/>
      <c r="X23" s="162">
        <v>1</v>
      </c>
      <c r="Y23" s="162"/>
      <c r="Z23" s="162">
        <v>1</v>
      </c>
      <c r="AA23" s="162">
        <v>1</v>
      </c>
      <c r="AB23" s="162"/>
      <c r="AC23" s="162"/>
      <c r="AD23" s="162">
        <v>2</v>
      </c>
      <c r="AE23" s="162">
        <v>1</v>
      </c>
      <c r="AF23" s="161"/>
      <c r="AG23" s="64">
        <f t="shared" si="2"/>
        <v>24</v>
      </c>
    </row>
    <row r="24" spans="1:33" ht="18.75" x14ac:dyDescent="0.25">
      <c r="A24" s="301" t="s">
        <v>124</v>
      </c>
      <c r="B24" s="249"/>
      <c r="C24" s="162">
        <v>2</v>
      </c>
      <c r="D24" s="162">
        <v>1</v>
      </c>
      <c r="E24" s="162"/>
      <c r="F24" s="162"/>
      <c r="G24" s="384"/>
      <c r="H24" s="162">
        <v>3</v>
      </c>
      <c r="I24" s="162"/>
      <c r="J24" s="162">
        <v>1</v>
      </c>
      <c r="K24" s="162">
        <v>2</v>
      </c>
      <c r="L24" s="162">
        <v>1</v>
      </c>
      <c r="M24" s="162"/>
      <c r="N24" s="162"/>
      <c r="O24" s="162">
        <v>1</v>
      </c>
      <c r="P24" s="162">
        <v>1</v>
      </c>
      <c r="Q24" s="162">
        <v>2</v>
      </c>
      <c r="R24" s="162">
        <v>3</v>
      </c>
      <c r="S24" s="162"/>
      <c r="T24" s="162">
        <v>1</v>
      </c>
      <c r="U24" s="162"/>
      <c r="V24" s="162">
        <v>1</v>
      </c>
      <c r="W24" s="162">
        <v>1</v>
      </c>
      <c r="X24" s="162">
        <v>1</v>
      </c>
      <c r="Y24" s="162"/>
      <c r="Z24" s="162">
        <v>2</v>
      </c>
      <c r="AA24" s="162"/>
      <c r="AB24" s="162">
        <v>2</v>
      </c>
      <c r="AC24" s="162"/>
      <c r="AD24" s="162"/>
      <c r="AE24" s="162"/>
      <c r="AF24" s="161"/>
      <c r="AG24" s="64">
        <f t="shared" si="2"/>
        <v>25</v>
      </c>
    </row>
    <row r="25" spans="1:33" ht="18.75" x14ac:dyDescent="0.25">
      <c r="A25" s="301" t="s">
        <v>123</v>
      </c>
      <c r="B25" s="249">
        <v>2</v>
      </c>
      <c r="C25" s="162">
        <v>2</v>
      </c>
      <c r="D25" s="162"/>
      <c r="E25" s="162">
        <v>1</v>
      </c>
      <c r="F25" s="162"/>
      <c r="G25" s="384"/>
      <c r="H25" s="162"/>
      <c r="I25" s="162"/>
      <c r="J25" s="162">
        <v>2</v>
      </c>
      <c r="K25" s="162"/>
      <c r="L25" s="162">
        <v>1</v>
      </c>
      <c r="M25" s="162"/>
      <c r="N25" s="162"/>
      <c r="O25" s="162"/>
      <c r="P25" s="162"/>
      <c r="Q25" s="162"/>
      <c r="R25" s="162">
        <v>2</v>
      </c>
      <c r="S25" s="162">
        <v>2</v>
      </c>
      <c r="T25" s="162"/>
      <c r="U25" s="162"/>
      <c r="V25" s="162">
        <v>1</v>
      </c>
      <c r="W25" s="162"/>
      <c r="X25" s="162"/>
      <c r="Y25" s="162"/>
      <c r="Z25" s="162">
        <v>1</v>
      </c>
      <c r="AA25" s="162">
        <v>1</v>
      </c>
      <c r="AB25" s="162"/>
      <c r="AC25" s="162"/>
      <c r="AD25" s="162">
        <v>1</v>
      </c>
      <c r="AE25" s="162">
        <v>1</v>
      </c>
      <c r="AF25" s="161"/>
      <c r="AG25" s="64">
        <f t="shared" si="2"/>
        <v>17</v>
      </c>
    </row>
    <row r="26" spans="1:33" ht="18.75" x14ac:dyDescent="0.25">
      <c r="A26" s="301" t="s">
        <v>122</v>
      </c>
      <c r="B26" s="249">
        <v>1</v>
      </c>
      <c r="C26" s="162">
        <v>2</v>
      </c>
      <c r="D26" s="162">
        <v>1</v>
      </c>
      <c r="E26" s="162"/>
      <c r="F26" s="162"/>
      <c r="G26" s="384"/>
      <c r="H26" s="162">
        <v>1</v>
      </c>
      <c r="I26" s="162"/>
      <c r="J26" s="162"/>
      <c r="K26" s="162">
        <v>1</v>
      </c>
      <c r="L26" s="162">
        <v>1</v>
      </c>
      <c r="M26" s="162"/>
      <c r="N26" s="162">
        <v>3</v>
      </c>
      <c r="O26" s="162"/>
      <c r="P26" s="162"/>
      <c r="Q26" s="162"/>
      <c r="R26" s="162">
        <v>1</v>
      </c>
      <c r="S26" s="162">
        <v>1</v>
      </c>
      <c r="T26" s="162"/>
      <c r="U26" s="162"/>
      <c r="V26" s="162"/>
      <c r="W26" s="162"/>
      <c r="X26" s="162"/>
      <c r="Y26" s="162"/>
      <c r="Z26" s="162"/>
      <c r="AA26" s="162">
        <v>2</v>
      </c>
      <c r="AB26" s="162"/>
      <c r="AC26" s="162"/>
      <c r="AD26" s="162"/>
      <c r="AE26" s="162"/>
      <c r="AF26" s="161"/>
      <c r="AG26" s="64">
        <f t="shared" si="2"/>
        <v>14</v>
      </c>
    </row>
    <row r="27" spans="1:33" ht="19.5" thickBot="1" x14ac:dyDescent="0.3">
      <c r="A27" s="302" t="s">
        <v>121</v>
      </c>
      <c r="B27" s="250"/>
      <c r="C27" s="212"/>
      <c r="D27" s="212"/>
      <c r="E27" s="212"/>
      <c r="F27" s="212"/>
      <c r="G27" s="385"/>
      <c r="H27" s="212"/>
      <c r="I27" s="212"/>
      <c r="J27" s="212"/>
      <c r="K27" s="212"/>
      <c r="L27" s="212"/>
      <c r="M27" s="212"/>
      <c r="N27" s="212">
        <v>4</v>
      </c>
      <c r="O27" s="212">
        <v>1</v>
      </c>
      <c r="P27" s="212"/>
      <c r="Q27" s="212">
        <v>1</v>
      </c>
      <c r="R27" s="212"/>
      <c r="S27" s="212"/>
      <c r="T27" s="212">
        <v>1</v>
      </c>
      <c r="U27" s="212">
        <v>3</v>
      </c>
      <c r="V27" s="212"/>
      <c r="W27" s="212"/>
      <c r="X27" s="212"/>
      <c r="Y27" s="212"/>
      <c r="Z27" s="212"/>
      <c r="AA27" s="212"/>
      <c r="AB27" s="212"/>
      <c r="AC27" s="212"/>
      <c r="AD27" s="212"/>
      <c r="AE27" s="212"/>
      <c r="AF27" s="211"/>
      <c r="AG27" s="64">
        <f t="shared" si="2"/>
        <v>10</v>
      </c>
    </row>
    <row r="28" spans="1:33" ht="18.75" x14ac:dyDescent="0.25">
      <c r="A28" s="303" t="s">
        <v>146</v>
      </c>
      <c r="B28" s="251">
        <f t="shared" ref="B28:AF28" si="3">SUM(B29:B52)</f>
        <v>182</v>
      </c>
      <c r="C28" s="209">
        <f t="shared" si="3"/>
        <v>200</v>
      </c>
      <c r="D28" s="209">
        <f t="shared" si="3"/>
        <v>137</v>
      </c>
      <c r="E28" s="209">
        <f t="shared" si="3"/>
        <v>140</v>
      </c>
      <c r="F28" s="209">
        <f t="shared" si="3"/>
        <v>117</v>
      </c>
      <c r="G28" s="386">
        <f t="shared" si="3"/>
        <v>0</v>
      </c>
      <c r="H28" s="209">
        <f t="shared" si="3"/>
        <v>188</v>
      </c>
      <c r="I28" s="209">
        <f t="shared" si="3"/>
        <v>168</v>
      </c>
      <c r="J28" s="209">
        <f t="shared" si="3"/>
        <v>151</v>
      </c>
      <c r="K28" s="209">
        <f t="shared" si="3"/>
        <v>138</v>
      </c>
      <c r="L28" s="209">
        <f t="shared" si="3"/>
        <v>149</v>
      </c>
      <c r="M28" s="209">
        <f t="shared" si="3"/>
        <v>130</v>
      </c>
      <c r="N28" s="209">
        <f t="shared" si="3"/>
        <v>178</v>
      </c>
      <c r="O28" s="209">
        <f t="shared" si="3"/>
        <v>163</v>
      </c>
      <c r="P28" s="209">
        <f t="shared" si="3"/>
        <v>159</v>
      </c>
      <c r="Q28" s="209">
        <f t="shared" si="3"/>
        <v>162</v>
      </c>
      <c r="R28" s="209">
        <f t="shared" si="3"/>
        <v>160</v>
      </c>
      <c r="S28" s="209">
        <f t="shared" si="3"/>
        <v>148</v>
      </c>
      <c r="T28" s="209">
        <f t="shared" si="3"/>
        <v>143</v>
      </c>
      <c r="U28" s="209">
        <f t="shared" si="3"/>
        <v>168</v>
      </c>
      <c r="V28" s="209">
        <f t="shared" si="3"/>
        <v>196</v>
      </c>
      <c r="W28" s="209">
        <f t="shared" si="3"/>
        <v>162</v>
      </c>
      <c r="X28" s="209">
        <f t="shared" si="3"/>
        <v>187</v>
      </c>
      <c r="Y28" s="209">
        <f t="shared" si="3"/>
        <v>152</v>
      </c>
      <c r="Z28" s="209">
        <f t="shared" si="3"/>
        <v>175</v>
      </c>
      <c r="AA28" s="209">
        <f t="shared" si="3"/>
        <v>156</v>
      </c>
      <c r="AB28" s="209">
        <f t="shared" si="3"/>
        <v>191</v>
      </c>
      <c r="AC28" s="209">
        <f t="shared" si="3"/>
        <v>196</v>
      </c>
      <c r="AD28" s="209">
        <f t="shared" si="3"/>
        <v>207</v>
      </c>
      <c r="AE28" s="209">
        <f t="shared" si="3"/>
        <v>164</v>
      </c>
      <c r="AF28" s="209">
        <f t="shared" si="3"/>
        <v>0</v>
      </c>
      <c r="AG28" s="164">
        <f t="shared" si="2"/>
        <v>4767</v>
      </c>
    </row>
    <row r="29" spans="1:33" ht="18.75" x14ac:dyDescent="0.25">
      <c r="A29" s="301" t="s">
        <v>144</v>
      </c>
      <c r="B29" s="249">
        <v>1</v>
      </c>
      <c r="C29" s="162"/>
      <c r="D29" s="162">
        <v>3</v>
      </c>
      <c r="E29" s="162"/>
      <c r="F29" s="162">
        <v>1</v>
      </c>
      <c r="G29" s="384"/>
      <c r="H29" s="162">
        <v>1</v>
      </c>
      <c r="I29" s="162"/>
      <c r="J29" s="162">
        <v>2</v>
      </c>
      <c r="K29" s="162">
        <v>3</v>
      </c>
      <c r="L29" s="162"/>
      <c r="M29" s="162">
        <v>3</v>
      </c>
      <c r="N29" s="162">
        <v>2</v>
      </c>
      <c r="O29" s="162">
        <v>2</v>
      </c>
      <c r="P29" s="162"/>
      <c r="Q29" s="162">
        <v>2</v>
      </c>
      <c r="R29" s="162">
        <v>3</v>
      </c>
      <c r="S29" s="162">
        <v>1</v>
      </c>
      <c r="T29" s="162">
        <v>2</v>
      </c>
      <c r="U29" s="162">
        <v>1</v>
      </c>
      <c r="V29" s="162"/>
      <c r="W29" s="162">
        <v>1</v>
      </c>
      <c r="X29" s="162">
        <v>2</v>
      </c>
      <c r="Y29" s="162">
        <v>1</v>
      </c>
      <c r="Z29" s="162"/>
      <c r="AA29" s="162">
        <v>3</v>
      </c>
      <c r="AB29" s="162">
        <v>3</v>
      </c>
      <c r="AC29" s="162"/>
      <c r="AD29" s="162">
        <v>4</v>
      </c>
      <c r="AE29" s="162">
        <v>4</v>
      </c>
      <c r="AF29" s="161"/>
      <c r="AG29" s="64">
        <f t="shared" si="2"/>
        <v>45</v>
      </c>
    </row>
    <row r="30" spans="1:33" ht="18.75" x14ac:dyDescent="0.25">
      <c r="A30" s="301" t="s">
        <v>143</v>
      </c>
      <c r="B30" s="249">
        <v>5</v>
      </c>
      <c r="C30" s="162">
        <v>4</v>
      </c>
      <c r="D30" s="162">
        <v>1</v>
      </c>
      <c r="E30" s="162">
        <v>4</v>
      </c>
      <c r="F30" s="162">
        <v>7</v>
      </c>
      <c r="G30" s="384"/>
      <c r="H30" s="162">
        <v>6</v>
      </c>
      <c r="I30" s="162">
        <v>4</v>
      </c>
      <c r="J30" s="162">
        <v>5</v>
      </c>
      <c r="K30" s="162"/>
      <c r="L30" s="162">
        <v>2</v>
      </c>
      <c r="M30" s="162">
        <v>5</v>
      </c>
      <c r="N30" s="162">
        <v>10</v>
      </c>
      <c r="O30" s="162">
        <v>6</v>
      </c>
      <c r="P30" s="162">
        <v>3</v>
      </c>
      <c r="Q30" s="162">
        <v>5</v>
      </c>
      <c r="R30" s="162">
        <v>2</v>
      </c>
      <c r="S30" s="162">
        <v>5</v>
      </c>
      <c r="T30" s="162">
        <v>3</v>
      </c>
      <c r="U30" s="162">
        <v>9</v>
      </c>
      <c r="V30" s="162">
        <v>5</v>
      </c>
      <c r="W30" s="162">
        <v>3</v>
      </c>
      <c r="X30" s="162">
        <v>4</v>
      </c>
      <c r="Y30" s="162">
        <v>2</v>
      </c>
      <c r="Z30" s="162">
        <v>6</v>
      </c>
      <c r="AA30" s="162">
        <v>4</v>
      </c>
      <c r="AB30" s="162">
        <v>5</v>
      </c>
      <c r="AC30" s="162">
        <v>3</v>
      </c>
      <c r="AD30" s="162">
        <v>4</v>
      </c>
      <c r="AE30" s="162">
        <v>3</v>
      </c>
      <c r="AF30" s="161"/>
      <c r="AG30" s="64">
        <f t="shared" si="2"/>
        <v>125</v>
      </c>
    </row>
    <row r="31" spans="1:33" ht="18.75" x14ac:dyDescent="0.25">
      <c r="A31" s="301" t="s">
        <v>142</v>
      </c>
      <c r="B31" s="249">
        <v>15</v>
      </c>
      <c r="C31" s="162">
        <v>3</v>
      </c>
      <c r="D31" s="162">
        <v>6</v>
      </c>
      <c r="E31" s="162">
        <v>3</v>
      </c>
      <c r="F31" s="162">
        <v>6</v>
      </c>
      <c r="G31" s="384"/>
      <c r="H31" s="162">
        <v>7</v>
      </c>
      <c r="I31" s="162">
        <v>4</v>
      </c>
      <c r="J31" s="162">
        <v>5</v>
      </c>
      <c r="K31" s="162">
        <v>5</v>
      </c>
      <c r="L31" s="162">
        <v>2</v>
      </c>
      <c r="M31" s="162">
        <v>2</v>
      </c>
      <c r="N31" s="162">
        <v>11</v>
      </c>
      <c r="O31" s="162">
        <v>10</v>
      </c>
      <c r="P31" s="162">
        <v>4</v>
      </c>
      <c r="Q31" s="162">
        <v>4</v>
      </c>
      <c r="R31" s="162">
        <v>3</v>
      </c>
      <c r="S31" s="162">
        <v>5</v>
      </c>
      <c r="T31" s="162"/>
      <c r="U31" s="162">
        <v>7</v>
      </c>
      <c r="V31" s="162">
        <v>4</v>
      </c>
      <c r="W31" s="162">
        <v>2</v>
      </c>
      <c r="X31" s="162">
        <v>6</v>
      </c>
      <c r="Y31" s="162">
        <v>7</v>
      </c>
      <c r="Z31" s="162">
        <v>5</v>
      </c>
      <c r="AA31" s="162">
        <v>2</v>
      </c>
      <c r="AB31" s="162">
        <v>10</v>
      </c>
      <c r="AC31" s="162">
        <v>10</v>
      </c>
      <c r="AD31" s="162">
        <v>4</v>
      </c>
      <c r="AE31" s="162">
        <v>2</v>
      </c>
      <c r="AF31" s="161"/>
      <c r="AG31" s="64">
        <f t="shared" si="2"/>
        <v>154</v>
      </c>
    </row>
    <row r="32" spans="1:33" ht="18.75" x14ac:dyDescent="0.25">
      <c r="A32" s="301" t="s">
        <v>141</v>
      </c>
      <c r="B32" s="249">
        <v>11</v>
      </c>
      <c r="C32" s="162">
        <v>5</v>
      </c>
      <c r="D32" s="162">
        <v>2</v>
      </c>
      <c r="E32" s="162">
        <v>5</v>
      </c>
      <c r="F32" s="162">
        <v>1</v>
      </c>
      <c r="G32" s="384"/>
      <c r="H32" s="162">
        <v>5</v>
      </c>
      <c r="I32" s="162">
        <v>5</v>
      </c>
      <c r="J32" s="162">
        <v>4</v>
      </c>
      <c r="K32" s="162">
        <v>2</v>
      </c>
      <c r="L32" s="162">
        <v>2</v>
      </c>
      <c r="M32" s="162">
        <v>2</v>
      </c>
      <c r="N32" s="162">
        <v>14</v>
      </c>
      <c r="O32" s="162">
        <v>5</v>
      </c>
      <c r="P32" s="162">
        <v>1</v>
      </c>
      <c r="Q32" s="162">
        <v>2</v>
      </c>
      <c r="R32" s="162">
        <v>2</v>
      </c>
      <c r="S32" s="162">
        <v>3</v>
      </c>
      <c r="T32" s="162">
        <v>1</v>
      </c>
      <c r="U32" s="162">
        <v>12</v>
      </c>
      <c r="V32" s="162">
        <v>8</v>
      </c>
      <c r="W32" s="162">
        <v>6</v>
      </c>
      <c r="X32" s="162">
        <v>2</v>
      </c>
      <c r="Y32" s="162">
        <v>2</v>
      </c>
      <c r="Z32" s="162">
        <v>3</v>
      </c>
      <c r="AA32" s="162">
        <v>5</v>
      </c>
      <c r="AB32" s="162">
        <v>9</v>
      </c>
      <c r="AC32" s="162">
        <v>9</v>
      </c>
      <c r="AD32" s="162">
        <v>4</v>
      </c>
      <c r="AE32" s="162">
        <v>5</v>
      </c>
      <c r="AF32" s="161"/>
      <c r="AG32" s="64">
        <f t="shared" si="2"/>
        <v>137</v>
      </c>
    </row>
    <row r="33" spans="1:33" ht="18.75" x14ac:dyDescent="0.25">
      <c r="A33" s="301" t="s">
        <v>140</v>
      </c>
      <c r="B33" s="249">
        <v>10</v>
      </c>
      <c r="C33" s="162">
        <v>4</v>
      </c>
      <c r="D33" s="162">
        <v>6</v>
      </c>
      <c r="E33" s="162">
        <v>6</v>
      </c>
      <c r="F33" s="162">
        <v>4</v>
      </c>
      <c r="G33" s="384"/>
      <c r="H33" s="162">
        <v>14</v>
      </c>
      <c r="I33" s="162">
        <v>4</v>
      </c>
      <c r="J33" s="162">
        <v>1</v>
      </c>
      <c r="K33" s="162">
        <v>2</v>
      </c>
      <c r="L33" s="162">
        <v>3</v>
      </c>
      <c r="M33" s="162">
        <v>3</v>
      </c>
      <c r="N33" s="162">
        <v>8</v>
      </c>
      <c r="O33" s="162">
        <v>5</v>
      </c>
      <c r="P33" s="162">
        <v>3</v>
      </c>
      <c r="Q33" s="162">
        <v>5</v>
      </c>
      <c r="R33" s="162">
        <v>4</v>
      </c>
      <c r="S33" s="162">
        <v>5</v>
      </c>
      <c r="T33" s="162">
        <v>2</v>
      </c>
      <c r="U33" s="162">
        <v>8</v>
      </c>
      <c r="V33" s="162">
        <v>8</v>
      </c>
      <c r="W33" s="162">
        <v>7</v>
      </c>
      <c r="X33" s="162">
        <v>4</v>
      </c>
      <c r="Y33" s="162">
        <v>6</v>
      </c>
      <c r="Z33" s="162">
        <v>4</v>
      </c>
      <c r="AA33" s="162">
        <v>3</v>
      </c>
      <c r="AB33" s="162">
        <v>11</v>
      </c>
      <c r="AC33" s="162">
        <v>10</v>
      </c>
      <c r="AD33" s="162">
        <v>7</v>
      </c>
      <c r="AE33" s="162">
        <v>4</v>
      </c>
      <c r="AF33" s="161"/>
      <c r="AG33" s="64">
        <f t="shared" si="2"/>
        <v>161</v>
      </c>
    </row>
    <row r="34" spans="1:33" ht="18.75" x14ac:dyDescent="0.25">
      <c r="A34" s="301" t="s">
        <v>139</v>
      </c>
      <c r="B34" s="249">
        <v>13</v>
      </c>
      <c r="C34" s="162">
        <v>8</v>
      </c>
      <c r="D34" s="162"/>
      <c r="E34" s="162">
        <v>1</v>
      </c>
      <c r="F34" s="162">
        <v>1</v>
      </c>
      <c r="G34" s="384"/>
      <c r="H34" s="162">
        <v>10</v>
      </c>
      <c r="I34" s="162">
        <v>5</v>
      </c>
      <c r="J34" s="162">
        <v>2</v>
      </c>
      <c r="K34" s="162">
        <v>2</v>
      </c>
      <c r="L34" s="162">
        <v>3</v>
      </c>
      <c r="M34" s="162">
        <v>5</v>
      </c>
      <c r="N34" s="162">
        <v>9</v>
      </c>
      <c r="O34" s="162">
        <v>11</v>
      </c>
      <c r="P34" s="162">
        <v>3</v>
      </c>
      <c r="Q34" s="162">
        <v>3</v>
      </c>
      <c r="R34" s="162">
        <v>3</v>
      </c>
      <c r="S34" s="162">
        <v>3</v>
      </c>
      <c r="T34" s="162">
        <v>2</v>
      </c>
      <c r="U34" s="162">
        <v>17</v>
      </c>
      <c r="V34" s="162">
        <v>10</v>
      </c>
      <c r="W34" s="162">
        <v>6</v>
      </c>
      <c r="X34" s="162">
        <v>6</v>
      </c>
      <c r="Y34" s="162">
        <v>1</v>
      </c>
      <c r="Z34" s="162">
        <v>3</v>
      </c>
      <c r="AA34" s="162"/>
      <c r="AB34" s="162">
        <v>10</v>
      </c>
      <c r="AC34" s="162">
        <v>11</v>
      </c>
      <c r="AD34" s="162">
        <v>3</v>
      </c>
      <c r="AE34" s="162">
        <v>1</v>
      </c>
      <c r="AF34" s="161"/>
      <c r="AG34" s="64">
        <f t="shared" si="2"/>
        <v>152</v>
      </c>
    </row>
    <row r="35" spans="1:33" ht="18.75" x14ac:dyDescent="0.25">
      <c r="A35" s="301" t="s">
        <v>138</v>
      </c>
      <c r="B35" s="249">
        <v>9</v>
      </c>
      <c r="C35" s="162"/>
      <c r="D35" s="162"/>
      <c r="E35" s="162">
        <v>3</v>
      </c>
      <c r="F35" s="162">
        <v>3</v>
      </c>
      <c r="G35" s="384"/>
      <c r="H35" s="162">
        <v>15</v>
      </c>
      <c r="I35" s="162"/>
      <c r="J35" s="162">
        <v>2</v>
      </c>
      <c r="K35" s="162">
        <v>3</v>
      </c>
      <c r="L35" s="162">
        <v>4</v>
      </c>
      <c r="M35" s="162">
        <v>3</v>
      </c>
      <c r="N35" s="162">
        <v>13</v>
      </c>
      <c r="O35" s="162">
        <v>11</v>
      </c>
      <c r="P35" s="162">
        <v>4</v>
      </c>
      <c r="Q35" s="162">
        <v>5</v>
      </c>
      <c r="R35" s="162">
        <v>3</v>
      </c>
      <c r="S35" s="162">
        <v>2</v>
      </c>
      <c r="T35" s="162">
        <v>2</v>
      </c>
      <c r="U35" s="162">
        <v>8</v>
      </c>
      <c r="V35" s="162">
        <v>12</v>
      </c>
      <c r="W35" s="162">
        <v>3</v>
      </c>
      <c r="X35" s="162">
        <v>5</v>
      </c>
      <c r="Y35" s="162">
        <v>4</v>
      </c>
      <c r="Z35" s="162">
        <v>1</v>
      </c>
      <c r="AA35" s="162">
        <v>5</v>
      </c>
      <c r="AB35" s="162">
        <v>3</v>
      </c>
      <c r="AC35" s="162">
        <v>11</v>
      </c>
      <c r="AD35" s="162">
        <v>3</v>
      </c>
      <c r="AE35" s="162">
        <v>3</v>
      </c>
      <c r="AF35" s="161"/>
      <c r="AG35" s="64">
        <f t="shared" si="2"/>
        <v>140</v>
      </c>
    </row>
    <row r="36" spans="1:33" ht="18.75" x14ac:dyDescent="0.25">
      <c r="A36" s="301" t="s">
        <v>137</v>
      </c>
      <c r="B36" s="249">
        <v>9</v>
      </c>
      <c r="C36" s="162">
        <v>9</v>
      </c>
      <c r="D36" s="162">
        <v>3</v>
      </c>
      <c r="E36" s="162">
        <v>3</v>
      </c>
      <c r="F36" s="162">
        <v>3</v>
      </c>
      <c r="G36" s="384"/>
      <c r="H36" s="162">
        <v>14</v>
      </c>
      <c r="I36" s="162">
        <v>4</v>
      </c>
      <c r="J36" s="162">
        <v>2</v>
      </c>
      <c r="K36" s="162">
        <v>2</v>
      </c>
      <c r="L36" s="162">
        <v>4</v>
      </c>
      <c r="M36" s="162">
        <v>4</v>
      </c>
      <c r="N36" s="162">
        <v>14</v>
      </c>
      <c r="O36" s="162">
        <v>8</v>
      </c>
      <c r="P36" s="162">
        <v>4</v>
      </c>
      <c r="Q36" s="162"/>
      <c r="R36" s="162">
        <v>6</v>
      </c>
      <c r="S36" s="162">
        <v>4</v>
      </c>
      <c r="T36" s="162">
        <v>2</v>
      </c>
      <c r="U36" s="162">
        <v>7</v>
      </c>
      <c r="V36" s="162">
        <v>11</v>
      </c>
      <c r="W36" s="162">
        <v>4</v>
      </c>
      <c r="X36" s="162">
        <v>4</v>
      </c>
      <c r="Y36" s="162">
        <v>9</v>
      </c>
      <c r="Z36" s="162">
        <v>5</v>
      </c>
      <c r="AA36" s="162">
        <v>4</v>
      </c>
      <c r="AB36" s="162">
        <v>14</v>
      </c>
      <c r="AC36" s="162">
        <v>13</v>
      </c>
      <c r="AD36" s="162">
        <v>7</v>
      </c>
      <c r="AE36" s="162">
        <v>5</v>
      </c>
      <c r="AF36" s="161"/>
      <c r="AG36" s="64">
        <f t="shared" si="2"/>
        <v>178</v>
      </c>
    </row>
    <row r="37" spans="1:33" ht="18.75" x14ac:dyDescent="0.25">
      <c r="A37" s="301" t="s">
        <v>136</v>
      </c>
      <c r="B37" s="249">
        <v>11</v>
      </c>
      <c r="C37" s="162">
        <v>6</v>
      </c>
      <c r="D37" s="162">
        <v>1</v>
      </c>
      <c r="E37" s="162">
        <v>5</v>
      </c>
      <c r="F37" s="162">
        <v>4</v>
      </c>
      <c r="G37" s="384"/>
      <c r="H37" s="162">
        <v>9</v>
      </c>
      <c r="I37" s="162">
        <v>8</v>
      </c>
      <c r="J37" s="162">
        <v>6</v>
      </c>
      <c r="K37" s="162">
        <v>3</v>
      </c>
      <c r="L37" s="162">
        <v>6</v>
      </c>
      <c r="M37" s="162">
        <v>7</v>
      </c>
      <c r="N37" s="162">
        <v>7</v>
      </c>
      <c r="O37" s="162">
        <v>15</v>
      </c>
      <c r="P37" s="162">
        <v>4</v>
      </c>
      <c r="Q37" s="162">
        <v>2</v>
      </c>
      <c r="R37" s="162">
        <v>6</v>
      </c>
      <c r="S37" s="162">
        <v>5</v>
      </c>
      <c r="T37" s="162">
        <v>6</v>
      </c>
      <c r="U37" s="162">
        <v>13</v>
      </c>
      <c r="V37" s="162">
        <v>17</v>
      </c>
      <c r="W37" s="162">
        <v>7</v>
      </c>
      <c r="X37" s="162">
        <v>5</v>
      </c>
      <c r="Y37" s="162">
        <v>4</v>
      </c>
      <c r="Z37" s="162">
        <v>5</v>
      </c>
      <c r="AA37" s="162">
        <v>2</v>
      </c>
      <c r="AB37" s="162">
        <v>16</v>
      </c>
      <c r="AC37" s="162">
        <v>20</v>
      </c>
      <c r="AD37" s="162">
        <v>5</v>
      </c>
      <c r="AE37" s="162">
        <v>5</v>
      </c>
      <c r="AF37" s="161"/>
      <c r="AG37" s="64">
        <f t="shared" si="2"/>
        <v>210</v>
      </c>
    </row>
    <row r="38" spans="1:33" ht="18.75" x14ac:dyDescent="0.25">
      <c r="A38" s="301" t="s">
        <v>135</v>
      </c>
      <c r="B38" s="249">
        <v>19</v>
      </c>
      <c r="C38" s="162">
        <v>12</v>
      </c>
      <c r="D38" s="162">
        <v>8</v>
      </c>
      <c r="E38" s="162">
        <v>9</v>
      </c>
      <c r="F38" s="162"/>
      <c r="G38" s="384"/>
      <c r="H38" s="162">
        <v>21</v>
      </c>
      <c r="I38" s="162">
        <v>5</v>
      </c>
      <c r="J38" s="162">
        <v>7</v>
      </c>
      <c r="K38" s="162">
        <v>5</v>
      </c>
      <c r="L38" s="162">
        <v>3</v>
      </c>
      <c r="M38" s="162">
        <v>1</v>
      </c>
      <c r="N38" s="162">
        <v>8</v>
      </c>
      <c r="O38" s="162">
        <v>22</v>
      </c>
      <c r="P38" s="162">
        <v>4</v>
      </c>
      <c r="Q38" s="162">
        <v>10</v>
      </c>
      <c r="R38" s="162">
        <v>4</v>
      </c>
      <c r="S38" s="162">
        <v>6</v>
      </c>
      <c r="T38" s="162">
        <v>6</v>
      </c>
      <c r="U38" s="162">
        <v>8</v>
      </c>
      <c r="V38" s="162">
        <v>21</v>
      </c>
      <c r="W38" s="162">
        <v>1</v>
      </c>
      <c r="X38" s="162">
        <v>8</v>
      </c>
      <c r="Y38" s="162">
        <v>3</v>
      </c>
      <c r="Z38" s="162">
        <v>7</v>
      </c>
      <c r="AA38" s="162">
        <v>9</v>
      </c>
      <c r="AB38" s="162">
        <v>11</v>
      </c>
      <c r="AC38" s="162">
        <v>17</v>
      </c>
      <c r="AD38" s="162">
        <v>5</v>
      </c>
      <c r="AE38" s="162">
        <v>6</v>
      </c>
      <c r="AF38" s="161"/>
      <c r="AG38" s="64">
        <f t="shared" si="2"/>
        <v>246</v>
      </c>
    </row>
    <row r="39" spans="1:33" ht="18.75" x14ac:dyDescent="0.25">
      <c r="A39" s="301" t="s">
        <v>134</v>
      </c>
      <c r="B39" s="249">
        <v>15</v>
      </c>
      <c r="C39" s="162">
        <v>23</v>
      </c>
      <c r="D39" s="162">
        <v>19</v>
      </c>
      <c r="E39" s="162">
        <v>20</v>
      </c>
      <c r="F39" s="162">
        <v>18</v>
      </c>
      <c r="G39" s="384"/>
      <c r="H39" s="162">
        <v>8</v>
      </c>
      <c r="I39" s="162">
        <v>13</v>
      </c>
      <c r="J39" s="162">
        <v>22</v>
      </c>
      <c r="K39" s="162">
        <v>22</v>
      </c>
      <c r="L39" s="162">
        <v>19</v>
      </c>
      <c r="M39" s="162">
        <v>13</v>
      </c>
      <c r="N39" s="162">
        <v>12</v>
      </c>
      <c r="O39" s="162">
        <v>11</v>
      </c>
      <c r="P39" s="162">
        <v>12</v>
      </c>
      <c r="Q39" s="162">
        <v>23</v>
      </c>
      <c r="R39" s="162">
        <v>21</v>
      </c>
      <c r="S39" s="162">
        <v>23</v>
      </c>
      <c r="T39" s="162">
        <v>11</v>
      </c>
      <c r="U39" s="162">
        <v>14</v>
      </c>
      <c r="V39" s="162">
        <v>16</v>
      </c>
      <c r="W39" s="162">
        <v>13</v>
      </c>
      <c r="X39" s="162">
        <v>21</v>
      </c>
      <c r="Y39" s="162">
        <v>22</v>
      </c>
      <c r="Z39" s="162">
        <v>19</v>
      </c>
      <c r="AA39" s="162">
        <v>20</v>
      </c>
      <c r="AB39" s="162">
        <v>14</v>
      </c>
      <c r="AC39" s="162">
        <v>13</v>
      </c>
      <c r="AD39" s="162">
        <v>23</v>
      </c>
      <c r="AE39" s="162">
        <v>24</v>
      </c>
      <c r="AF39" s="161"/>
      <c r="AG39" s="64">
        <f t="shared" si="2"/>
        <v>504</v>
      </c>
    </row>
    <row r="40" spans="1:33" ht="18.75" x14ac:dyDescent="0.25">
      <c r="A40" s="301" t="s">
        <v>133</v>
      </c>
      <c r="B40" s="249">
        <v>16</v>
      </c>
      <c r="C40" s="162">
        <v>28</v>
      </c>
      <c r="D40" s="162">
        <v>24</v>
      </c>
      <c r="E40" s="162">
        <v>21</v>
      </c>
      <c r="F40" s="162">
        <v>17</v>
      </c>
      <c r="G40" s="384"/>
      <c r="H40" s="162">
        <v>15</v>
      </c>
      <c r="I40" s="162">
        <v>16</v>
      </c>
      <c r="J40" s="162">
        <v>25</v>
      </c>
      <c r="K40" s="162">
        <v>14</v>
      </c>
      <c r="L40" s="162">
        <v>20</v>
      </c>
      <c r="M40" s="162">
        <v>21</v>
      </c>
      <c r="N40" s="162">
        <v>12</v>
      </c>
      <c r="O40" s="162">
        <v>9</v>
      </c>
      <c r="P40" s="162">
        <v>20</v>
      </c>
      <c r="Q40" s="162">
        <v>23</v>
      </c>
      <c r="R40" s="162">
        <v>23</v>
      </c>
      <c r="S40" s="162">
        <v>21</v>
      </c>
      <c r="T40" s="162">
        <v>21</v>
      </c>
      <c r="U40" s="162">
        <v>8</v>
      </c>
      <c r="V40" s="162">
        <v>17</v>
      </c>
      <c r="W40" s="162">
        <v>19</v>
      </c>
      <c r="X40" s="162">
        <v>23</v>
      </c>
      <c r="Y40" s="162">
        <v>17</v>
      </c>
      <c r="Z40" s="162">
        <v>25</v>
      </c>
      <c r="AA40" s="162">
        <v>19</v>
      </c>
      <c r="AB40" s="162">
        <v>17</v>
      </c>
      <c r="AC40" s="162">
        <v>16</v>
      </c>
      <c r="AD40" s="162">
        <v>21</v>
      </c>
      <c r="AE40" s="162">
        <v>19</v>
      </c>
      <c r="AF40" s="161"/>
      <c r="AG40" s="64">
        <f t="shared" si="2"/>
        <v>547</v>
      </c>
    </row>
    <row r="41" spans="1:33" ht="18.75" x14ac:dyDescent="0.25">
      <c r="A41" s="301" t="s">
        <v>132</v>
      </c>
      <c r="B41" s="249">
        <v>9</v>
      </c>
      <c r="C41" s="162">
        <v>23</v>
      </c>
      <c r="D41" s="162">
        <v>16</v>
      </c>
      <c r="E41" s="162">
        <v>14</v>
      </c>
      <c r="F41" s="162">
        <v>13</v>
      </c>
      <c r="G41" s="384"/>
      <c r="H41" s="162">
        <v>15</v>
      </c>
      <c r="I41" s="162">
        <v>23</v>
      </c>
      <c r="J41" s="162">
        <v>14</v>
      </c>
      <c r="K41" s="162">
        <v>15</v>
      </c>
      <c r="L41" s="162">
        <v>23</v>
      </c>
      <c r="M41" s="162">
        <v>23</v>
      </c>
      <c r="N41" s="162">
        <v>7</v>
      </c>
      <c r="O41" s="162">
        <v>6</v>
      </c>
      <c r="P41" s="162">
        <v>18</v>
      </c>
      <c r="Q41" s="162">
        <v>21</v>
      </c>
      <c r="R41" s="162">
        <v>17</v>
      </c>
      <c r="S41" s="162">
        <v>16</v>
      </c>
      <c r="T41" s="162">
        <v>17</v>
      </c>
      <c r="U41" s="162">
        <v>7</v>
      </c>
      <c r="V41" s="162">
        <v>16</v>
      </c>
      <c r="W41" s="162">
        <v>22</v>
      </c>
      <c r="X41" s="162">
        <v>27</v>
      </c>
      <c r="Y41" s="162">
        <v>19</v>
      </c>
      <c r="Z41" s="162">
        <v>21</v>
      </c>
      <c r="AA41" s="162">
        <v>18</v>
      </c>
      <c r="AB41" s="162">
        <v>16</v>
      </c>
      <c r="AC41" s="162">
        <v>12</v>
      </c>
      <c r="AD41" s="162">
        <v>21</v>
      </c>
      <c r="AE41" s="162">
        <v>19</v>
      </c>
      <c r="AF41" s="161"/>
      <c r="AG41" s="64">
        <f t="shared" si="2"/>
        <v>488</v>
      </c>
    </row>
    <row r="42" spans="1:33" ht="18.75" x14ac:dyDescent="0.25">
      <c r="A42" s="301" t="s">
        <v>131</v>
      </c>
      <c r="B42" s="249">
        <v>10</v>
      </c>
      <c r="C42" s="162">
        <v>21</v>
      </c>
      <c r="D42" s="162">
        <v>20</v>
      </c>
      <c r="E42" s="162">
        <v>15</v>
      </c>
      <c r="F42" s="162">
        <v>12</v>
      </c>
      <c r="G42" s="384"/>
      <c r="H42" s="162">
        <v>16</v>
      </c>
      <c r="I42" s="162">
        <v>14</v>
      </c>
      <c r="J42" s="162">
        <v>16</v>
      </c>
      <c r="K42" s="162">
        <v>10</v>
      </c>
      <c r="L42" s="162">
        <v>24</v>
      </c>
      <c r="M42" s="162">
        <v>14</v>
      </c>
      <c r="N42" s="162">
        <v>17</v>
      </c>
      <c r="O42" s="162">
        <v>13</v>
      </c>
      <c r="P42" s="162">
        <v>21</v>
      </c>
      <c r="Q42" s="162">
        <v>22</v>
      </c>
      <c r="R42" s="162">
        <v>21</v>
      </c>
      <c r="S42" s="162">
        <v>15</v>
      </c>
      <c r="T42" s="162">
        <v>17</v>
      </c>
      <c r="U42" s="162">
        <v>11</v>
      </c>
      <c r="V42" s="162">
        <v>6</v>
      </c>
      <c r="W42" s="162">
        <v>16</v>
      </c>
      <c r="X42" s="162">
        <v>19</v>
      </c>
      <c r="Y42" s="162">
        <v>21</v>
      </c>
      <c r="Z42" s="162">
        <v>22</v>
      </c>
      <c r="AA42" s="162">
        <v>19</v>
      </c>
      <c r="AB42" s="162">
        <v>15</v>
      </c>
      <c r="AC42" s="162">
        <v>10</v>
      </c>
      <c r="AD42" s="162">
        <v>25</v>
      </c>
      <c r="AE42" s="162">
        <v>17</v>
      </c>
      <c r="AF42" s="161"/>
      <c r="AG42" s="64">
        <f t="shared" si="2"/>
        <v>479</v>
      </c>
    </row>
    <row r="43" spans="1:33" ht="18.75" x14ac:dyDescent="0.25">
      <c r="A43" s="301" t="s">
        <v>130</v>
      </c>
      <c r="B43" s="249">
        <v>5</v>
      </c>
      <c r="C43" s="162">
        <v>12</v>
      </c>
      <c r="D43" s="162">
        <v>17</v>
      </c>
      <c r="E43" s="162">
        <v>10</v>
      </c>
      <c r="F43" s="162">
        <v>12</v>
      </c>
      <c r="G43" s="384"/>
      <c r="H43" s="162">
        <v>6</v>
      </c>
      <c r="I43" s="162">
        <v>21</v>
      </c>
      <c r="J43" s="162">
        <v>16</v>
      </c>
      <c r="K43" s="162">
        <v>16</v>
      </c>
      <c r="L43" s="162">
        <v>16</v>
      </c>
      <c r="M43" s="162">
        <v>8</v>
      </c>
      <c r="N43" s="162">
        <v>15</v>
      </c>
      <c r="O43" s="162">
        <v>5</v>
      </c>
      <c r="P43" s="162">
        <v>21</v>
      </c>
      <c r="Q43" s="162">
        <v>11</v>
      </c>
      <c r="R43" s="162">
        <v>13</v>
      </c>
      <c r="S43" s="162">
        <v>12</v>
      </c>
      <c r="T43" s="162">
        <v>14</v>
      </c>
      <c r="U43" s="162">
        <v>8</v>
      </c>
      <c r="V43" s="162">
        <v>15</v>
      </c>
      <c r="W43" s="162">
        <v>21</v>
      </c>
      <c r="X43" s="162">
        <v>19</v>
      </c>
      <c r="Y43" s="162">
        <v>15</v>
      </c>
      <c r="Z43" s="162">
        <v>17</v>
      </c>
      <c r="AA43" s="162">
        <v>15</v>
      </c>
      <c r="AB43" s="162">
        <v>10</v>
      </c>
      <c r="AC43" s="162">
        <v>10</v>
      </c>
      <c r="AD43" s="162">
        <v>23</v>
      </c>
      <c r="AE43" s="162">
        <v>19</v>
      </c>
      <c r="AF43" s="161"/>
      <c r="AG43" s="64">
        <f t="shared" si="2"/>
        <v>402</v>
      </c>
    </row>
    <row r="44" spans="1:33" ht="18.75" x14ac:dyDescent="0.25">
      <c r="A44" s="301" t="s">
        <v>129</v>
      </c>
      <c r="B44" s="249">
        <v>12</v>
      </c>
      <c r="C44" s="162">
        <v>10</v>
      </c>
      <c r="D44" s="162">
        <v>4</v>
      </c>
      <c r="E44" s="162">
        <v>9</v>
      </c>
      <c r="F44" s="162">
        <v>15</v>
      </c>
      <c r="G44" s="384"/>
      <c r="H44" s="162">
        <v>10</v>
      </c>
      <c r="I44" s="162">
        <v>21</v>
      </c>
      <c r="J44" s="162">
        <v>8</v>
      </c>
      <c r="K44" s="162">
        <v>12</v>
      </c>
      <c r="L44" s="162">
        <v>6</v>
      </c>
      <c r="M44" s="162">
        <v>8</v>
      </c>
      <c r="N44" s="162">
        <v>3</v>
      </c>
      <c r="O44" s="162">
        <v>11</v>
      </c>
      <c r="P44" s="162">
        <v>17</v>
      </c>
      <c r="Q44" s="162">
        <v>7</v>
      </c>
      <c r="R44" s="162">
        <v>9</v>
      </c>
      <c r="S44" s="162">
        <v>4</v>
      </c>
      <c r="T44" s="162">
        <v>11</v>
      </c>
      <c r="U44" s="162">
        <v>8</v>
      </c>
      <c r="V44" s="162">
        <v>8</v>
      </c>
      <c r="W44" s="162">
        <v>16</v>
      </c>
      <c r="X44" s="162">
        <v>13</v>
      </c>
      <c r="Y44" s="162">
        <v>5</v>
      </c>
      <c r="Z44" s="162">
        <v>10</v>
      </c>
      <c r="AA44" s="162">
        <v>9</v>
      </c>
      <c r="AB44" s="162">
        <v>6</v>
      </c>
      <c r="AC44" s="162">
        <v>7</v>
      </c>
      <c r="AD44" s="162">
        <v>14</v>
      </c>
      <c r="AE44" s="162">
        <v>11</v>
      </c>
      <c r="AF44" s="161"/>
      <c r="AG44" s="64">
        <f t="shared" si="2"/>
        <v>284</v>
      </c>
    </row>
    <row r="45" spans="1:33" ht="18.75" x14ac:dyDescent="0.25">
      <c r="A45" s="301" t="s">
        <v>128</v>
      </c>
      <c r="B45" s="249">
        <v>5</v>
      </c>
      <c r="C45" s="162">
        <v>9</v>
      </c>
      <c r="D45" s="162">
        <v>2</v>
      </c>
      <c r="E45" s="162">
        <v>6</v>
      </c>
      <c r="F45" s="162"/>
      <c r="G45" s="384"/>
      <c r="H45" s="162">
        <v>6</v>
      </c>
      <c r="I45" s="162">
        <v>10</v>
      </c>
      <c r="J45" s="162">
        <v>4</v>
      </c>
      <c r="K45" s="162">
        <v>8</v>
      </c>
      <c r="L45" s="162">
        <v>4</v>
      </c>
      <c r="M45" s="162">
        <v>4</v>
      </c>
      <c r="N45" s="162">
        <v>6</v>
      </c>
      <c r="O45" s="162">
        <v>5</v>
      </c>
      <c r="P45" s="162">
        <v>9</v>
      </c>
      <c r="Q45" s="162">
        <v>7</v>
      </c>
      <c r="R45" s="162">
        <v>8</v>
      </c>
      <c r="S45" s="162">
        <v>7</v>
      </c>
      <c r="T45" s="162">
        <v>9</v>
      </c>
      <c r="U45" s="162">
        <v>7</v>
      </c>
      <c r="V45" s="162">
        <v>8</v>
      </c>
      <c r="W45" s="162">
        <v>6</v>
      </c>
      <c r="X45" s="162">
        <v>5</v>
      </c>
      <c r="Y45" s="162">
        <v>6</v>
      </c>
      <c r="Z45" s="162">
        <v>6</v>
      </c>
      <c r="AA45" s="162">
        <v>4</v>
      </c>
      <c r="AB45" s="162">
        <v>9</v>
      </c>
      <c r="AC45" s="162">
        <v>10</v>
      </c>
      <c r="AD45" s="162">
        <v>13</v>
      </c>
      <c r="AE45" s="162">
        <v>11</v>
      </c>
      <c r="AF45" s="161"/>
      <c r="AG45" s="64">
        <f t="shared" si="2"/>
        <v>194</v>
      </c>
    </row>
    <row r="46" spans="1:33" ht="18.75" x14ac:dyDescent="0.25">
      <c r="A46" s="301" t="s">
        <v>127</v>
      </c>
      <c r="B46" s="249">
        <v>1</v>
      </c>
      <c r="C46" s="162">
        <v>7</v>
      </c>
      <c r="D46" s="162">
        <v>1</v>
      </c>
      <c r="E46" s="162">
        <v>2</v>
      </c>
      <c r="F46" s="162"/>
      <c r="G46" s="384"/>
      <c r="H46" s="162">
        <v>3</v>
      </c>
      <c r="I46" s="162">
        <v>7</v>
      </c>
      <c r="J46" s="162">
        <v>4</v>
      </c>
      <c r="K46" s="162">
        <v>6</v>
      </c>
      <c r="L46" s="162">
        <v>1</v>
      </c>
      <c r="M46" s="162">
        <v>1</v>
      </c>
      <c r="N46" s="162"/>
      <c r="O46" s="162">
        <v>2</v>
      </c>
      <c r="P46" s="162">
        <v>5</v>
      </c>
      <c r="Q46" s="162">
        <v>3</v>
      </c>
      <c r="R46" s="162">
        <v>4</v>
      </c>
      <c r="S46" s="162">
        <v>4</v>
      </c>
      <c r="T46" s="162">
        <v>10</v>
      </c>
      <c r="U46" s="162">
        <v>2</v>
      </c>
      <c r="V46" s="162">
        <v>8</v>
      </c>
      <c r="W46" s="162">
        <v>7</v>
      </c>
      <c r="X46" s="162">
        <v>7</v>
      </c>
      <c r="Y46" s="162">
        <v>4</v>
      </c>
      <c r="Z46" s="162">
        <v>11</v>
      </c>
      <c r="AA46" s="162">
        <v>6</v>
      </c>
      <c r="AB46" s="162">
        <v>8</v>
      </c>
      <c r="AC46" s="162">
        <v>10</v>
      </c>
      <c r="AD46" s="162">
        <v>10</v>
      </c>
      <c r="AE46" s="162">
        <v>4</v>
      </c>
      <c r="AF46" s="161"/>
      <c r="AG46" s="64">
        <f t="shared" si="2"/>
        <v>138</v>
      </c>
    </row>
    <row r="47" spans="1:33" ht="18.75" x14ac:dyDescent="0.25">
      <c r="A47" s="301" t="s">
        <v>126</v>
      </c>
      <c r="B47" s="249">
        <v>3</v>
      </c>
      <c r="C47" s="162">
        <v>8</v>
      </c>
      <c r="D47" s="162"/>
      <c r="E47" s="162">
        <v>2</v>
      </c>
      <c r="F47" s="162"/>
      <c r="G47" s="384"/>
      <c r="H47" s="162"/>
      <c r="I47" s="162">
        <v>3</v>
      </c>
      <c r="J47" s="162">
        <v>1</v>
      </c>
      <c r="K47" s="162">
        <v>2</v>
      </c>
      <c r="L47" s="162">
        <v>4</v>
      </c>
      <c r="M47" s="162">
        <v>1</v>
      </c>
      <c r="N47" s="162">
        <v>2</v>
      </c>
      <c r="O47" s="162">
        <v>1</v>
      </c>
      <c r="P47" s="162">
        <v>1</v>
      </c>
      <c r="Q47" s="162">
        <v>1</v>
      </c>
      <c r="R47" s="162">
        <v>2</v>
      </c>
      <c r="S47" s="162">
        <v>4</v>
      </c>
      <c r="T47" s="162">
        <v>4</v>
      </c>
      <c r="U47" s="162">
        <v>5</v>
      </c>
      <c r="V47" s="162">
        <v>2</v>
      </c>
      <c r="W47" s="162">
        <v>1</v>
      </c>
      <c r="X47" s="162">
        <v>4</v>
      </c>
      <c r="Y47" s="162">
        <v>3</v>
      </c>
      <c r="Z47" s="162">
        <v>1</v>
      </c>
      <c r="AA47" s="162">
        <v>4</v>
      </c>
      <c r="AB47" s="162">
        <v>2</v>
      </c>
      <c r="AC47" s="162">
        <v>4</v>
      </c>
      <c r="AD47" s="162">
        <v>8</v>
      </c>
      <c r="AE47" s="162"/>
      <c r="AF47" s="161"/>
      <c r="AG47" s="64">
        <f t="shared" si="2"/>
        <v>73</v>
      </c>
    </row>
    <row r="48" spans="1:33" ht="18.75" x14ac:dyDescent="0.25">
      <c r="A48" s="301" t="s">
        <v>125</v>
      </c>
      <c r="B48" s="249"/>
      <c r="C48" s="162">
        <v>2</v>
      </c>
      <c r="D48" s="162">
        <v>1</v>
      </c>
      <c r="E48" s="162">
        <v>1</v>
      </c>
      <c r="F48" s="162"/>
      <c r="G48" s="384"/>
      <c r="H48" s="162">
        <v>1</v>
      </c>
      <c r="I48" s="162">
        <v>1</v>
      </c>
      <c r="J48" s="162">
        <v>2</v>
      </c>
      <c r="K48" s="162">
        <v>3</v>
      </c>
      <c r="L48" s="162"/>
      <c r="M48" s="162">
        <v>2</v>
      </c>
      <c r="N48" s="162">
        <v>2</v>
      </c>
      <c r="O48" s="162">
        <v>3</v>
      </c>
      <c r="P48" s="162">
        <v>3</v>
      </c>
      <c r="Q48" s="162">
        <v>1</v>
      </c>
      <c r="R48" s="162"/>
      <c r="S48" s="162"/>
      <c r="T48" s="162">
        <v>2</v>
      </c>
      <c r="U48" s="162">
        <v>5</v>
      </c>
      <c r="V48" s="162">
        <v>1</v>
      </c>
      <c r="W48" s="162"/>
      <c r="X48" s="162"/>
      <c r="Y48" s="162">
        <v>1</v>
      </c>
      <c r="Z48" s="162">
        <v>1</v>
      </c>
      <c r="AA48" s="162">
        <v>3</v>
      </c>
      <c r="AB48" s="162"/>
      <c r="AC48" s="162"/>
      <c r="AD48" s="162">
        <v>1</v>
      </c>
      <c r="AE48" s="162">
        <v>1</v>
      </c>
      <c r="AF48" s="161"/>
      <c r="AG48" s="64">
        <f t="shared" si="2"/>
        <v>37</v>
      </c>
    </row>
    <row r="49" spans="1:33" ht="18.75" x14ac:dyDescent="0.25">
      <c r="A49" s="301" t="s">
        <v>124</v>
      </c>
      <c r="B49" s="249"/>
      <c r="C49" s="162">
        <v>1</v>
      </c>
      <c r="D49" s="162">
        <v>2</v>
      </c>
      <c r="E49" s="162"/>
      <c r="F49" s="162"/>
      <c r="G49" s="384"/>
      <c r="H49" s="162">
        <v>5</v>
      </c>
      <c r="I49" s="162"/>
      <c r="J49" s="162">
        <v>1</v>
      </c>
      <c r="K49" s="162">
        <v>1</v>
      </c>
      <c r="L49" s="162">
        <v>1</v>
      </c>
      <c r="M49" s="162"/>
      <c r="N49" s="162">
        <v>1</v>
      </c>
      <c r="O49" s="162">
        <v>1</v>
      </c>
      <c r="P49" s="162">
        <v>2</v>
      </c>
      <c r="Q49" s="162">
        <v>4</v>
      </c>
      <c r="R49" s="162">
        <v>3</v>
      </c>
      <c r="S49" s="162"/>
      <c r="T49" s="162">
        <v>1</v>
      </c>
      <c r="U49" s="162">
        <v>1</v>
      </c>
      <c r="V49" s="162">
        <v>2</v>
      </c>
      <c r="W49" s="162"/>
      <c r="X49" s="162">
        <v>2</v>
      </c>
      <c r="Y49" s="162"/>
      <c r="Z49" s="162">
        <v>2</v>
      </c>
      <c r="AA49" s="162"/>
      <c r="AB49" s="162">
        <v>1</v>
      </c>
      <c r="AC49" s="162"/>
      <c r="AD49" s="162">
        <v>1</v>
      </c>
      <c r="AE49" s="162"/>
      <c r="AF49" s="161"/>
      <c r="AG49" s="64">
        <f t="shared" si="2"/>
        <v>32</v>
      </c>
    </row>
    <row r="50" spans="1:33" ht="18.75" x14ac:dyDescent="0.25">
      <c r="A50" s="301" t="s">
        <v>123</v>
      </c>
      <c r="B50" s="249"/>
      <c r="C50" s="162">
        <v>1</v>
      </c>
      <c r="D50" s="162"/>
      <c r="E50" s="162">
        <v>1</v>
      </c>
      <c r="F50" s="162"/>
      <c r="G50" s="384"/>
      <c r="H50" s="162"/>
      <c r="I50" s="162"/>
      <c r="J50" s="162">
        <v>1</v>
      </c>
      <c r="K50" s="162">
        <v>1</v>
      </c>
      <c r="L50" s="162">
        <v>1</v>
      </c>
      <c r="M50" s="162"/>
      <c r="N50" s="162"/>
      <c r="O50" s="162"/>
      <c r="P50" s="162"/>
      <c r="Q50" s="162"/>
      <c r="R50" s="162">
        <v>1</v>
      </c>
      <c r="S50" s="162">
        <v>1</v>
      </c>
      <c r="T50" s="162"/>
      <c r="U50" s="162"/>
      <c r="V50" s="162">
        <v>1</v>
      </c>
      <c r="W50" s="162">
        <v>1</v>
      </c>
      <c r="X50" s="162">
        <v>1</v>
      </c>
      <c r="Y50" s="162"/>
      <c r="Z50" s="162"/>
      <c r="AA50" s="162">
        <v>1</v>
      </c>
      <c r="AB50" s="162">
        <v>1</v>
      </c>
      <c r="AC50" s="162"/>
      <c r="AD50" s="162">
        <v>1</v>
      </c>
      <c r="AE50" s="162">
        <v>1</v>
      </c>
      <c r="AF50" s="161"/>
      <c r="AG50" s="64">
        <f t="shared" si="2"/>
        <v>14</v>
      </c>
    </row>
    <row r="51" spans="1:33" ht="18.75" x14ac:dyDescent="0.25">
      <c r="A51" s="301" t="s">
        <v>122</v>
      </c>
      <c r="B51" s="249">
        <v>3</v>
      </c>
      <c r="C51" s="162">
        <v>3</v>
      </c>
      <c r="D51" s="162">
        <v>1</v>
      </c>
      <c r="E51" s="162"/>
      <c r="F51" s="162"/>
      <c r="G51" s="384"/>
      <c r="H51" s="162">
        <v>1</v>
      </c>
      <c r="I51" s="162"/>
      <c r="J51" s="162">
        <v>1</v>
      </c>
      <c r="K51" s="162"/>
      <c r="L51" s="162"/>
      <c r="M51" s="162"/>
      <c r="N51" s="162"/>
      <c r="O51" s="162"/>
      <c r="P51" s="162"/>
      <c r="Q51" s="162"/>
      <c r="R51" s="162">
        <v>2</v>
      </c>
      <c r="S51" s="162">
        <v>2</v>
      </c>
      <c r="T51" s="162"/>
      <c r="U51" s="162"/>
      <c r="V51" s="162"/>
      <c r="W51" s="162"/>
      <c r="X51" s="162"/>
      <c r="Y51" s="162"/>
      <c r="Z51" s="162">
        <v>1</v>
      </c>
      <c r="AA51" s="162"/>
      <c r="AB51" s="162"/>
      <c r="AC51" s="162"/>
      <c r="AD51" s="162"/>
      <c r="AE51" s="162"/>
      <c r="AF51" s="161"/>
      <c r="AG51" s="64">
        <f t="shared" si="2"/>
        <v>14</v>
      </c>
    </row>
    <row r="52" spans="1:33" ht="19.5" thickBot="1" x14ac:dyDescent="0.3">
      <c r="A52" s="304" t="s">
        <v>121</v>
      </c>
      <c r="B52" s="252"/>
      <c r="C52" s="181">
        <v>1</v>
      </c>
      <c r="D52" s="181"/>
      <c r="E52" s="181"/>
      <c r="F52" s="181"/>
      <c r="G52" s="387"/>
      <c r="H52" s="181"/>
      <c r="I52" s="181"/>
      <c r="J52" s="181"/>
      <c r="K52" s="181">
        <v>1</v>
      </c>
      <c r="L52" s="181">
        <v>1</v>
      </c>
      <c r="M52" s="181"/>
      <c r="N52" s="181">
        <v>5</v>
      </c>
      <c r="O52" s="181">
        <v>1</v>
      </c>
      <c r="P52" s="181"/>
      <c r="Q52" s="181">
        <v>1</v>
      </c>
      <c r="R52" s="181"/>
      <c r="S52" s="181"/>
      <c r="T52" s="181"/>
      <c r="U52" s="181">
        <v>2</v>
      </c>
      <c r="V52" s="181"/>
      <c r="W52" s="181"/>
      <c r="X52" s="181"/>
      <c r="Y52" s="181"/>
      <c r="Z52" s="181"/>
      <c r="AA52" s="181">
        <v>1</v>
      </c>
      <c r="AB52" s="181"/>
      <c r="AC52" s="181"/>
      <c r="AD52" s="181"/>
      <c r="AE52" s="181"/>
      <c r="AF52" s="180"/>
      <c r="AG52" s="160">
        <f t="shared" si="2"/>
        <v>13</v>
      </c>
    </row>
    <row r="53" spans="1:33" ht="19.5" thickBot="1" x14ac:dyDescent="0.3">
      <c r="A53" s="299" t="s">
        <v>145</v>
      </c>
      <c r="B53" s="247">
        <f t="shared" ref="B53:AF53" si="4">SUM(B54:B77)</f>
        <v>2</v>
      </c>
      <c r="C53" s="120">
        <f t="shared" si="4"/>
        <v>31</v>
      </c>
      <c r="D53" s="120">
        <f t="shared" si="4"/>
        <v>3</v>
      </c>
      <c r="E53" s="120">
        <f t="shared" si="4"/>
        <v>2</v>
      </c>
      <c r="F53" s="120">
        <f t="shared" si="4"/>
        <v>26</v>
      </c>
      <c r="G53" s="382">
        <f t="shared" si="4"/>
        <v>0</v>
      </c>
      <c r="H53" s="120">
        <f t="shared" si="4"/>
        <v>4</v>
      </c>
      <c r="I53" s="120">
        <f t="shared" si="4"/>
        <v>28</v>
      </c>
      <c r="J53" s="120">
        <f t="shared" si="4"/>
        <v>11</v>
      </c>
      <c r="K53" s="120">
        <f t="shared" si="4"/>
        <v>1</v>
      </c>
      <c r="L53" s="120">
        <f t="shared" si="4"/>
        <v>10</v>
      </c>
      <c r="M53" s="120">
        <f t="shared" si="4"/>
        <v>13</v>
      </c>
      <c r="N53" s="120">
        <f t="shared" si="4"/>
        <v>0</v>
      </c>
      <c r="O53" s="120">
        <f t="shared" si="4"/>
        <v>2</v>
      </c>
      <c r="P53" s="120">
        <f t="shared" si="4"/>
        <v>23</v>
      </c>
      <c r="Q53" s="120">
        <f t="shared" si="4"/>
        <v>12</v>
      </c>
      <c r="R53" s="120">
        <f t="shared" si="4"/>
        <v>7</v>
      </c>
      <c r="S53" s="120">
        <f t="shared" si="4"/>
        <v>13</v>
      </c>
      <c r="T53" s="120">
        <f t="shared" si="4"/>
        <v>17</v>
      </c>
      <c r="U53" s="120">
        <f t="shared" si="4"/>
        <v>7</v>
      </c>
      <c r="V53" s="120">
        <f t="shared" si="4"/>
        <v>8</v>
      </c>
      <c r="W53" s="120">
        <f t="shared" si="4"/>
        <v>27</v>
      </c>
      <c r="X53" s="120">
        <f t="shared" si="4"/>
        <v>10</v>
      </c>
      <c r="Y53" s="120">
        <f t="shared" si="4"/>
        <v>12</v>
      </c>
      <c r="Z53" s="120">
        <f t="shared" si="4"/>
        <v>10</v>
      </c>
      <c r="AA53" s="120">
        <f t="shared" si="4"/>
        <v>8</v>
      </c>
      <c r="AB53" s="120">
        <f t="shared" si="4"/>
        <v>7</v>
      </c>
      <c r="AC53" s="120">
        <f t="shared" si="4"/>
        <v>8</v>
      </c>
      <c r="AD53" s="120">
        <f t="shared" si="4"/>
        <v>18</v>
      </c>
      <c r="AE53" s="120">
        <f t="shared" si="4"/>
        <v>14</v>
      </c>
      <c r="AF53" s="120">
        <f t="shared" si="4"/>
        <v>0</v>
      </c>
      <c r="AG53" s="157">
        <f t="shared" si="2"/>
        <v>334</v>
      </c>
    </row>
    <row r="54" spans="1:33" ht="18.75" x14ac:dyDescent="0.25">
      <c r="A54" s="300" t="s">
        <v>144</v>
      </c>
      <c r="B54" s="248"/>
      <c r="C54" s="199"/>
      <c r="D54" s="162"/>
      <c r="E54" s="199"/>
      <c r="F54" s="199"/>
      <c r="G54" s="384"/>
      <c r="H54" s="199"/>
      <c r="I54" s="199"/>
      <c r="J54" s="199"/>
      <c r="K54" s="199"/>
      <c r="L54" s="199"/>
      <c r="M54" s="199"/>
      <c r="N54" s="199"/>
      <c r="O54" s="199"/>
      <c r="P54" s="199"/>
      <c r="Q54" s="199"/>
      <c r="R54" s="199"/>
      <c r="S54" s="199"/>
      <c r="T54" s="199"/>
      <c r="U54" s="199"/>
      <c r="V54" s="199"/>
      <c r="W54" s="199"/>
      <c r="X54" s="199"/>
      <c r="Y54" s="199"/>
      <c r="Z54" s="199"/>
      <c r="AA54" s="199"/>
      <c r="AB54" s="199"/>
      <c r="AC54" s="199"/>
      <c r="AD54" s="199"/>
      <c r="AE54" s="199"/>
      <c r="AF54" s="206"/>
      <c r="AG54" s="134">
        <f t="shared" si="2"/>
        <v>0</v>
      </c>
    </row>
    <row r="55" spans="1:33" ht="18.75" x14ac:dyDescent="0.25">
      <c r="A55" s="301" t="s">
        <v>143</v>
      </c>
      <c r="B55" s="249"/>
      <c r="C55" s="162"/>
      <c r="D55" s="162"/>
      <c r="E55" s="162"/>
      <c r="F55" s="162"/>
      <c r="G55" s="384"/>
      <c r="H55" s="162"/>
      <c r="I55" s="162"/>
      <c r="J55" s="162">
        <v>1</v>
      </c>
      <c r="K55" s="162"/>
      <c r="L55" s="162"/>
      <c r="M55" s="162"/>
      <c r="N55" s="162"/>
      <c r="O55" s="162">
        <v>1</v>
      </c>
      <c r="P55" s="162"/>
      <c r="Q55" s="162"/>
      <c r="R55" s="162"/>
      <c r="S55" s="162">
        <v>1</v>
      </c>
      <c r="T55" s="162"/>
      <c r="U55" s="162"/>
      <c r="V55" s="162"/>
      <c r="W55" s="162"/>
      <c r="X55" s="162"/>
      <c r="Y55" s="162"/>
      <c r="Z55" s="162"/>
      <c r="AA55" s="162"/>
      <c r="AB55" s="162">
        <v>1</v>
      </c>
      <c r="AC55" s="162">
        <v>2</v>
      </c>
      <c r="AD55" s="162"/>
      <c r="AE55" s="162"/>
      <c r="AF55" s="161"/>
      <c r="AG55" s="64">
        <f t="shared" si="2"/>
        <v>6</v>
      </c>
    </row>
    <row r="56" spans="1:33" ht="18.75" x14ac:dyDescent="0.25">
      <c r="A56" s="301" t="s">
        <v>142</v>
      </c>
      <c r="B56" s="249"/>
      <c r="C56" s="162"/>
      <c r="D56" s="162"/>
      <c r="E56" s="162"/>
      <c r="F56" s="162"/>
      <c r="G56" s="384"/>
      <c r="H56" s="162"/>
      <c r="I56" s="162">
        <v>1</v>
      </c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Y56" s="162"/>
      <c r="Z56" s="162"/>
      <c r="AA56" s="162"/>
      <c r="AB56" s="162"/>
      <c r="AC56" s="162"/>
      <c r="AD56" s="162"/>
      <c r="AE56" s="162"/>
      <c r="AF56" s="161"/>
      <c r="AG56" s="64">
        <f t="shared" si="2"/>
        <v>1</v>
      </c>
    </row>
    <row r="57" spans="1:33" ht="18.75" x14ac:dyDescent="0.25">
      <c r="A57" s="301" t="s">
        <v>141</v>
      </c>
      <c r="B57" s="249"/>
      <c r="C57" s="162"/>
      <c r="D57" s="162"/>
      <c r="E57" s="162"/>
      <c r="F57" s="162"/>
      <c r="G57" s="384"/>
      <c r="H57" s="162"/>
      <c r="I57" s="162"/>
      <c r="J57" s="162"/>
      <c r="K57" s="162"/>
      <c r="L57" s="162"/>
      <c r="M57" s="162">
        <v>1</v>
      </c>
      <c r="N57" s="162"/>
      <c r="O57" s="162"/>
      <c r="P57" s="162"/>
      <c r="Q57" s="162"/>
      <c r="R57" s="162"/>
      <c r="S57" s="162"/>
      <c r="T57" s="162"/>
      <c r="U57" s="162"/>
      <c r="V57" s="162"/>
      <c r="W57" s="162"/>
      <c r="X57" s="162"/>
      <c r="Y57" s="162"/>
      <c r="Z57" s="162"/>
      <c r="AA57" s="162"/>
      <c r="AB57" s="162">
        <v>1</v>
      </c>
      <c r="AC57" s="162"/>
      <c r="AD57" s="162">
        <v>1</v>
      </c>
      <c r="AE57" s="162"/>
      <c r="AF57" s="161"/>
      <c r="AG57" s="64">
        <f t="shared" si="2"/>
        <v>3</v>
      </c>
    </row>
    <row r="58" spans="1:33" ht="18.75" x14ac:dyDescent="0.25">
      <c r="A58" s="301" t="s">
        <v>140</v>
      </c>
      <c r="B58" s="249"/>
      <c r="C58" s="162"/>
      <c r="D58" s="162"/>
      <c r="E58" s="162"/>
      <c r="F58" s="162"/>
      <c r="G58" s="384"/>
      <c r="H58" s="162"/>
      <c r="I58" s="162"/>
      <c r="J58" s="162">
        <v>1</v>
      </c>
      <c r="K58" s="162"/>
      <c r="L58" s="162"/>
      <c r="M58" s="162">
        <v>1</v>
      </c>
      <c r="N58" s="162"/>
      <c r="O58" s="162"/>
      <c r="P58" s="162"/>
      <c r="Q58" s="162"/>
      <c r="R58" s="162"/>
      <c r="S58" s="162"/>
      <c r="T58" s="162">
        <v>1</v>
      </c>
      <c r="U58" s="162"/>
      <c r="V58" s="162"/>
      <c r="W58" s="162"/>
      <c r="X58" s="162">
        <v>1</v>
      </c>
      <c r="Y58" s="162"/>
      <c r="Z58" s="162"/>
      <c r="AA58" s="162"/>
      <c r="AB58" s="162">
        <v>1</v>
      </c>
      <c r="AC58" s="162"/>
      <c r="AD58" s="162"/>
      <c r="AE58" s="162"/>
      <c r="AF58" s="161"/>
      <c r="AG58" s="64">
        <f t="shared" si="2"/>
        <v>5</v>
      </c>
    </row>
    <row r="59" spans="1:33" ht="18.75" x14ac:dyDescent="0.25">
      <c r="A59" s="301" t="s">
        <v>139</v>
      </c>
      <c r="B59" s="249"/>
      <c r="C59" s="162"/>
      <c r="D59" s="162"/>
      <c r="E59" s="162"/>
      <c r="F59" s="162"/>
      <c r="G59" s="384"/>
      <c r="H59" s="162">
        <v>1</v>
      </c>
      <c r="I59" s="162">
        <v>1</v>
      </c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>
        <v>3</v>
      </c>
      <c r="V59" s="162"/>
      <c r="W59" s="162"/>
      <c r="X59" s="162"/>
      <c r="Y59" s="162"/>
      <c r="Z59" s="162"/>
      <c r="AA59" s="162"/>
      <c r="AB59" s="162"/>
      <c r="AC59" s="162"/>
      <c r="AD59" s="162"/>
      <c r="AE59" s="162"/>
      <c r="AF59" s="161"/>
      <c r="AG59" s="64">
        <f t="shared" si="2"/>
        <v>5</v>
      </c>
    </row>
    <row r="60" spans="1:33" ht="18.75" x14ac:dyDescent="0.25">
      <c r="A60" s="301" t="s">
        <v>138</v>
      </c>
      <c r="B60" s="249"/>
      <c r="C60" s="162"/>
      <c r="D60" s="162"/>
      <c r="E60" s="162"/>
      <c r="F60" s="162"/>
      <c r="G60" s="384"/>
      <c r="H60" s="162"/>
      <c r="I60" s="162"/>
      <c r="J60" s="162"/>
      <c r="K60" s="162"/>
      <c r="L60" s="162"/>
      <c r="M60" s="162"/>
      <c r="N60" s="162"/>
      <c r="O60" s="162"/>
      <c r="P60" s="162"/>
      <c r="Q60" s="162">
        <v>2</v>
      </c>
      <c r="R60" s="162"/>
      <c r="S60" s="162"/>
      <c r="T60" s="162"/>
      <c r="U60" s="162"/>
      <c r="V60" s="162"/>
      <c r="W60" s="162"/>
      <c r="X60" s="162"/>
      <c r="Y60" s="162"/>
      <c r="Z60" s="162"/>
      <c r="AA60" s="162"/>
      <c r="AB60" s="162"/>
      <c r="AC60" s="162"/>
      <c r="AD60" s="162"/>
      <c r="AE60" s="162"/>
      <c r="AF60" s="161"/>
      <c r="AG60" s="64">
        <f t="shared" si="2"/>
        <v>2</v>
      </c>
    </row>
    <row r="61" spans="1:33" ht="18.75" x14ac:dyDescent="0.25">
      <c r="A61" s="301" t="s">
        <v>137</v>
      </c>
      <c r="B61" s="249"/>
      <c r="C61" s="162"/>
      <c r="D61" s="162"/>
      <c r="E61" s="162"/>
      <c r="F61" s="162"/>
      <c r="G61" s="384"/>
      <c r="H61" s="162">
        <v>1</v>
      </c>
      <c r="I61" s="162">
        <v>1</v>
      </c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>
        <v>1</v>
      </c>
      <c r="V61" s="162">
        <v>1</v>
      </c>
      <c r="W61" s="162"/>
      <c r="X61" s="162"/>
      <c r="Y61" s="162"/>
      <c r="Z61" s="162"/>
      <c r="AA61" s="162"/>
      <c r="AB61" s="162"/>
      <c r="AC61" s="162"/>
      <c r="AD61" s="162">
        <v>1</v>
      </c>
      <c r="AE61" s="162"/>
      <c r="AF61" s="161"/>
      <c r="AG61" s="64">
        <f t="shared" si="2"/>
        <v>5</v>
      </c>
    </row>
    <row r="62" spans="1:33" ht="18.75" x14ac:dyDescent="0.25">
      <c r="A62" s="301" t="s">
        <v>136</v>
      </c>
      <c r="B62" s="249"/>
      <c r="C62" s="162"/>
      <c r="D62" s="162"/>
      <c r="E62" s="162"/>
      <c r="F62" s="162"/>
      <c r="G62" s="384"/>
      <c r="H62" s="162"/>
      <c r="I62" s="162"/>
      <c r="J62" s="162"/>
      <c r="K62" s="162"/>
      <c r="L62" s="162"/>
      <c r="M62" s="162"/>
      <c r="N62" s="162"/>
      <c r="O62" s="162"/>
      <c r="P62" s="162"/>
      <c r="Q62" s="162"/>
      <c r="R62" s="162"/>
      <c r="S62" s="162"/>
      <c r="T62" s="162"/>
      <c r="U62" s="162"/>
      <c r="V62" s="162">
        <v>1</v>
      </c>
      <c r="W62" s="162"/>
      <c r="X62" s="162">
        <v>2</v>
      </c>
      <c r="Y62" s="162"/>
      <c r="Z62" s="162"/>
      <c r="AA62" s="162"/>
      <c r="AB62" s="162">
        <v>2</v>
      </c>
      <c r="AC62" s="162">
        <v>1</v>
      </c>
      <c r="AD62" s="162"/>
      <c r="AE62" s="162"/>
      <c r="AF62" s="161"/>
      <c r="AG62" s="64">
        <f t="shared" si="2"/>
        <v>6</v>
      </c>
    </row>
    <row r="63" spans="1:33" ht="18.75" x14ac:dyDescent="0.25">
      <c r="A63" s="301" t="s">
        <v>135</v>
      </c>
      <c r="B63" s="249"/>
      <c r="C63" s="162"/>
      <c r="D63" s="162">
        <v>2</v>
      </c>
      <c r="E63" s="162">
        <v>1</v>
      </c>
      <c r="F63" s="162">
        <v>1</v>
      </c>
      <c r="G63" s="384"/>
      <c r="H63" s="162">
        <v>1</v>
      </c>
      <c r="I63" s="162"/>
      <c r="J63" s="162">
        <v>2</v>
      </c>
      <c r="K63" s="162"/>
      <c r="L63" s="162"/>
      <c r="M63" s="162"/>
      <c r="N63" s="162"/>
      <c r="O63" s="162"/>
      <c r="P63" s="162">
        <v>1</v>
      </c>
      <c r="Q63" s="162"/>
      <c r="R63" s="162"/>
      <c r="S63" s="162"/>
      <c r="T63" s="162"/>
      <c r="U63" s="162"/>
      <c r="V63" s="162">
        <v>2</v>
      </c>
      <c r="W63" s="162"/>
      <c r="X63" s="162">
        <v>2</v>
      </c>
      <c r="Y63" s="162"/>
      <c r="Z63" s="162"/>
      <c r="AA63" s="162"/>
      <c r="AB63" s="162"/>
      <c r="AC63" s="162">
        <v>2</v>
      </c>
      <c r="AD63" s="162">
        <v>1</v>
      </c>
      <c r="AE63" s="162">
        <v>1</v>
      </c>
      <c r="AF63" s="161"/>
      <c r="AG63" s="64">
        <f t="shared" si="2"/>
        <v>16</v>
      </c>
    </row>
    <row r="64" spans="1:33" ht="18.75" x14ac:dyDescent="0.25">
      <c r="A64" s="301" t="s">
        <v>134</v>
      </c>
      <c r="B64" s="249"/>
      <c r="C64" s="162">
        <v>4</v>
      </c>
      <c r="D64" s="162">
        <v>1</v>
      </c>
      <c r="E64" s="162">
        <v>1</v>
      </c>
      <c r="F64" s="162"/>
      <c r="G64" s="384"/>
      <c r="H64" s="162"/>
      <c r="I64" s="162">
        <v>3</v>
      </c>
      <c r="J64" s="162">
        <v>1</v>
      </c>
      <c r="K64" s="162">
        <v>1</v>
      </c>
      <c r="L64" s="162"/>
      <c r="M64" s="162">
        <v>3</v>
      </c>
      <c r="N64" s="162"/>
      <c r="O64" s="162"/>
      <c r="P64" s="162">
        <v>1</v>
      </c>
      <c r="Q64" s="162">
        <v>1</v>
      </c>
      <c r="R64" s="162">
        <v>1</v>
      </c>
      <c r="S64" s="162">
        <v>3</v>
      </c>
      <c r="T64" s="162">
        <v>4</v>
      </c>
      <c r="U64" s="162"/>
      <c r="V64" s="162">
        <v>1</v>
      </c>
      <c r="W64" s="162">
        <v>1</v>
      </c>
      <c r="X64" s="162">
        <v>1</v>
      </c>
      <c r="Y64" s="162">
        <v>1</v>
      </c>
      <c r="Z64" s="162">
        <v>1</v>
      </c>
      <c r="AA64" s="162"/>
      <c r="AB64" s="162">
        <v>2</v>
      </c>
      <c r="AC64" s="162"/>
      <c r="AD64" s="162">
        <v>2</v>
      </c>
      <c r="AE64" s="162">
        <v>1</v>
      </c>
      <c r="AF64" s="161"/>
      <c r="AG64" s="64">
        <f t="shared" si="2"/>
        <v>34</v>
      </c>
    </row>
    <row r="65" spans="1:33" ht="18.75" x14ac:dyDescent="0.25">
      <c r="A65" s="301" t="s">
        <v>133</v>
      </c>
      <c r="B65" s="249"/>
      <c r="C65" s="162">
        <v>2</v>
      </c>
      <c r="D65" s="162"/>
      <c r="E65" s="162"/>
      <c r="F65" s="162">
        <v>6</v>
      </c>
      <c r="G65" s="384"/>
      <c r="H65" s="162"/>
      <c r="I65" s="162">
        <v>4</v>
      </c>
      <c r="J65" s="162">
        <v>1</v>
      </c>
      <c r="K65" s="162"/>
      <c r="L65" s="162">
        <v>2</v>
      </c>
      <c r="M65" s="162">
        <v>1</v>
      </c>
      <c r="N65" s="162"/>
      <c r="O65" s="162"/>
      <c r="P65" s="162">
        <v>1</v>
      </c>
      <c r="Q65" s="162">
        <v>4</v>
      </c>
      <c r="R65" s="162">
        <v>3</v>
      </c>
      <c r="S65" s="162">
        <v>2</v>
      </c>
      <c r="T65" s="162">
        <v>3</v>
      </c>
      <c r="U65" s="162"/>
      <c r="V65" s="162"/>
      <c r="W65" s="162">
        <v>3</v>
      </c>
      <c r="X65" s="162">
        <v>1</v>
      </c>
      <c r="Y65" s="162">
        <v>4</v>
      </c>
      <c r="Z65" s="162">
        <v>1</v>
      </c>
      <c r="AA65" s="162">
        <v>2</v>
      </c>
      <c r="AB65" s="162"/>
      <c r="AC65" s="162"/>
      <c r="AD65" s="162">
        <v>2</v>
      </c>
      <c r="AE65" s="162">
        <v>3</v>
      </c>
      <c r="AF65" s="161"/>
      <c r="AG65" s="64">
        <f t="shared" si="2"/>
        <v>45</v>
      </c>
    </row>
    <row r="66" spans="1:33" ht="18.75" x14ac:dyDescent="0.25">
      <c r="A66" s="301" t="s">
        <v>132</v>
      </c>
      <c r="B66" s="249">
        <v>1</v>
      </c>
      <c r="C66" s="162">
        <v>3</v>
      </c>
      <c r="D66" s="162"/>
      <c r="E66" s="162"/>
      <c r="F66" s="162">
        <v>4</v>
      </c>
      <c r="G66" s="384"/>
      <c r="H66" s="162"/>
      <c r="I66" s="162">
        <v>4</v>
      </c>
      <c r="J66" s="162">
        <v>1</v>
      </c>
      <c r="K66" s="162"/>
      <c r="L66" s="162">
        <v>4</v>
      </c>
      <c r="M66" s="162"/>
      <c r="N66" s="162"/>
      <c r="O66" s="162"/>
      <c r="P66" s="162">
        <v>2</v>
      </c>
      <c r="Q66" s="162">
        <v>5</v>
      </c>
      <c r="R66" s="162">
        <v>2</v>
      </c>
      <c r="S66" s="162">
        <v>1</v>
      </c>
      <c r="T66" s="162">
        <v>3</v>
      </c>
      <c r="U66" s="162"/>
      <c r="V66" s="162">
        <v>1</v>
      </c>
      <c r="W66" s="162">
        <v>6</v>
      </c>
      <c r="X66" s="162">
        <v>2</v>
      </c>
      <c r="Y66" s="162">
        <v>4</v>
      </c>
      <c r="Z66" s="162">
        <v>5</v>
      </c>
      <c r="AA66" s="162">
        <v>2</v>
      </c>
      <c r="AB66" s="162"/>
      <c r="AC66" s="162"/>
      <c r="AD66" s="162"/>
      <c r="AE66" s="162">
        <v>3</v>
      </c>
      <c r="AF66" s="161"/>
      <c r="AG66" s="64">
        <f t="shared" si="2"/>
        <v>53</v>
      </c>
    </row>
    <row r="67" spans="1:33" ht="18.75" x14ac:dyDescent="0.25">
      <c r="A67" s="301" t="s">
        <v>131</v>
      </c>
      <c r="B67" s="249">
        <v>1</v>
      </c>
      <c r="C67" s="162">
        <v>6</v>
      </c>
      <c r="D67" s="162"/>
      <c r="E67" s="162"/>
      <c r="F67" s="162">
        <v>4</v>
      </c>
      <c r="G67" s="384"/>
      <c r="H67" s="162">
        <v>1</v>
      </c>
      <c r="I67" s="162">
        <v>7</v>
      </c>
      <c r="J67" s="162">
        <v>2</v>
      </c>
      <c r="K67" s="162"/>
      <c r="L67" s="162">
        <v>3</v>
      </c>
      <c r="M67" s="162"/>
      <c r="N67" s="162"/>
      <c r="O67" s="162"/>
      <c r="P67" s="162">
        <v>6</v>
      </c>
      <c r="Q67" s="162"/>
      <c r="R67" s="162">
        <v>1</v>
      </c>
      <c r="S67" s="162">
        <v>2</v>
      </c>
      <c r="T67" s="162">
        <v>3</v>
      </c>
      <c r="U67" s="162"/>
      <c r="V67" s="162">
        <v>1</v>
      </c>
      <c r="W67" s="162">
        <v>9</v>
      </c>
      <c r="X67" s="162"/>
      <c r="Y67" s="162">
        <v>3</v>
      </c>
      <c r="Z67" s="162"/>
      <c r="AA67" s="162">
        <v>1</v>
      </c>
      <c r="AB67" s="162"/>
      <c r="AC67" s="162">
        <v>1</v>
      </c>
      <c r="AD67" s="162">
        <v>3</v>
      </c>
      <c r="AE67" s="162"/>
      <c r="AF67" s="161"/>
      <c r="AG67" s="64">
        <f t="shared" ref="AG67:AG98" si="5">SUM(B67:AF67)</f>
        <v>54</v>
      </c>
    </row>
    <row r="68" spans="1:33" ht="18.75" x14ac:dyDescent="0.25">
      <c r="A68" s="301" t="s">
        <v>130</v>
      </c>
      <c r="B68" s="249"/>
      <c r="C68" s="162">
        <v>1</v>
      </c>
      <c r="D68" s="162"/>
      <c r="E68" s="162"/>
      <c r="F68" s="162">
        <v>4</v>
      </c>
      <c r="G68" s="384"/>
      <c r="H68" s="162"/>
      <c r="I68" s="162">
        <v>4</v>
      </c>
      <c r="J68" s="162">
        <v>1</v>
      </c>
      <c r="K68" s="162"/>
      <c r="L68" s="162">
        <v>1</v>
      </c>
      <c r="M68" s="162">
        <v>1</v>
      </c>
      <c r="N68" s="162"/>
      <c r="O68" s="162"/>
      <c r="P68" s="162">
        <v>7</v>
      </c>
      <c r="Q68" s="162"/>
      <c r="R68" s="162"/>
      <c r="S68" s="162">
        <v>1</v>
      </c>
      <c r="T68" s="162"/>
      <c r="U68" s="162">
        <v>1</v>
      </c>
      <c r="V68" s="162"/>
      <c r="W68" s="162">
        <v>2</v>
      </c>
      <c r="X68" s="162"/>
      <c r="Y68" s="162"/>
      <c r="Z68" s="162">
        <v>1</v>
      </c>
      <c r="AA68" s="162">
        <v>1</v>
      </c>
      <c r="AB68" s="162"/>
      <c r="AC68" s="162">
        <v>1</v>
      </c>
      <c r="AD68" s="162"/>
      <c r="AE68" s="162">
        <v>6</v>
      </c>
      <c r="AF68" s="161"/>
      <c r="AG68" s="64">
        <f t="shared" si="5"/>
        <v>32</v>
      </c>
    </row>
    <row r="69" spans="1:33" ht="18.75" x14ac:dyDescent="0.25">
      <c r="A69" s="301" t="s">
        <v>129</v>
      </c>
      <c r="B69" s="249"/>
      <c r="C69" s="162">
        <v>2</v>
      </c>
      <c r="D69" s="162"/>
      <c r="E69" s="162"/>
      <c r="F69" s="162">
        <v>1</v>
      </c>
      <c r="G69" s="384"/>
      <c r="H69" s="162"/>
      <c r="I69" s="162">
        <v>1</v>
      </c>
      <c r="J69" s="162"/>
      <c r="K69" s="162"/>
      <c r="L69" s="162"/>
      <c r="M69" s="162">
        <v>1</v>
      </c>
      <c r="N69" s="162"/>
      <c r="O69" s="162">
        <v>1</v>
      </c>
      <c r="P69" s="162">
        <v>3</v>
      </c>
      <c r="Q69" s="162"/>
      <c r="R69" s="162"/>
      <c r="S69" s="162"/>
      <c r="T69" s="162">
        <v>2</v>
      </c>
      <c r="U69" s="162">
        <v>1</v>
      </c>
      <c r="V69" s="162"/>
      <c r="W69" s="162">
        <v>3</v>
      </c>
      <c r="X69" s="162">
        <v>1</v>
      </c>
      <c r="Y69" s="162"/>
      <c r="Z69" s="162">
        <v>2</v>
      </c>
      <c r="AA69" s="162"/>
      <c r="AB69" s="162"/>
      <c r="AC69" s="162"/>
      <c r="AD69" s="162">
        <v>4</v>
      </c>
      <c r="AE69" s="162"/>
      <c r="AF69" s="161"/>
      <c r="AG69" s="64">
        <f t="shared" si="5"/>
        <v>22</v>
      </c>
    </row>
    <row r="70" spans="1:33" ht="18.75" x14ac:dyDescent="0.25">
      <c r="A70" s="301" t="s">
        <v>128</v>
      </c>
      <c r="B70" s="248"/>
      <c r="C70" s="199">
        <v>4</v>
      </c>
      <c r="D70" s="162"/>
      <c r="E70" s="199"/>
      <c r="F70" s="199"/>
      <c r="G70" s="384"/>
      <c r="H70" s="199"/>
      <c r="I70" s="162">
        <v>1</v>
      </c>
      <c r="J70" s="199"/>
      <c r="K70" s="199"/>
      <c r="L70" s="199"/>
      <c r="M70" s="199">
        <v>1</v>
      </c>
      <c r="N70" s="199"/>
      <c r="O70" s="199"/>
      <c r="P70" s="199">
        <v>1</v>
      </c>
      <c r="Q70" s="199"/>
      <c r="R70" s="199"/>
      <c r="S70" s="199"/>
      <c r="T70" s="199">
        <v>1</v>
      </c>
      <c r="U70" s="199"/>
      <c r="V70" s="199">
        <v>1</v>
      </c>
      <c r="W70" s="199">
        <v>1</v>
      </c>
      <c r="X70" s="199"/>
      <c r="Y70" s="199"/>
      <c r="Z70" s="199"/>
      <c r="AA70" s="199"/>
      <c r="AB70" s="199"/>
      <c r="AC70" s="199"/>
      <c r="AD70" s="199">
        <v>1</v>
      </c>
      <c r="AE70" s="199"/>
      <c r="AF70" s="206"/>
      <c r="AG70" s="64">
        <f t="shared" si="5"/>
        <v>11</v>
      </c>
    </row>
    <row r="71" spans="1:33" ht="18.75" x14ac:dyDescent="0.25">
      <c r="A71" s="301" t="s">
        <v>127</v>
      </c>
      <c r="B71" s="248"/>
      <c r="C71" s="199">
        <v>3</v>
      </c>
      <c r="D71" s="162"/>
      <c r="E71" s="199"/>
      <c r="F71" s="199"/>
      <c r="G71" s="384"/>
      <c r="H71" s="199"/>
      <c r="I71" s="162">
        <v>1</v>
      </c>
      <c r="J71" s="199">
        <v>1</v>
      </c>
      <c r="K71" s="199"/>
      <c r="L71" s="199"/>
      <c r="M71" s="199"/>
      <c r="N71" s="199"/>
      <c r="O71" s="199"/>
      <c r="P71" s="199">
        <v>1</v>
      </c>
      <c r="Q71" s="199"/>
      <c r="R71" s="199"/>
      <c r="S71" s="199">
        <v>1</v>
      </c>
      <c r="T71" s="199"/>
      <c r="U71" s="199"/>
      <c r="V71" s="199"/>
      <c r="W71" s="199">
        <v>2</v>
      </c>
      <c r="X71" s="199"/>
      <c r="Y71" s="199"/>
      <c r="Z71" s="199"/>
      <c r="AA71" s="199">
        <v>2</v>
      </c>
      <c r="AB71" s="199"/>
      <c r="AC71" s="199">
        <v>1</v>
      </c>
      <c r="AD71" s="199">
        <v>2</v>
      </c>
      <c r="AE71" s="199"/>
      <c r="AF71" s="206"/>
      <c r="AG71" s="64">
        <f t="shared" si="5"/>
        <v>14</v>
      </c>
    </row>
    <row r="72" spans="1:33" ht="18.75" x14ac:dyDescent="0.25">
      <c r="A72" s="301" t="s">
        <v>126</v>
      </c>
      <c r="B72" s="248"/>
      <c r="C72" s="199">
        <v>4</v>
      </c>
      <c r="D72" s="162"/>
      <c r="E72" s="199"/>
      <c r="F72" s="199"/>
      <c r="G72" s="384"/>
      <c r="H72" s="199"/>
      <c r="I72" s="162"/>
      <c r="J72" s="199"/>
      <c r="K72" s="199"/>
      <c r="L72" s="199"/>
      <c r="M72" s="199">
        <v>3</v>
      </c>
      <c r="N72" s="199"/>
      <c r="O72" s="199"/>
      <c r="P72" s="199"/>
      <c r="Q72" s="199"/>
      <c r="R72" s="199"/>
      <c r="S72" s="199">
        <v>2</v>
      </c>
      <c r="T72" s="199"/>
      <c r="U72" s="199"/>
      <c r="V72" s="199"/>
      <c r="W72" s="199"/>
      <c r="X72" s="199"/>
      <c r="Y72" s="199"/>
      <c r="Z72" s="199"/>
      <c r="AA72" s="199"/>
      <c r="AB72" s="199"/>
      <c r="AC72" s="199"/>
      <c r="AD72" s="199">
        <v>1</v>
      </c>
      <c r="AE72" s="199"/>
      <c r="AF72" s="206"/>
      <c r="AG72" s="64">
        <f t="shared" si="5"/>
        <v>10</v>
      </c>
    </row>
    <row r="73" spans="1:33" ht="18.75" x14ac:dyDescent="0.25">
      <c r="A73" s="301" t="s">
        <v>125</v>
      </c>
      <c r="B73" s="248"/>
      <c r="C73" s="199"/>
      <c r="D73" s="162"/>
      <c r="E73" s="199"/>
      <c r="F73" s="199"/>
      <c r="G73" s="384"/>
      <c r="H73" s="199"/>
      <c r="I73" s="162"/>
      <c r="J73" s="199"/>
      <c r="K73" s="199"/>
      <c r="L73" s="199"/>
      <c r="M73" s="199">
        <v>1</v>
      </c>
      <c r="N73" s="199"/>
      <c r="O73" s="199"/>
      <c r="P73" s="199"/>
      <c r="Q73" s="199"/>
      <c r="R73" s="199"/>
      <c r="S73" s="199"/>
      <c r="T73" s="199"/>
      <c r="U73" s="199"/>
      <c r="V73" s="199"/>
      <c r="W73" s="199"/>
      <c r="X73" s="199"/>
      <c r="Y73" s="199"/>
      <c r="Z73" s="199"/>
      <c r="AA73" s="199"/>
      <c r="AB73" s="199"/>
      <c r="AC73" s="199"/>
      <c r="AD73" s="199"/>
      <c r="AE73" s="199"/>
      <c r="AF73" s="206"/>
      <c r="AG73" s="64">
        <f t="shared" si="5"/>
        <v>1</v>
      </c>
    </row>
    <row r="74" spans="1:33" ht="18.75" x14ac:dyDescent="0.25">
      <c r="A74" s="301" t="s">
        <v>124</v>
      </c>
      <c r="B74" s="248"/>
      <c r="C74" s="199">
        <v>2</v>
      </c>
      <c r="D74" s="162"/>
      <c r="E74" s="199"/>
      <c r="F74" s="199"/>
      <c r="G74" s="384"/>
      <c r="H74" s="199"/>
      <c r="I74" s="162"/>
      <c r="J74" s="199"/>
      <c r="K74" s="199"/>
      <c r="L74" s="199"/>
      <c r="M74" s="199"/>
      <c r="N74" s="199"/>
      <c r="O74" s="199"/>
      <c r="P74" s="199"/>
      <c r="Q74" s="199"/>
      <c r="R74" s="199"/>
      <c r="S74" s="199"/>
      <c r="T74" s="199"/>
      <c r="U74" s="199"/>
      <c r="V74" s="199"/>
      <c r="W74" s="199"/>
      <c r="X74" s="199"/>
      <c r="Y74" s="199"/>
      <c r="Z74" s="199"/>
      <c r="AA74" s="199"/>
      <c r="AB74" s="199"/>
      <c r="AC74" s="199"/>
      <c r="AD74" s="199"/>
      <c r="AE74" s="199"/>
      <c r="AF74" s="206"/>
      <c r="AG74" s="64">
        <f t="shared" si="5"/>
        <v>2</v>
      </c>
    </row>
    <row r="75" spans="1:33" ht="18.75" x14ac:dyDescent="0.25">
      <c r="A75" s="301" t="s">
        <v>123</v>
      </c>
      <c r="B75" s="248"/>
      <c r="C75" s="199"/>
      <c r="D75" s="162"/>
      <c r="E75" s="199"/>
      <c r="F75" s="199"/>
      <c r="G75" s="384"/>
      <c r="H75" s="199"/>
      <c r="I75" s="162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9"/>
      <c r="Y75" s="199"/>
      <c r="Z75" s="199"/>
      <c r="AA75" s="199"/>
      <c r="AB75" s="199"/>
      <c r="AC75" s="199"/>
      <c r="AD75" s="199"/>
      <c r="AE75" s="199"/>
      <c r="AF75" s="206"/>
      <c r="AG75" s="64">
        <f t="shared" si="5"/>
        <v>0</v>
      </c>
    </row>
    <row r="76" spans="1:33" ht="18.75" x14ac:dyDescent="0.25">
      <c r="A76" s="301" t="s">
        <v>122</v>
      </c>
      <c r="B76" s="248"/>
      <c r="C76" s="199"/>
      <c r="D76" s="162"/>
      <c r="E76" s="199"/>
      <c r="F76" s="199"/>
      <c r="G76" s="384"/>
      <c r="H76" s="199"/>
      <c r="I76" s="162"/>
      <c r="J76" s="199"/>
      <c r="K76" s="199"/>
      <c r="L76" s="199"/>
      <c r="M76" s="199"/>
      <c r="N76" s="199"/>
      <c r="O76" s="199"/>
      <c r="P76" s="199"/>
      <c r="Q76" s="199"/>
      <c r="R76" s="199"/>
      <c r="S76" s="199"/>
      <c r="T76" s="199"/>
      <c r="U76" s="199"/>
      <c r="V76" s="199"/>
      <c r="W76" s="199"/>
      <c r="X76" s="199"/>
      <c r="Y76" s="199"/>
      <c r="Z76" s="199"/>
      <c r="AA76" s="199"/>
      <c r="AB76" s="199"/>
      <c r="AC76" s="199"/>
      <c r="AD76" s="199"/>
      <c r="AE76" s="199"/>
      <c r="AF76" s="206"/>
      <c r="AG76" s="64">
        <f t="shared" si="5"/>
        <v>0</v>
      </c>
    </row>
    <row r="77" spans="1:33" ht="19.5" thickBot="1" x14ac:dyDescent="0.3">
      <c r="A77" s="305" t="s">
        <v>121</v>
      </c>
      <c r="B77" s="253"/>
      <c r="C77" s="184"/>
      <c r="D77" s="181"/>
      <c r="E77" s="184"/>
      <c r="F77" s="184">
        <v>6</v>
      </c>
      <c r="G77" s="387"/>
      <c r="H77" s="184"/>
      <c r="I77" s="181"/>
      <c r="J77" s="184"/>
      <c r="K77" s="184"/>
      <c r="L77" s="184"/>
      <c r="M77" s="184"/>
      <c r="N77" s="184"/>
      <c r="O77" s="184"/>
      <c r="P77" s="184"/>
      <c r="Q77" s="184"/>
      <c r="R77" s="184"/>
      <c r="S77" s="184"/>
      <c r="T77" s="184"/>
      <c r="U77" s="184">
        <v>1</v>
      </c>
      <c r="V77" s="184"/>
      <c r="W77" s="184"/>
      <c r="X77" s="184"/>
      <c r="Y77" s="184"/>
      <c r="Z77" s="184"/>
      <c r="AA77" s="184"/>
      <c r="AB77" s="184"/>
      <c r="AC77" s="184"/>
      <c r="AD77" s="184"/>
      <c r="AE77" s="184"/>
      <c r="AF77" s="183"/>
      <c r="AG77" s="160">
        <f t="shared" si="5"/>
        <v>7</v>
      </c>
    </row>
    <row r="78" spans="1:33" ht="19.5" hidden="1" customHeight="1" thickBot="1" x14ac:dyDescent="0.3">
      <c r="A78" s="306" t="s">
        <v>120</v>
      </c>
      <c r="B78" s="254">
        <f t="shared" ref="B78:AF78" si="6">SUM(B79:B80)</f>
        <v>184</v>
      </c>
      <c r="C78" s="204">
        <f t="shared" si="6"/>
        <v>231</v>
      </c>
      <c r="D78" s="204">
        <f t="shared" si="6"/>
        <v>140</v>
      </c>
      <c r="E78" s="201">
        <f t="shared" si="6"/>
        <v>142</v>
      </c>
      <c r="F78" s="201">
        <f t="shared" si="6"/>
        <v>143</v>
      </c>
      <c r="G78" s="382">
        <f t="shared" si="6"/>
        <v>0</v>
      </c>
      <c r="H78" s="201">
        <f t="shared" si="6"/>
        <v>192</v>
      </c>
      <c r="I78" s="201">
        <f t="shared" si="6"/>
        <v>196</v>
      </c>
      <c r="J78" s="201">
        <f t="shared" si="6"/>
        <v>162</v>
      </c>
      <c r="K78" s="201">
        <f t="shared" si="6"/>
        <v>139</v>
      </c>
      <c r="L78" s="201">
        <f t="shared" si="6"/>
        <v>159</v>
      </c>
      <c r="M78" s="201">
        <f t="shared" si="6"/>
        <v>143</v>
      </c>
      <c r="N78" s="201">
        <f t="shared" si="6"/>
        <v>178</v>
      </c>
      <c r="O78" s="201">
        <f t="shared" si="6"/>
        <v>165</v>
      </c>
      <c r="P78" s="201">
        <f t="shared" si="6"/>
        <v>182</v>
      </c>
      <c r="Q78" s="201">
        <f t="shared" si="6"/>
        <v>174</v>
      </c>
      <c r="R78" s="201">
        <f t="shared" si="6"/>
        <v>167</v>
      </c>
      <c r="S78" s="201">
        <f t="shared" si="6"/>
        <v>161</v>
      </c>
      <c r="T78" s="201">
        <f t="shared" si="6"/>
        <v>160</v>
      </c>
      <c r="U78" s="201">
        <f t="shared" si="6"/>
        <v>175</v>
      </c>
      <c r="V78" s="201">
        <f t="shared" si="6"/>
        <v>204</v>
      </c>
      <c r="W78" s="201">
        <f t="shared" si="6"/>
        <v>189</v>
      </c>
      <c r="X78" s="201">
        <f t="shared" si="6"/>
        <v>197</v>
      </c>
      <c r="Y78" s="201">
        <f t="shared" si="6"/>
        <v>164</v>
      </c>
      <c r="Z78" s="201">
        <f t="shared" si="6"/>
        <v>185</v>
      </c>
      <c r="AA78" s="201">
        <f t="shared" si="6"/>
        <v>164</v>
      </c>
      <c r="AB78" s="201">
        <f t="shared" si="6"/>
        <v>198</v>
      </c>
      <c r="AC78" s="201">
        <f t="shared" si="6"/>
        <v>204</v>
      </c>
      <c r="AD78" s="201">
        <f t="shared" si="6"/>
        <v>225</v>
      </c>
      <c r="AE78" s="201">
        <f t="shared" si="6"/>
        <v>178</v>
      </c>
      <c r="AF78" s="203">
        <f t="shared" si="6"/>
        <v>0</v>
      </c>
      <c r="AG78" s="157">
        <f t="shared" si="5"/>
        <v>5101</v>
      </c>
    </row>
    <row r="79" spans="1:33" ht="19.5" hidden="1" customHeight="1" thickBot="1" x14ac:dyDescent="0.3">
      <c r="A79" s="307" t="s">
        <v>118</v>
      </c>
      <c r="B79" s="248">
        <f t="shared" ref="B79:AF79" si="7">SUM(B4:B27)-B80</f>
        <v>184</v>
      </c>
      <c r="C79" s="199">
        <f t="shared" si="7"/>
        <v>231</v>
      </c>
      <c r="D79" s="199">
        <f t="shared" si="7"/>
        <v>140</v>
      </c>
      <c r="E79" s="199">
        <f t="shared" si="7"/>
        <v>142</v>
      </c>
      <c r="F79" s="199">
        <f t="shared" si="7"/>
        <v>110</v>
      </c>
      <c r="G79" s="383">
        <f t="shared" si="7"/>
        <v>0</v>
      </c>
      <c r="H79" s="199">
        <f t="shared" si="7"/>
        <v>102</v>
      </c>
      <c r="I79" s="199">
        <f t="shared" si="7"/>
        <v>196</v>
      </c>
      <c r="J79" s="199">
        <f t="shared" si="7"/>
        <v>162</v>
      </c>
      <c r="K79" s="199">
        <f t="shared" si="7"/>
        <v>139</v>
      </c>
      <c r="L79" s="199">
        <f t="shared" si="7"/>
        <v>159</v>
      </c>
      <c r="M79" s="199">
        <f t="shared" si="7"/>
        <v>103</v>
      </c>
      <c r="N79" s="199">
        <f t="shared" si="7"/>
        <v>86</v>
      </c>
      <c r="O79" s="199">
        <f t="shared" si="7"/>
        <v>78</v>
      </c>
      <c r="P79" s="199">
        <f t="shared" si="7"/>
        <v>182</v>
      </c>
      <c r="Q79" s="199">
        <f t="shared" si="7"/>
        <v>174</v>
      </c>
      <c r="R79" s="199">
        <f t="shared" si="7"/>
        <v>128</v>
      </c>
      <c r="S79" s="199">
        <f t="shared" si="7"/>
        <v>121</v>
      </c>
      <c r="T79" s="199">
        <f t="shared" si="7"/>
        <v>138</v>
      </c>
      <c r="U79" s="199">
        <f t="shared" si="7"/>
        <v>88</v>
      </c>
      <c r="V79" s="199">
        <f t="shared" si="7"/>
        <v>99</v>
      </c>
      <c r="W79" s="199">
        <f t="shared" si="7"/>
        <v>189</v>
      </c>
      <c r="X79" s="199">
        <f t="shared" si="7"/>
        <v>197</v>
      </c>
      <c r="Y79" s="199">
        <f t="shared" si="7"/>
        <v>124</v>
      </c>
      <c r="Z79" s="199">
        <f t="shared" si="7"/>
        <v>185</v>
      </c>
      <c r="AA79" s="199">
        <f t="shared" si="7"/>
        <v>135</v>
      </c>
      <c r="AB79" s="199">
        <f t="shared" si="7"/>
        <v>103</v>
      </c>
      <c r="AC79" s="199">
        <f t="shared" si="7"/>
        <v>100</v>
      </c>
      <c r="AD79" s="199">
        <f t="shared" si="7"/>
        <v>225</v>
      </c>
      <c r="AE79" s="199">
        <f t="shared" si="7"/>
        <v>178</v>
      </c>
      <c r="AF79" s="199">
        <f t="shared" si="7"/>
        <v>0</v>
      </c>
      <c r="AG79" s="134">
        <f t="shared" si="5"/>
        <v>4198</v>
      </c>
    </row>
    <row r="80" spans="1:33" ht="19.5" hidden="1" customHeight="1" thickBot="1" x14ac:dyDescent="0.3">
      <c r="A80" s="308" t="s">
        <v>119</v>
      </c>
      <c r="B80" s="255"/>
      <c r="C80" s="169"/>
      <c r="D80" s="181">
        <v>0</v>
      </c>
      <c r="E80" s="181">
        <v>0</v>
      </c>
      <c r="F80" s="181">
        <f>SUM(F4:F12)</f>
        <v>33</v>
      </c>
      <c r="G80" s="387">
        <f>SUM(G4:G12)</f>
        <v>0</v>
      </c>
      <c r="H80" s="181">
        <f>SUM(H4:H12)</f>
        <v>90</v>
      </c>
      <c r="I80" s="169"/>
      <c r="J80" s="169"/>
      <c r="K80" s="181">
        <v>0</v>
      </c>
      <c r="L80" s="181">
        <v>0</v>
      </c>
      <c r="M80" s="181">
        <f>SUM(M4:M12)</f>
        <v>40</v>
      </c>
      <c r="N80" s="181">
        <f>SUM(N4:N12)</f>
        <v>92</v>
      </c>
      <c r="O80" s="181">
        <f>SUM(O4:O12)</f>
        <v>87</v>
      </c>
      <c r="P80" s="169"/>
      <c r="Q80" s="169"/>
      <c r="R80" s="181">
        <f>SUM(R4:R12)</f>
        <v>39</v>
      </c>
      <c r="S80" s="181">
        <f>SUM(S4:S12)</f>
        <v>40</v>
      </c>
      <c r="T80" s="181">
        <f>SUM(T4:T12)</f>
        <v>22</v>
      </c>
      <c r="U80" s="181">
        <f>SUM(U4:U12)</f>
        <v>87</v>
      </c>
      <c r="V80" s="181">
        <f>SUM(V4:V12)</f>
        <v>105</v>
      </c>
      <c r="W80" s="169"/>
      <c r="X80" s="169"/>
      <c r="Y80" s="181">
        <f>SUM(Y4:Y12)</f>
        <v>40</v>
      </c>
      <c r="Z80" s="169"/>
      <c r="AA80" s="181">
        <f>SUM(AA4:AA12)</f>
        <v>29</v>
      </c>
      <c r="AB80" s="181">
        <f>SUM(AB4:AB12)</f>
        <v>95</v>
      </c>
      <c r="AC80" s="181">
        <f>SUM(AC4:AC12)</f>
        <v>104</v>
      </c>
      <c r="AD80" s="169"/>
      <c r="AE80" s="169"/>
      <c r="AF80" s="181">
        <f>SUM(AF4:AF12)</f>
        <v>0</v>
      </c>
      <c r="AG80" s="160">
        <f t="shared" si="5"/>
        <v>903</v>
      </c>
    </row>
    <row r="81" spans="1:35" ht="19.5" thickBot="1" x14ac:dyDescent="0.3">
      <c r="A81" s="306" t="s">
        <v>84</v>
      </c>
      <c r="B81" s="256">
        <f t="shared" ref="B81:AF81" si="8">SUM(B82:B83)</f>
        <v>2</v>
      </c>
      <c r="C81" s="201">
        <f t="shared" si="8"/>
        <v>31</v>
      </c>
      <c r="D81" s="201">
        <f t="shared" si="8"/>
        <v>3</v>
      </c>
      <c r="E81" s="201">
        <f t="shared" si="8"/>
        <v>2</v>
      </c>
      <c r="F81" s="201">
        <f t="shared" si="8"/>
        <v>26</v>
      </c>
      <c r="G81" s="382">
        <f t="shared" si="8"/>
        <v>0</v>
      </c>
      <c r="H81" s="201">
        <f t="shared" si="8"/>
        <v>4</v>
      </c>
      <c r="I81" s="201">
        <f t="shared" si="8"/>
        <v>28</v>
      </c>
      <c r="J81" s="201">
        <f t="shared" si="8"/>
        <v>11</v>
      </c>
      <c r="K81" s="201">
        <f t="shared" si="8"/>
        <v>1</v>
      </c>
      <c r="L81" s="201">
        <f t="shared" si="8"/>
        <v>10</v>
      </c>
      <c r="M81" s="201">
        <f t="shared" si="8"/>
        <v>13</v>
      </c>
      <c r="N81" s="201">
        <f t="shared" si="8"/>
        <v>0</v>
      </c>
      <c r="O81" s="201">
        <f t="shared" si="8"/>
        <v>2</v>
      </c>
      <c r="P81" s="201">
        <f t="shared" si="8"/>
        <v>23</v>
      </c>
      <c r="Q81" s="201">
        <f t="shared" si="8"/>
        <v>12</v>
      </c>
      <c r="R81" s="201">
        <f t="shared" si="8"/>
        <v>7</v>
      </c>
      <c r="S81" s="201">
        <f t="shared" si="8"/>
        <v>13</v>
      </c>
      <c r="T81" s="201">
        <f t="shared" si="8"/>
        <v>17</v>
      </c>
      <c r="U81" s="201">
        <f t="shared" si="8"/>
        <v>7</v>
      </c>
      <c r="V81" s="201">
        <f t="shared" si="8"/>
        <v>8</v>
      </c>
      <c r="W81" s="201">
        <f t="shared" si="8"/>
        <v>27</v>
      </c>
      <c r="X81" s="201">
        <f t="shared" si="8"/>
        <v>10</v>
      </c>
      <c r="Y81" s="201">
        <f t="shared" si="8"/>
        <v>12</v>
      </c>
      <c r="Z81" s="201">
        <f t="shared" si="8"/>
        <v>10</v>
      </c>
      <c r="AA81" s="201">
        <f t="shared" si="8"/>
        <v>8</v>
      </c>
      <c r="AB81" s="201">
        <f t="shared" si="8"/>
        <v>7</v>
      </c>
      <c r="AC81" s="201">
        <f t="shared" si="8"/>
        <v>8</v>
      </c>
      <c r="AD81" s="201">
        <f t="shared" si="8"/>
        <v>18</v>
      </c>
      <c r="AE81" s="201">
        <f t="shared" si="8"/>
        <v>14</v>
      </c>
      <c r="AF81" s="201">
        <f t="shared" si="8"/>
        <v>0</v>
      </c>
      <c r="AG81" s="157">
        <f t="shared" si="5"/>
        <v>334</v>
      </c>
      <c r="AH81" s="53" t="str">
        <f>IF(AG81&lt;&gt;AG53,"*","")</f>
        <v/>
      </c>
    </row>
    <row r="82" spans="1:35" ht="18.75" x14ac:dyDescent="0.25">
      <c r="A82" s="307" t="s">
        <v>119</v>
      </c>
      <c r="B82" s="354"/>
      <c r="C82" s="199">
        <f t="shared" ref="C82:AF82" si="9">SUM(C54:C62)</f>
        <v>0</v>
      </c>
      <c r="D82" s="199">
        <f t="shared" si="9"/>
        <v>0</v>
      </c>
      <c r="E82" s="199">
        <f t="shared" si="9"/>
        <v>0</v>
      </c>
      <c r="F82" s="199">
        <f t="shared" si="9"/>
        <v>0</v>
      </c>
      <c r="G82" s="388"/>
      <c r="H82" s="354"/>
      <c r="I82" s="199">
        <f t="shared" si="9"/>
        <v>3</v>
      </c>
      <c r="J82" s="199">
        <f t="shared" si="9"/>
        <v>2</v>
      </c>
      <c r="K82" s="199">
        <f t="shared" si="9"/>
        <v>0</v>
      </c>
      <c r="L82" s="199">
        <f t="shared" si="9"/>
        <v>0</v>
      </c>
      <c r="M82" s="199">
        <f t="shared" si="9"/>
        <v>2</v>
      </c>
      <c r="N82" s="354"/>
      <c r="O82" s="354"/>
      <c r="P82" s="199">
        <f t="shared" si="9"/>
        <v>0</v>
      </c>
      <c r="Q82" s="199">
        <f t="shared" si="9"/>
        <v>2</v>
      </c>
      <c r="R82" s="199">
        <f t="shared" si="9"/>
        <v>0</v>
      </c>
      <c r="S82" s="199">
        <f t="shared" si="9"/>
        <v>1</v>
      </c>
      <c r="T82" s="199">
        <f t="shared" si="9"/>
        <v>1</v>
      </c>
      <c r="U82" s="354"/>
      <c r="V82" s="354"/>
      <c r="W82" s="199">
        <f t="shared" si="9"/>
        <v>0</v>
      </c>
      <c r="X82" s="199">
        <f t="shared" si="9"/>
        <v>3</v>
      </c>
      <c r="Y82" s="199">
        <f t="shared" si="9"/>
        <v>0</v>
      </c>
      <c r="Z82" s="199">
        <f t="shared" si="9"/>
        <v>0</v>
      </c>
      <c r="AA82" s="199">
        <f t="shared" si="9"/>
        <v>0</v>
      </c>
      <c r="AB82" s="354"/>
      <c r="AC82" s="354"/>
      <c r="AD82" s="199">
        <f t="shared" si="9"/>
        <v>2</v>
      </c>
      <c r="AE82" s="199">
        <f t="shared" si="9"/>
        <v>0</v>
      </c>
      <c r="AF82" s="199">
        <f t="shared" si="9"/>
        <v>0</v>
      </c>
      <c r="AG82" s="134">
        <f t="shared" si="5"/>
        <v>16</v>
      </c>
    </row>
    <row r="83" spans="1:35" ht="19.5" thickBot="1" x14ac:dyDescent="0.3">
      <c r="A83" s="308" t="s">
        <v>118</v>
      </c>
      <c r="B83" s="252">
        <f t="shared" ref="B83:AF83" si="10">SUM(B54:B77)-B82</f>
        <v>2</v>
      </c>
      <c r="C83" s="181">
        <f t="shared" si="10"/>
        <v>31</v>
      </c>
      <c r="D83" s="181">
        <f t="shared" si="10"/>
        <v>3</v>
      </c>
      <c r="E83" s="181">
        <f t="shared" si="10"/>
        <v>2</v>
      </c>
      <c r="F83" s="181">
        <f t="shared" si="10"/>
        <v>26</v>
      </c>
      <c r="G83" s="387">
        <f t="shared" si="10"/>
        <v>0</v>
      </c>
      <c r="H83" s="181">
        <f t="shared" si="10"/>
        <v>4</v>
      </c>
      <c r="I83" s="181">
        <f t="shared" si="10"/>
        <v>25</v>
      </c>
      <c r="J83" s="181">
        <f t="shared" si="10"/>
        <v>9</v>
      </c>
      <c r="K83" s="181">
        <f t="shared" si="10"/>
        <v>1</v>
      </c>
      <c r="L83" s="181">
        <f t="shared" si="10"/>
        <v>10</v>
      </c>
      <c r="M83" s="181">
        <f t="shared" si="10"/>
        <v>11</v>
      </c>
      <c r="N83" s="181">
        <f t="shared" si="10"/>
        <v>0</v>
      </c>
      <c r="O83" s="181">
        <f t="shared" si="10"/>
        <v>2</v>
      </c>
      <c r="P83" s="181">
        <f t="shared" si="10"/>
        <v>23</v>
      </c>
      <c r="Q83" s="181">
        <f t="shared" si="10"/>
        <v>10</v>
      </c>
      <c r="R83" s="181">
        <f t="shared" si="10"/>
        <v>7</v>
      </c>
      <c r="S83" s="181">
        <f t="shared" si="10"/>
        <v>12</v>
      </c>
      <c r="T83" s="181">
        <f t="shared" si="10"/>
        <v>16</v>
      </c>
      <c r="U83" s="181">
        <f t="shared" si="10"/>
        <v>7</v>
      </c>
      <c r="V83" s="181">
        <f t="shared" si="10"/>
        <v>8</v>
      </c>
      <c r="W83" s="181">
        <f t="shared" si="10"/>
        <v>27</v>
      </c>
      <c r="X83" s="181">
        <f t="shared" si="10"/>
        <v>7</v>
      </c>
      <c r="Y83" s="181">
        <f t="shared" si="10"/>
        <v>12</v>
      </c>
      <c r="Z83" s="181">
        <f t="shared" si="10"/>
        <v>10</v>
      </c>
      <c r="AA83" s="181">
        <f t="shared" si="10"/>
        <v>8</v>
      </c>
      <c r="AB83" s="181">
        <f t="shared" si="10"/>
        <v>7</v>
      </c>
      <c r="AC83" s="181">
        <f t="shared" si="10"/>
        <v>8</v>
      </c>
      <c r="AD83" s="181">
        <f t="shared" si="10"/>
        <v>16</v>
      </c>
      <c r="AE83" s="181">
        <f t="shared" si="10"/>
        <v>14</v>
      </c>
      <c r="AF83" s="181">
        <f t="shared" si="10"/>
        <v>0</v>
      </c>
      <c r="AG83" s="64">
        <f t="shared" si="5"/>
        <v>318</v>
      </c>
    </row>
    <row r="84" spans="1:35" ht="19.5" thickBot="1" x14ac:dyDescent="0.3">
      <c r="A84" s="309" t="s">
        <v>117</v>
      </c>
      <c r="B84" s="257">
        <f t="shared" ref="B84:AF84" si="11">SUM(B85:B86)</f>
        <v>2</v>
      </c>
      <c r="C84" s="158">
        <f t="shared" si="11"/>
        <v>31</v>
      </c>
      <c r="D84" s="158">
        <f t="shared" si="11"/>
        <v>3</v>
      </c>
      <c r="E84" s="158">
        <f t="shared" si="11"/>
        <v>2</v>
      </c>
      <c r="F84" s="158">
        <f t="shared" si="11"/>
        <v>26</v>
      </c>
      <c r="G84" s="382">
        <f t="shared" si="11"/>
        <v>5</v>
      </c>
      <c r="H84" s="158">
        <f t="shared" si="11"/>
        <v>4</v>
      </c>
      <c r="I84" s="158">
        <f t="shared" si="11"/>
        <v>28</v>
      </c>
      <c r="J84" s="158">
        <f t="shared" si="11"/>
        <v>11</v>
      </c>
      <c r="K84" s="158">
        <f t="shared" si="11"/>
        <v>1</v>
      </c>
      <c r="L84" s="158">
        <f t="shared" si="11"/>
        <v>10</v>
      </c>
      <c r="M84" s="158">
        <f t="shared" si="11"/>
        <v>13</v>
      </c>
      <c r="N84" s="158">
        <f t="shared" si="11"/>
        <v>0</v>
      </c>
      <c r="O84" s="158">
        <f t="shared" si="11"/>
        <v>2</v>
      </c>
      <c r="P84" s="158">
        <f t="shared" si="11"/>
        <v>23</v>
      </c>
      <c r="Q84" s="158">
        <f t="shared" si="11"/>
        <v>12</v>
      </c>
      <c r="R84" s="158">
        <f t="shared" si="11"/>
        <v>7</v>
      </c>
      <c r="S84" s="158">
        <f t="shared" si="11"/>
        <v>13</v>
      </c>
      <c r="T84" s="158">
        <f t="shared" si="11"/>
        <v>17</v>
      </c>
      <c r="U84" s="158">
        <f t="shared" si="11"/>
        <v>7</v>
      </c>
      <c r="V84" s="158">
        <f t="shared" si="11"/>
        <v>8</v>
      </c>
      <c r="W84" s="158">
        <f t="shared" si="11"/>
        <v>27</v>
      </c>
      <c r="X84" s="158">
        <f t="shared" si="11"/>
        <v>10</v>
      </c>
      <c r="Y84" s="158">
        <f t="shared" si="11"/>
        <v>12</v>
      </c>
      <c r="Z84" s="158">
        <f t="shared" si="11"/>
        <v>10</v>
      </c>
      <c r="AA84" s="158">
        <f t="shared" si="11"/>
        <v>8</v>
      </c>
      <c r="AB84" s="158">
        <f t="shared" si="11"/>
        <v>7</v>
      </c>
      <c r="AC84" s="158">
        <f t="shared" si="11"/>
        <v>8</v>
      </c>
      <c r="AD84" s="158">
        <f t="shared" si="11"/>
        <v>18</v>
      </c>
      <c r="AE84" s="158">
        <f t="shared" si="11"/>
        <v>14</v>
      </c>
      <c r="AF84" s="158">
        <f t="shared" si="11"/>
        <v>0</v>
      </c>
      <c r="AG84" s="197">
        <f t="shared" si="5"/>
        <v>339</v>
      </c>
      <c r="AH84" s="53" t="str">
        <f>IF(AG84&lt;&gt;AG82+AG83,"*","")</f>
        <v>*</v>
      </c>
      <c r="AI84" s="403" t="s">
        <v>71</v>
      </c>
    </row>
    <row r="85" spans="1:35" ht="18.75" x14ac:dyDescent="0.25">
      <c r="A85" s="310" t="s">
        <v>116</v>
      </c>
      <c r="B85" s="258">
        <v>1</v>
      </c>
      <c r="C85" s="195">
        <v>8</v>
      </c>
      <c r="D85" s="195">
        <v>0</v>
      </c>
      <c r="E85" s="195">
        <v>1</v>
      </c>
      <c r="F85" s="195">
        <v>3</v>
      </c>
      <c r="G85" s="383">
        <v>2</v>
      </c>
      <c r="H85" s="195">
        <v>1</v>
      </c>
      <c r="I85" s="195">
        <v>6</v>
      </c>
      <c r="J85" s="195">
        <v>4</v>
      </c>
      <c r="K85" s="195">
        <v>0</v>
      </c>
      <c r="L85" s="195">
        <v>1</v>
      </c>
      <c r="M85" s="195">
        <v>4</v>
      </c>
      <c r="N85" s="195">
        <v>0</v>
      </c>
      <c r="O85" s="195">
        <v>0</v>
      </c>
      <c r="P85" s="195">
        <v>7</v>
      </c>
      <c r="Q85" s="195">
        <v>1</v>
      </c>
      <c r="R85" s="195">
        <v>0</v>
      </c>
      <c r="S85" s="195">
        <v>1</v>
      </c>
      <c r="T85" s="195">
        <v>4</v>
      </c>
      <c r="U85" s="195">
        <v>1</v>
      </c>
      <c r="V85" s="195">
        <v>1</v>
      </c>
      <c r="W85" s="195">
        <v>2</v>
      </c>
      <c r="X85" s="195">
        <v>3</v>
      </c>
      <c r="Y85" s="195">
        <v>2</v>
      </c>
      <c r="Z85" s="195">
        <v>0</v>
      </c>
      <c r="AA85" s="195">
        <v>1</v>
      </c>
      <c r="AB85" s="195">
        <v>0</v>
      </c>
      <c r="AC85" s="195">
        <v>0</v>
      </c>
      <c r="AD85" s="195">
        <v>6</v>
      </c>
      <c r="AE85" s="195">
        <v>3</v>
      </c>
      <c r="AF85" s="194"/>
      <c r="AG85" s="193">
        <f t="shared" si="5"/>
        <v>63</v>
      </c>
      <c r="AI85" s="404"/>
    </row>
    <row r="86" spans="1:35" ht="19.5" thickBot="1" x14ac:dyDescent="0.3">
      <c r="A86" s="311" t="s">
        <v>115</v>
      </c>
      <c r="B86" s="259">
        <v>1</v>
      </c>
      <c r="C86" s="191">
        <v>23</v>
      </c>
      <c r="D86" s="191">
        <v>3</v>
      </c>
      <c r="E86" s="191">
        <v>1</v>
      </c>
      <c r="F86" s="191">
        <v>23</v>
      </c>
      <c r="G86" s="387">
        <v>3</v>
      </c>
      <c r="H86" s="191">
        <v>3</v>
      </c>
      <c r="I86" s="191">
        <v>22</v>
      </c>
      <c r="J86" s="191">
        <v>7</v>
      </c>
      <c r="K86" s="191">
        <v>1</v>
      </c>
      <c r="L86" s="191">
        <v>9</v>
      </c>
      <c r="M86" s="191">
        <v>9</v>
      </c>
      <c r="N86" s="191">
        <v>0</v>
      </c>
      <c r="O86" s="191">
        <v>2</v>
      </c>
      <c r="P86" s="191">
        <v>16</v>
      </c>
      <c r="Q86" s="191">
        <v>11</v>
      </c>
      <c r="R86" s="191">
        <v>7</v>
      </c>
      <c r="S86" s="191">
        <v>12</v>
      </c>
      <c r="T86" s="191">
        <v>13</v>
      </c>
      <c r="U86" s="191">
        <v>6</v>
      </c>
      <c r="V86" s="191">
        <v>7</v>
      </c>
      <c r="W86" s="191">
        <v>25</v>
      </c>
      <c r="X86" s="191">
        <v>7</v>
      </c>
      <c r="Y86" s="191">
        <v>10</v>
      </c>
      <c r="Z86" s="191">
        <v>10</v>
      </c>
      <c r="AA86" s="191">
        <v>7</v>
      </c>
      <c r="AB86" s="191">
        <v>7</v>
      </c>
      <c r="AC86" s="191">
        <v>8</v>
      </c>
      <c r="AD86" s="191">
        <v>12</v>
      </c>
      <c r="AE86" s="191">
        <v>11</v>
      </c>
      <c r="AF86" s="190"/>
      <c r="AG86" s="189">
        <f t="shared" si="5"/>
        <v>276</v>
      </c>
      <c r="AI86" s="405"/>
    </row>
    <row r="87" spans="1:35" ht="19.5" thickBot="1" x14ac:dyDescent="0.3">
      <c r="A87" s="312" t="s">
        <v>114</v>
      </c>
      <c r="B87" s="260">
        <f t="shared" ref="B87:AF87" si="12">SUM(B88:B92)</f>
        <v>2</v>
      </c>
      <c r="C87" s="187">
        <f t="shared" si="12"/>
        <v>31</v>
      </c>
      <c r="D87" s="187">
        <f t="shared" si="12"/>
        <v>3</v>
      </c>
      <c r="E87" s="187">
        <f t="shared" si="12"/>
        <v>2</v>
      </c>
      <c r="F87" s="187">
        <f t="shared" si="12"/>
        <v>26</v>
      </c>
      <c r="G87" s="382">
        <f t="shared" si="12"/>
        <v>5</v>
      </c>
      <c r="H87" s="187">
        <f t="shared" si="12"/>
        <v>4</v>
      </c>
      <c r="I87" s="187">
        <f t="shared" si="12"/>
        <v>28</v>
      </c>
      <c r="J87" s="187">
        <f t="shared" si="12"/>
        <v>11</v>
      </c>
      <c r="K87" s="187">
        <f t="shared" si="12"/>
        <v>1</v>
      </c>
      <c r="L87" s="187">
        <f t="shared" si="12"/>
        <v>10</v>
      </c>
      <c r="M87" s="187">
        <f t="shared" si="12"/>
        <v>13</v>
      </c>
      <c r="N87" s="187">
        <f t="shared" si="12"/>
        <v>0</v>
      </c>
      <c r="O87" s="187">
        <f t="shared" si="12"/>
        <v>2</v>
      </c>
      <c r="P87" s="187">
        <f t="shared" si="12"/>
        <v>23</v>
      </c>
      <c r="Q87" s="187">
        <f t="shared" si="12"/>
        <v>12</v>
      </c>
      <c r="R87" s="187">
        <f t="shared" si="12"/>
        <v>7</v>
      </c>
      <c r="S87" s="187">
        <f t="shared" si="12"/>
        <v>13</v>
      </c>
      <c r="T87" s="187">
        <f t="shared" si="12"/>
        <v>17</v>
      </c>
      <c r="U87" s="187">
        <f t="shared" si="12"/>
        <v>7</v>
      </c>
      <c r="V87" s="187">
        <f t="shared" si="12"/>
        <v>8</v>
      </c>
      <c r="W87" s="187">
        <f t="shared" si="12"/>
        <v>27</v>
      </c>
      <c r="X87" s="187">
        <f t="shared" si="12"/>
        <v>10</v>
      </c>
      <c r="Y87" s="187">
        <f t="shared" si="12"/>
        <v>12</v>
      </c>
      <c r="Z87" s="187">
        <f t="shared" si="12"/>
        <v>10</v>
      </c>
      <c r="AA87" s="187">
        <f t="shared" si="12"/>
        <v>8</v>
      </c>
      <c r="AB87" s="187">
        <f t="shared" si="12"/>
        <v>7</v>
      </c>
      <c r="AC87" s="187">
        <f t="shared" si="12"/>
        <v>8</v>
      </c>
      <c r="AD87" s="187">
        <f t="shared" si="12"/>
        <v>18</v>
      </c>
      <c r="AE87" s="187">
        <f t="shared" si="12"/>
        <v>14</v>
      </c>
      <c r="AF87" s="187">
        <f t="shared" si="12"/>
        <v>0</v>
      </c>
      <c r="AG87" s="186">
        <f t="shared" si="5"/>
        <v>339</v>
      </c>
      <c r="AH87" s="185" t="str">
        <f>IF(AG87&lt;&gt;AG84,"*","")</f>
        <v/>
      </c>
    </row>
    <row r="88" spans="1:35" ht="18.75" x14ac:dyDescent="0.25">
      <c r="A88" s="313" t="s">
        <v>113</v>
      </c>
      <c r="B88" s="253"/>
      <c r="C88" s="184">
        <v>7</v>
      </c>
      <c r="D88" s="184">
        <v>2</v>
      </c>
      <c r="E88" s="184">
        <v>2</v>
      </c>
      <c r="F88" s="184">
        <v>7</v>
      </c>
      <c r="G88" s="389"/>
      <c r="H88" s="184">
        <v>4</v>
      </c>
      <c r="I88" s="184">
        <v>13</v>
      </c>
      <c r="J88" s="184">
        <v>4</v>
      </c>
      <c r="K88" s="184"/>
      <c r="L88" s="184">
        <v>5</v>
      </c>
      <c r="M88" s="184">
        <v>7</v>
      </c>
      <c r="N88" s="184">
        <v>0</v>
      </c>
      <c r="O88" s="184">
        <v>1</v>
      </c>
      <c r="P88" s="184">
        <v>6</v>
      </c>
      <c r="Q88" s="184">
        <v>7</v>
      </c>
      <c r="R88" s="184">
        <v>3</v>
      </c>
      <c r="S88" s="184">
        <v>6</v>
      </c>
      <c r="T88" s="184">
        <v>7</v>
      </c>
      <c r="U88" s="184">
        <v>1</v>
      </c>
      <c r="V88" s="184">
        <v>2</v>
      </c>
      <c r="W88" s="184">
        <v>5</v>
      </c>
      <c r="X88" s="184">
        <v>5</v>
      </c>
      <c r="Y88" s="184">
        <v>6</v>
      </c>
      <c r="Z88" s="184">
        <v>4</v>
      </c>
      <c r="AA88" s="184">
        <v>2</v>
      </c>
      <c r="AB88" s="184">
        <v>4</v>
      </c>
      <c r="AC88" s="184">
        <v>1</v>
      </c>
      <c r="AD88" s="184">
        <v>6</v>
      </c>
      <c r="AE88" s="184">
        <v>4</v>
      </c>
      <c r="AF88" s="183"/>
      <c r="AG88" s="134">
        <f t="shared" si="5"/>
        <v>121</v>
      </c>
    </row>
    <row r="89" spans="1:35" ht="18.75" x14ac:dyDescent="0.25">
      <c r="A89" s="314" t="s">
        <v>16</v>
      </c>
      <c r="B89" s="252"/>
      <c r="C89" s="181"/>
      <c r="D89" s="181"/>
      <c r="E89" s="181"/>
      <c r="F89" s="181"/>
      <c r="G89" s="387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  <c r="AA89" s="181"/>
      <c r="AB89" s="181"/>
      <c r="AC89" s="181"/>
      <c r="AD89" s="181"/>
      <c r="AE89" s="181"/>
      <c r="AF89" s="180"/>
      <c r="AG89" s="64">
        <f t="shared" si="5"/>
        <v>0</v>
      </c>
    </row>
    <row r="90" spans="1:35" ht="18.75" x14ac:dyDescent="0.25">
      <c r="A90" s="314" t="s">
        <v>15</v>
      </c>
      <c r="B90" s="252"/>
      <c r="C90" s="181"/>
      <c r="D90" s="181"/>
      <c r="E90" s="181"/>
      <c r="F90" s="181"/>
      <c r="G90" s="387"/>
      <c r="H90" s="181"/>
      <c r="I90" s="181">
        <v>1</v>
      </c>
      <c r="J90" s="181"/>
      <c r="K90" s="181"/>
      <c r="L90" s="181"/>
      <c r="M90" s="181"/>
      <c r="N90" s="181"/>
      <c r="O90" s="181"/>
      <c r="P90" s="181">
        <v>1</v>
      </c>
      <c r="Q90" s="181"/>
      <c r="R90" s="181"/>
      <c r="S90" s="181"/>
      <c r="T90" s="181"/>
      <c r="U90" s="181"/>
      <c r="V90" s="181"/>
      <c r="W90" s="181"/>
      <c r="X90" s="181"/>
      <c r="Y90" s="181"/>
      <c r="Z90" s="181"/>
      <c r="AA90" s="181"/>
      <c r="AB90" s="181"/>
      <c r="AC90" s="181"/>
      <c r="AD90" s="181"/>
      <c r="AE90" s="181"/>
      <c r="AF90" s="180"/>
      <c r="AG90" s="64">
        <f t="shared" si="5"/>
        <v>2</v>
      </c>
    </row>
    <row r="91" spans="1:35" ht="18.75" x14ac:dyDescent="0.25">
      <c r="A91" s="314" t="s">
        <v>14</v>
      </c>
      <c r="B91" s="252">
        <v>2</v>
      </c>
      <c r="C91" s="181">
        <v>17</v>
      </c>
      <c r="D91" s="181">
        <v>1</v>
      </c>
      <c r="E91" s="181"/>
      <c r="F91" s="181">
        <v>12</v>
      </c>
      <c r="G91" s="387">
        <v>4</v>
      </c>
      <c r="H91" s="181"/>
      <c r="I91" s="181">
        <v>13</v>
      </c>
      <c r="J91" s="181">
        <v>4</v>
      </c>
      <c r="K91" s="181">
        <v>1</v>
      </c>
      <c r="L91" s="181">
        <v>2</v>
      </c>
      <c r="M91" s="181">
        <v>4</v>
      </c>
      <c r="N91" s="181"/>
      <c r="O91" s="181"/>
      <c r="P91" s="181">
        <v>9</v>
      </c>
      <c r="Q91" s="181">
        <v>3</v>
      </c>
      <c r="R91" s="181">
        <v>3</v>
      </c>
      <c r="S91" s="181">
        <v>5</v>
      </c>
      <c r="T91" s="181">
        <v>5</v>
      </c>
      <c r="U91" s="181">
        <v>6</v>
      </c>
      <c r="V91" s="181">
        <v>4</v>
      </c>
      <c r="W91" s="181">
        <v>19</v>
      </c>
      <c r="X91" s="181">
        <v>2</v>
      </c>
      <c r="Y91" s="181">
        <v>4</v>
      </c>
      <c r="Z91" s="181">
        <v>1</v>
      </c>
      <c r="AA91" s="181">
        <v>3</v>
      </c>
      <c r="AB91" s="181">
        <v>3</v>
      </c>
      <c r="AC91" s="181">
        <v>4</v>
      </c>
      <c r="AD91" s="181">
        <v>10</v>
      </c>
      <c r="AE91" s="181">
        <v>4</v>
      </c>
      <c r="AF91" s="180"/>
      <c r="AG91" s="64">
        <f t="shared" si="5"/>
        <v>145</v>
      </c>
    </row>
    <row r="92" spans="1:35" ht="19.5" thickBot="1" x14ac:dyDescent="0.3">
      <c r="A92" s="314" t="s">
        <v>13</v>
      </c>
      <c r="B92" s="252"/>
      <c r="C92" s="181">
        <v>7</v>
      </c>
      <c r="D92" s="181"/>
      <c r="E92" s="181"/>
      <c r="F92" s="181">
        <v>7</v>
      </c>
      <c r="G92" s="387">
        <v>1</v>
      </c>
      <c r="H92" s="181"/>
      <c r="I92" s="181">
        <v>1</v>
      </c>
      <c r="J92" s="181">
        <v>3</v>
      </c>
      <c r="K92" s="181"/>
      <c r="L92" s="181">
        <v>3</v>
      </c>
      <c r="M92" s="181">
        <v>2</v>
      </c>
      <c r="N92" s="181"/>
      <c r="O92" s="181">
        <v>1</v>
      </c>
      <c r="P92" s="181">
        <v>7</v>
      </c>
      <c r="Q92" s="181">
        <v>2</v>
      </c>
      <c r="R92" s="181">
        <v>1</v>
      </c>
      <c r="S92" s="181">
        <v>2</v>
      </c>
      <c r="T92" s="181">
        <v>5</v>
      </c>
      <c r="U92" s="181"/>
      <c r="V92" s="181">
        <v>2</v>
      </c>
      <c r="W92" s="181">
        <v>3</v>
      </c>
      <c r="X92" s="181">
        <v>3</v>
      </c>
      <c r="Y92" s="181">
        <v>2</v>
      </c>
      <c r="Z92" s="181">
        <v>5</v>
      </c>
      <c r="AA92" s="181">
        <v>3</v>
      </c>
      <c r="AB92" s="181"/>
      <c r="AC92" s="181">
        <v>3</v>
      </c>
      <c r="AD92" s="181">
        <v>2</v>
      </c>
      <c r="AE92" s="181">
        <v>6</v>
      </c>
      <c r="AF92" s="180"/>
      <c r="AG92" s="64">
        <f t="shared" si="5"/>
        <v>71</v>
      </c>
    </row>
    <row r="93" spans="1:35" ht="18.75" x14ac:dyDescent="0.25">
      <c r="A93" s="315" t="s">
        <v>112</v>
      </c>
      <c r="B93" s="261">
        <f t="shared" ref="B93:AF93" si="13">+B94+B100</f>
        <v>182</v>
      </c>
      <c r="C93" s="166">
        <f t="shared" si="13"/>
        <v>200</v>
      </c>
      <c r="D93" s="166">
        <f t="shared" si="13"/>
        <v>137</v>
      </c>
      <c r="E93" s="166">
        <f t="shared" si="13"/>
        <v>140</v>
      </c>
      <c r="F93" s="166">
        <f t="shared" si="13"/>
        <v>117</v>
      </c>
      <c r="G93" s="386">
        <f t="shared" si="13"/>
        <v>151</v>
      </c>
      <c r="H93" s="166">
        <f t="shared" si="13"/>
        <v>188</v>
      </c>
      <c r="I93" s="166">
        <f t="shared" si="13"/>
        <v>168</v>
      </c>
      <c r="J93" s="166">
        <f t="shared" si="13"/>
        <v>151</v>
      </c>
      <c r="K93" s="166">
        <f t="shared" si="13"/>
        <v>138</v>
      </c>
      <c r="L93" s="166">
        <f t="shared" si="13"/>
        <v>149</v>
      </c>
      <c r="M93" s="166">
        <f t="shared" si="13"/>
        <v>130</v>
      </c>
      <c r="N93" s="166">
        <f t="shared" si="13"/>
        <v>178</v>
      </c>
      <c r="O93" s="166">
        <f t="shared" si="13"/>
        <v>163</v>
      </c>
      <c r="P93" s="166">
        <f t="shared" si="13"/>
        <v>159</v>
      </c>
      <c r="Q93" s="166">
        <f t="shared" si="13"/>
        <v>162</v>
      </c>
      <c r="R93" s="166">
        <f t="shared" si="13"/>
        <v>160</v>
      </c>
      <c r="S93" s="166">
        <f t="shared" si="13"/>
        <v>148</v>
      </c>
      <c r="T93" s="166">
        <f t="shared" si="13"/>
        <v>143</v>
      </c>
      <c r="U93" s="166">
        <f t="shared" si="13"/>
        <v>168</v>
      </c>
      <c r="V93" s="166">
        <f t="shared" si="13"/>
        <v>196</v>
      </c>
      <c r="W93" s="166">
        <f t="shared" si="13"/>
        <v>162</v>
      </c>
      <c r="X93" s="166">
        <f t="shared" si="13"/>
        <v>187</v>
      </c>
      <c r="Y93" s="166">
        <f t="shared" si="13"/>
        <v>152</v>
      </c>
      <c r="Z93" s="166">
        <f t="shared" si="13"/>
        <v>175</v>
      </c>
      <c r="AA93" s="166">
        <f t="shared" si="13"/>
        <v>156</v>
      </c>
      <c r="AB93" s="166">
        <f t="shared" si="13"/>
        <v>191</v>
      </c>
      <c r="AC93" s="166">
        <f t="shared" si="13"/>
        <v>196</v>
      </c>
      <c r="AD93" s="166">
        <f t="shared" si="13"/>
        <v>207</v>
      </c>
      <c r="AE93" s="166">
        <f t="shared" si="13"/>
        <v>164</v>
      </c>
      <c r="AF93" s="165">
        <f t="shared" si="13"/>
        <v>0</v>
      </c>
      <c r="AG93" s="164">
        <f t="shared" si="5"/>
        <v>4918</v>
      </c>
      <c r="AH93" s="179" t="str">
        <f>IF(AG93&lt;&gt;AG28,"*","")</f>
        <v>*</v>
      </c>
    </row>
    <row r="94" spans="1:35" ht="18.75" x14ac:dyDescent="0.25">
      <c r="A94" s="66" t="s">
        <v>111</v>
      </c>
      <c r="B94" s="262">
        <f t="shared" ref="B94:AF94" si="14">SUM(B95:B99)</f>
        <v>23</v>
      </c>
      <c r="C94" s="68">
        <f t="shared" si="14"/>
        <v>27</v>
      </c>
      <c r="D94" s="68">
        <f t="shared" si="14"/>
        <v>16</v>
      </c>
      <c r="E94" s="68">
        <f t="shared" si="14"/>
        <v>28</v>
      </c>
      <c r="F94" s="68">
        <f t="shared" si="14"/>
        <v>19</v>
      </c>
      <c r="G94" s="384">
        <f t="shared" si="14"/>
        <v>21</v>
      </c>
      <c r="H94" s="68">
        <f t="shared" si="14"/>
        <v>22</v>
      </c>
      <c r="I94" s="68">
        <f t="shared" si="14"/>
        <v>21</v>
      </c>
      <c r="J94" s="68">
        <f t="shared" si="14"/>
        <v>31</v>
      </c>
      <c r="K94" s="68">
        <f t="shared" si="14"/>
        <v>22</v>
      </c>
      <c r="L94" s="68">
        <f t="shared" si="14"/>
        <v>29</v>
      </c>
      <c r="M94" s="68">
        <f t="shared" si="14"/>
        <v>14</v>
      </c>
      <c r="N94" s="68">
        <f t="shared" si="14"/>
        <v>19</v>
      </c>
      <c r="O94" s="68">
        <f t="shared" si="14"/>
        <v>22</v>
      </c>
      <c r="P94" s="68">
        <f t="shared" si="14"/>
        <v>24</v>
      </c>
      <c r="Q94" s="68">
        <f t="shared" si="14"/>
        <v>12</v>
      </c>
      <c r="R94" s="68">
        <f t="shared" si="14"/>
        <v>24</v>
      </c>
      <c r="S94" s="68">
        <f t="shared" si="14"/>
        <v>17</v>
      </c>
      <c r="T94" s="68">
        <f t="shared" si="14"/>
        <v>18</v>
      </c>
      <c r="U94" s="68">
        <f t="shared" si="14"/>
        <v>22</v>
      </c>
      <c r="V94" s="68">
        <f t="shared" si="14"/>
        <v>31</v>
      </c>
      <c r="W94" s="68">
        <f t="shared" si="14"/>
        <v>14</v>
      </c>
      <c r="X94" s="68">
        <f t="shared" si="14"/>
        <v>23</v>
      </c>
      <c r="Y94" s="68">
        <f t="shared" si="14"/>
        <v>26</v>
      </c>
      <c r="Z94" s="68">
        <f t="shared" si="14"/>
        <v>16</v>
      </c>
      <c r="AA94" s="68">
        <f t="shared" si="14"/>
        <v>27</v>
      </c>
      <c r="AB94" s="68">
        <f t="shared" si="14"/>
        <v>16</v>
      </c>
      <c r="AC94" s="68">
        <f t="shared" si="14"/>
        <v>29</v>
      </c>
      <c r="AD94" s="68">
        <f t="shared" si="14"/>
        <v>23</v>
      </c>
      <c r="AE94" s="68">
        <f t="shared" si="14"/>
        <v>16</v>
      </c>
      <c r="AF94" s="67">
        <f t="shared" si="14"/>
        <v>0</v>
      </c>
      <c r="AG94" s="64">
        <f t="shared" si="5"/>
        <v>652</v>
      </c>
    </row>
    <row r="95" spans="1:35" ht="18.75" x14ac:dyDescent="0.25">
      <c r="A95" s="316" t="s">
        <v>110</v>
      </c>
      <c r="B95" s="249"/>
      <c r="C95" s="162"/>
      <c r="D95" s="162">
        <v>1</v>
      </c>
      <c r="E95" s="162">
        <v>2</v>
      </c>
      <c r="F95" s="162"/>
      <c r="G95" s="384">
        <v>1</v>
      </c>
      <c r="H95" s="162"/>
      <c r="I95" s="162"/>
      <c r="J95" s="162"/>
      <c r="K95" s="162"/>
      <c r="L95" s="162">
        <v>1</v>
      </c>
      <c r="M95" s="162">
        <v>1</v>
      </c>
      <c r="N95" s="162"/>
      <c r="O95" s="162"/>
      <c r="P95" s="162"/>
      <c r="Q95" s="162"/>
      <c r="R95" s="162"/>
      <c r="S95" s="162"/>
      <c r="T95" s="162"/>
      <c r="U95" s="162"/>
      <c r="V95" s="162">
        <v>1</v>
      </c>
      <c r="W95" s="162"/>
      <c r="X95" s="162"/>
      <c r="Y95" s="162"/>
      <c r="Z95" s="162">
        <v>1</v>
      </c>
      <c r="AA95" s="162"/>
      <c r="AB95" s="162"/>
      <c r="AC95" s="162"/>
      <c r="AD95" s="162">
        <v>2</v>
      </c>
      <c r="AE95" s="162"/>
      <c r="AF95" s="161"/>
      <c r="AG95" s="64">
        <f t="shared" si="5"/>
        <v>10</v>
      </c>
    </row>
    <row r="96" spans="1:35" ht="18.75" x14ac:dyDescent="0.25">
      <c r="A96" s="317" t="s">
        <v>109</v>
      </c>
      <c r="B96" s="249">
        <v>3</v>
      </c>
      <c r="C96" s="162"/>
      <c r="D96" s="162">
        <v>3</v>
      </c>
      <c r="E96" s="162">
        <v>2</v>
      </c>
      <c r="F96" s="162">
        <v>4</v>
      </c>
      <c r="G96" s="384"/>
      <c r="H96" s="162">
        <v>2</v>
      </c>
      <c r="I96" s="162">
        <v>4</v>
      </c>
      <c r="J96" s="162">
        <v>1</v>
      </c>
      <c r="K96" s="162">
        <v>3</v>
      </c>
      <c r="L96" s="162">
        <v>3</v>
      </c>
      <c r="M96" s="162"/>
      <c r="N96" s="162">
        <v>1</v>
      </c>
      <c r="O96" s="162">
        <v>2</v>
      </c>
      <c r="P96" s="162">
        <v>2</v>
      </c>
      <c r="Q96" s="162">
        <v>1</v>
      </c>
      <c r="R96" s="162"/>
      <c r="S96" s="176">
        <v>2</v>
      </c>
      <c r="T96" s="162">
        <v>1</v>
      </c>
      <c r="U96" s="162">
        <v>1</v>
      </c>
      <c r="V96" s="162">
        <v>5</v>
      </c>
      <c r="W96" s="162"/>
      <c r="X96" s="162">
        <v>2</v>
      </c>
      <c r="Y96" s="162">
        <v>2</v>
      </c>
      <c r="Z96" s="162">
        <v>2</v>
      </c>
      <c r="AA96" s="162">
        <v>3</v>
      </c>
      <c r="AB96" s="162">
        <v>1</v>
      </c>
      <c r="AC96" s="162">
        <v>3</v>
      </c>
      <c r="AD96" s="162">
        <v>5</v>
      </c>
      <c r="AE96" s="162">
        <v>1</v>
      </c>
      <c r="AF96" s="161"/>
      <c r="AG96" s="64">
        <f t="shared" si="5"/>
        <v>59</v>
      </c>
    </row>
    <row r="97" spans="1:33" ht="18.75" x14ac:dyDescent="0.25">
      <c r="A97" s="318" t="s">
        <v>108</v>
      </c>
      <c r="B97" s="249">
        <v>10</v>
      </c>
      <c r="C97" s="162">
        <v>10</v>
      </c>
      <c r="D97" s="162">
        <v>1</v>
      </c>
      <c r="E97" s="162">
        <v>7</v>
      </c>
      <c r="F97" s="162">
        <v>7</v>
      </c>
      <c r="G97" s="384">
        <v>9</v>
      </c>
      <c r="H97" s="162">
        <v>9</v>
      </c>
      <c r="I97" s="162">
        <v>4</v>
      </c>
      <c r="J97" s="162">
        <v>7</v>
      </c>
      <c r="K97" s="162">
        <v>3</v>
      </c>
      <c r="L97" s="162">
        <v>8</v>
      </c>
      <c r="M97" s="162">
        <v>3</v>
      </c>
      <c r="N97" s="162">
        <v>11</v>
      </c>
      <c r="O97" s="162">
        <v>10</v>
      </c>
      <c r="P97" s="162">
        <v>5</v>
      </c>
      <c r="Q97" s="162">
        <v>3</v>
      </c>
      <c r="R97" s="162">
        <v>9</v>
      </c>
      <c r="S97" s="162">
        <v>8</v>
      </c>
      <c r="T97" s="162">
        <v>6</v>
      </c>
      <c r="U97" s="162">
        <v>10</v>
      </c>
      <c r="V97" s="162">
        <v>11</v>
      </c>
      <c r="W97" s="162">
        <v>3</v>
      </c>
      <c r="X97" s="162">
        <v>6</v>
      </c>
      <c r="Y97" s="162">
        <v>8</v>
      </c>
      <c r="Z97" s="162">
        <v>5</v>
      </c>
      <c r="AA97" s="162">
        <v>8</v>
      </c>
      <c r="AB97" s="162"/>
      <c r="AC97" s="162">
        <v>6</v>
      </c>
      <c r="AD97" s="162">
        <v>5</v>
      </c>
      <c r="AE97" s="162">
        <v>6</v>
      </c>
      <c r="AF97" s="161"/>
      <c r="AG97" s="64">
        <f t="shared" si="5"/>
        <v>198</v>
      </c>
    </row>
    <row r="98" spans="1:33" ht="18.75" x14ac:dyDescent="0.25">
      <c r="A98" s="319" t="s">
        <v>107</v>
      </c>
      <c r="B98" s="249">
        <v>7</v>
      </c>
      <c r="C98" s="162">
        <v>8</v>
      </c>
      <c r="D98" s="162">
        <v>7</v>
      </c>
      <c r="E98" s="162">
        <v>10</v>
      </c>
      <c r="F98" s="162">
        <v>3</v>
      </c>
      <c r="G98" s="384">
        <v>6</v>
      </c>
      <c r="H98" s="162">
        <v>6</v>
      </c>
      <c r="I98" s="162">
        <v>10</v>
      </c>
      <c r="J98" s="162">
        <v>11</v>
      </c>
      <c r="K98" s="162">
        <v>12</v>
      </c>
      <c r="L98" s="162">
        <v>15</v>
      </c>
      <c r="M98" s="162">
        <v>8</v>
      </c>
      <c r="N98" s="162">
        <v>5</v>
      </c>
      <c r="O98" s="162">
        <v>7</v>
      </c>
      <c r="P98" s="162">
        <v>7</v>
      </c>
      <c r="Q98" s="162">
        <v>4</v>
      </c>
      <c r="R98" s="162">
        <v>9</v>
      </c>
      <c r="S98" s="162">
        <v>3</v>
      </c>
      <c r="T98" s="162">
        <v>5</v>
      </c>
      <c r="U98" s="162">
        <v>7</v>
      </c>
      <c r="V98" s="162">
        <v>8</v>
      </c>
      <c r="W98" s="162">
        <v>6</v>
      </c>
      <c r="X98" s="162">
        <v>7</v>
      </c>
      <c r="Y98" s="162">
        <v>5</v>
      </c>
      <c r="Z98" s="162">
        <v>4</v>
      </c>
      <c r="AA98" s="162">
        <v>10</v>
      </c>
      <c r="AB98" s="162">
        <v>8</v>
      </c>
      <c r="AC98" s="162">
        <v>7</v>
      </c>
      <c r="AD98" s="162">
        <v>8</v>
      </c>
      <c r="AE98" s="162">
        <v>9</v>
      </c>
      <c r="AF98" s="161"/>
      <c r="AG98" s="64">
        <f t="shared" si="5"/>
        <v>222</v>
      </c>
    </row>
    <row r="99" spans="1:33" ht="18.75" x14ac:dyDescent="0.25">
      <c r="A99" s="320" t="s">
        <v>106</v>
      </c>
      <c r="B99" s="249">
        <v>3</v>
      </c>
      <c r="C99" s="162">
        <v>9</v>
      </c>
      <c r="D99" s="162">
        <v>4</v>
      </c>
      <c r="E99" s="162">
        <v>7</v>
      </c>
      <c r="F99" s="162">
        <v>5</v>
      </c>
      <c r="G99" s="384">
        <v>5</v>
      </c>
      <c r="H99" s="162">
        <v>5</v>
      </c>
      <c r="I99" s="162">
        <v>3</v>
      </c>
      <c r="J99" s="162">
        <v>12</v>
      </c>
      <c r="K99" s="162">
        <v>4</v>
      </c>
      <c r="L99" s="162">
        <v>2</v>
      </c>
      <c r="M99" s="162">
        <v>2</v>
      </c>
      <c r="N99" s="162">
        <v>2</v>
      </c>
      <c r="O99" s="162">
        <v>3</v>
      </c>
      <c r="P99" s="162">
        <v>10</v>
      </c>
      <c r="Q99" s="162">
        <v>4</v>
      </c>
      <c r="R99" s="162">
        <v>6</v>
      </c>
      <c r="S99" s="162">
        <v>4</v>
      </c>
      <c r="T99" s="162">
        <v>6</v>
      </c>
      <c r="U99" s="162">
        <v>4</v>
      </c>
      <c r="V99" s="162">
        <v>6</v>
      </c>
      <c r="W99" s="162">
        <v>5</v>
      </c>
      <c r="X99" s="162">
        <v>8</v>
      </c>
      <c r="Y99" s="162">
        <v>11</v>
      </c>
      <c r="Z99" s="162">
        <v>4</v>
      </c>
      <c r="AA99" s="162">
        <v>6</v>
      </c>
      <c r="AB99" s="162">
        <v>7</v>
      </c>
      <c r="AC99" s="162">
        <v>13</v>
      </c>
      <c r="AD99" s="162">
        <v>3</v>
      </c>
      <c r="AE99" s="162"/>
      <c r="AF99" s="161"/>
      <c r="AG99" s="64">
        <f t="shared" ref="AG99:AG130" si="15">SUM(B99:AF99)</f>
        <v>163</v>
      </c>
    </row>
    <row r="100" spans="1:33" ht="18.75" x14ac:dyDescent="0.25">
      <c r="A100" s="66" t="s">
        <v>105</v>
      </c>
      <c r="B100" s="262">
        <f t="shared" ref="B100:AF100" si="16">SUM(B101:B115)</f>
        <v>159</v>
      </c>
      <c r="C100" s="68">
        <f t="shared" si="16"/>
        <v>173</v>
      </c>
      <c r="D100" s="68">
        <f t="shared" si="16"/>
        <v>121</v>
      </c>
      <c r="E100" s="68">
        <f t="shared" si="16"/>
        <v>112</v>
      </c>
      <c r="F100" s="68">
        <f t="shared" si="16"/>
        <v>98</v>
      </c>
      <c r="G100" s="384">
        <f t="shared" si="16"/>
        <v>130</v>
      </c>
      <c r="H100" s="68">
        <f t="shared" si="16"/>
        <v>166</v>
      </c>
      <c r="I100" s="68">
        <f t="shared" si="16"/>
        <v>147</v>
      </c>
      <c r="J100" s="68">
        <f t="shared" si="16"/>
        <v>120</v>
      </c>
      <c r="K100" s="68">
        <f t="shared" si="16"/>
        <v>116</v>
      </c>
      <c r="L100" s="68">
        <f t="shared" si="16"/>
        <v>120</v>
      </c>
      <c r="M100" s="68">
        <f t="shared" si="16"/>
        <v>116</v>
      </c>
      <c r="N100" s="68">
        <f t="shared" si="16"/>
        <v>159</v>
      </c>
      <c r="O100" s="68">
        <f t="shared" si="16"/>
        <v>141</v>
      </c>
      <c r="P100" s="68">
        <f t="shared" si="16"/>
        <v>135</v>
      </c>
      <c r="Q100" s="68">
        <f t="shared" si="16"/>
        <v>150</v>
      </c>
      <c r="R100" s="68">
        <f t="shared" si="16"/>
        <v>136</v>
      </c>
      <c r="S100" s="68">
        <f t="shared" si="16"/>
        <v>131</v>
      </c>
      <c r="T100" s="68">
        <f t="shared" si="16"/>
        <v>125</v>
      </c>
      <c r="U100" s="68">
        <f t="shared" si="16"/>
        <v>146</v>
      </c>
      <c r="V100" s="68">
        <f t="shared" si="16"/>
        <v>165</v>
      </c>
      <c r="W100" s="68">
        <f t="shared" si="16"/>
        <v>148</v>
      </c>
      <c r="X100" s="68">
        <f t="shared" si="16"/>
        <v>164</v>
      </c>
      <c r="Y100" s="68">
        <f t="shared" si="16"/>
        <v>126</v>
      </c>
      <c r="Z100" s="68">
        <f t="shared" si="16"/>
        <v>159</v>
      </c>
      <c r="AA100" s="68">
        <f t="shared" si="16"/>
        <v>129</v>
      </c>
      <c r="AB100" s="68">
        <f t="shared" si="16"/>
        <v>175</v>
      </c>
      <c r="AC100" s="68">
        <f t="shared" si="16"/>
        <v>167</v>
      </c>
      <c r="AD100" s="68">
        <f t="shared" si="16"/>
        <v>184</v>
      </c>
      <c r="AE100" s="68">
        <f t="shared" si="16"/>
        <v>148</v>
      </c>
      <c r="AF100" s="67">
        <f t="shared" si="16"/>
        <v>0</v>
      </c>
      <c r="AG100" s="64">
        <f t="shared" si="15"/>
        <v>4266</v>
      </c>
    </row>
    <row r="101" spans="1:33" ht="18.75" x14ac:dyDescent="0.25">
      <c r="A101" s="320" t="s">
        <v>104</v>
      </c>
      <c r="B101" s="249">
        <v>13</v>
      </c>
      <c r="C101" s="162">
        <v>12</v>
      </c>
      <c r="D101" s="162">
        <v>9</v>
      </c>
      <c r="E101" s="162">
        <v>4</v>
      </c>
      <c r="F101" s="162">
        <v>10</v>
      </c>
      <c r="G101" s="384">
        <v>8</v>
      </c>
      <c r="H101" s="162">
        <v>14</v>
      </c>
      <c r="I101" s="162">
        <v>11</v>
      </c>
      <c r="J101" s="162">
        <v>6</v>
      </c>
      <c r="K101" s="162">
        <v>13</v>
      </c>
      <c r="L101" s="162">
        <v>11</v>
      </c>
      <c r="M101" s="162">
        <v>1</v>
      </c>
      <c r="N101" s="162">
        <v>7</v>
      </c>
      <c r="O101" s="162">
        <v>6</v>
      </c>
      <c r="P101" s="162">
        <v>15</v>
      </c>
      <c r="Q101" s="162">
        <v>6</v>
      </c>
      <c r="R101" s="162">
        <v>10</v>
      </c>
      <c r="S101" s="162">
        <v>6</v>
      </c>
      <c r="T101" s="162">
        <v>8</v>
      </c>
      <c r="U101" s="162">
        <v>9</v>
      </c>
      <c r="V101" s="162">
        <v>11</v>
      </c>
      <c r="W101" s="162">
        <v>4</v>
      </c>
      <c r="X101" s="162">
        <v>10</v>
      </c>
      <c r="Y101" s="162">
        <v>7</v>
      </c>
      <c r="Z101" s="162">
        <v>15</v>
      </c>
      <c r="AA101" s="162">
        <v>6</v>
      </c>
      <c r="AB101" s="162">
        <v>9</v>
      </c>
      <c r="AC101" s="162">
        <v>9</v>
      </c>
      <c r="AD101" s="162">
        <v>9</v>
      </c>
      <c r="AE101" s="162">
        <v>5</v>
      </c>
      <c r="AF101" s="161"/>
      <c r="AG101" s="64">
        <f t="shared" si="15"/>
        <v>264</v>
      </c>
    </row>
    <row r="102" spans="1:33" ht="18.75" x14ac:dyDescent="0.25">
      <c r="A102" s="320" t="s">
        <v>103</v>
      </c>
      <c r="B102" s="249">
        <v>15</v>
      </c>
      <c r="C102" s="162">
        <v>17</v>
      </c>
      <c r="D102" s="162">
        <v>14</v>
      </c>
      <c r="E102" s="162">
        <v>16</v>
      </c>
      <c r="F102" s="162">
        <v>14</v>
      </c>
      <c r="G102" s="384">
        <v>14</v>
      </c>
      <c r="H102" s="162">
        <v>21</v>
      </c>
      <c r="I102" s="162">
        <v>19</v>
      </c>
      <c r="J102" s="162">
        <v>21</v>
      </c>
      <c r="K102" s="162">
        <v>17</v>
      </c>
      <c r="L102" s="162">
        <v>23</v>
      </c>
      <c r="M102" s="162">
        <v>17</v>
      </c>
      <c r="N102" s="162">
        <v>20</v>
      </c>
      <c r="O102" s="162">
        <v>17</v>
      </c>
      <c r="P102" s="162">
        <v>8</v>
      </c>
      <c r="Q102" s="162">
        <v>12</v>
      </c>
      <c r="R102" s="162">
        <v>18</v>
      </c>
      <c r="S102" s="162">
        <v>16</v>
      </c>
      <c r="T102" s="162">
        <v>15</v>
      </c>
      <c r="U102" s="162">
        <v>11</v>
      </c>
      <c r="V102" s="162">
        <v>19</v>
      </c>
      <c r="W102" s="162">
        <v>17</v>
      </c>
      <c r="X102" s="162">
        <v>27</v>
      </c>
      <c r="Y102" s="162">
        <v>15</v>
      </c>
      <c r="Z102" s="162">
        <v>20</v>
      </c>
      <c r="AA102" s="162">
        <v>12</v>
      </c>
      <c r="AB102" s="162">
        <v>22</v>
      </c>
      <c r="AC102" s="162">
        <v>15</v>
      </c>
      <c r="AD102" s="162">
        <v>18</v>
      </c>
      <c r="AE102" s="162">
        <v>13</v>
      </c>
      <c r="AF102" s="161"/>
      <c r="AG102" s="64">
        <f t="shared" si="15"/>
        <v>503</v>
      </c>
    </row>
    <row r="103" spans="1:33" ht="18.75" x14ac:dyDescent="0.25">
      <c r="A103" s="321" t="s">
        <v>102</v>
      </c>
      <c r="B103" s="249">
        <v>17</v>
      </c>
      <c r="C103" s="162">
        <v>18</v>
      </c>
      <c r="D103" s="162">
        <v>18</v>
      </c>
      <c r="E103" s="162">
        <v>20</v>
      </c>
      <c r="F103" s="162">
        <v>17</v>
      </c>
      <c r="G103" s="384">
        <v>9</v>
      </c>
      <c r="H103" s="162">
        <v>14</v>
      </c>
      <c r="I103" s="162">
        <v>16</v>
      </c>
      <c r="J103" s="162">
        <v>20</v>
      </c>
      <c r="K103" s="162">
        <v>12</v>
      </c>
      <c r="L103" s="162">
        <v>15</v>
      </c>
      <c r="M103" s="162">
        <v>13</v>
      </c>
      <c r="N103" s="162">
        <v>11</v>
      </c>
      <c r="O103" s="162">
        <v>12</v>
      </c>
      <c r="P103" s="162">
        <v>23</v>
      </c>
      <c r="Q103" s="162">
        <v>22</v>
      </c>
      <c r="R103" s="162">
        <v>22</v>
      </c>
      <c r="S103" s="162">
        <v>16</v>
      </c>
      <c r="T103" s="162">
        <v>11</v>
      </c>
      <c r="U103" s="162">
        <v>17</v>
      </c>
      <c r="V103" s="162">
        <v>21</v>
      </c>
      <c r="W103" s="162">
        <v>14</v>
      </c>
      <c r="X103" s="162">
        <v>18</v>
      </c>
      <c r="Y103" s="162">
        <v>18</v>
      </c>
      <c r="Z103" s="162">
        <v>19</v>
      </c>
      <c r="AA103" s="162">
        <v>18</v>
      </c>
      <c r="AB103" s="162">
        <v>17</v>
      </c>
      <c r="AC103" s="162">
        <v>17</v>
      </c>
      <c r="AD103" s="162">
        <v>22</v>
      </c>
      <c r="AE103" s="162">
        <v>19</v>
      </c>
      <c r="AF103" s="161"/>
      <c r="AG103" s="64">
        <f t="shared" si="15"/>
        <v>506</v>
      </c>
    </row>
    <row r="104" spans="1:33" ht="18.75" x14ac:dyDescent="0.25">
      <c r="A104" s="321" t="s">
        <v>101</v>
      </c>
      <c r="B104" s="249">
        <v>8</v>
      </c>
      <c r="C104" s="162">
        <v>14</v>
      </c>
      <c r="D104" s="162">
        <v>11</v>
      </c>
      <c r="E104" s="162">
        <v>7</v>
      </c>
      <c r="F104" s="162">
        <v>6</v>
      </c>
      <c r="G104" s="384">
        <v>5</v>
      </c>
      <c r="H104" s="162">
        <v>14</v>
      </c>
      <c r="I104" s="162">
        <v>12</v>
      </c>
      <c r="J104" s="162">
        <v>6</v>
      </c>
      <c r="K104" s="162">
        <v>12</v>
      </c>
      <c r="L104" s="162">
        <v>14</v>
      </c>
      <c r="M104" s="162">
        <v>7</v>
      </c>
      <c r="N104" s="162">
        <v>17</v>
      </c>
      <c r="O104" s="162">
        <v>9</v>
      </c>
      <c r="P104" s="162">
        <v>13</v>
      </c>
      <c r="Q104" s="162">
        <v>13</v>
      </c>
      <c r="R104" s="162">
        <v>19</v>
      </c>
      <c r="S104" s="162">
        <v>12</v>
      </c>
      <c r="T104" s="162">
        <v>15</v>
      </c>
      <c r="U104" s="162">
        <v>17</v>
      </c>
      <c r="V104" s="162">
        <v>20</v>
      </c>
      <c r="W104" s="162">
        <v>18</v>
      </c>
      <c r="X104" s="162">
        <v>16</v>
      </c>
      <c r="Y104" s="162">
        <v>15</v>
      </c>
      <c r="Z104" s="162">
        <v>15</v>
      </c>
      <c r="AA104" s="162">
        <v>18</v>
      </c>
      <c r="AB104" s="162">
        <v>15</v>
      </c>
      <c r="AC104" s="162">
        <v>21</v>
      </c>
      <c r="AD104" s="162">
        <v>12</v>
      </c>
      <c r="AE104" s="162">
        <v>16</v>
      </c>
      <c r="AF104" s="161"/>
      <c r="AG104" s="64">
        <f t="shared" si="15"/>
        <v>397</v>
      </c>
    </row>
    <row r="105" spans="1:33" ht="18.75" x14ac:dyDescent="0.25">
      <c r="A105" s="321" t="s">
        <v>100</v>
      </c>
      <c r="B105" s="249">
        <v>17</v>
      </c>
      <c r="C105" s="162">
        <v>11</v>
      </c>
      <c r="D105" s="162">
        <v>6</v>
      </c>
      <c r="E105" s="162">
        <v>10</v>
      </c>
      <c r="F105" s="162">
        <v>7</v>
      </c>
      <c r="G105" s="384">
        <v>17</v>
      </c>
      <c r="H105" s="162">
        <v>20</v>
      </c>
      <c r="I105" s="162">
        <v>11</v>
      </c>
      <c r="J105" s="162">
        <v>16</v>
      </c>
      <c r="K105" s="162">
        <v>4</v>
      </c>
      <c r="L105" s="162">
        <v>7</v>
      </c>
      <c r="M105" s="162">
        <v>11</v>
      </c>
      <c r="N105" s="162">
        <v>12</v>
      </c>
      <c r="O105" s="162">
        <v>17</v>
      </c>
      <c r="P105" s="162">
        <v>12</v>
      </c>
      <c r="Q105" s="162">
        <v>15</v>
      </c>
      <c r="R105" s="162">
        <v>8</v>
      </c>
      <c r="S105" s="162">
        <v>15</v>
      </c>
      <c r="T105" s="162">
        <v>12</v>
      </c>
      <c r="U105" s="162">
        <v>8</v>
      </c>
      <c r="V105" s="162">
        <v>13</v>
      </c>
      <c r="W105" s="162">
        <v>15</v>
      </c>
      <c r="X105" s="162">
        <v>12</v>
      </c>
      <c r="Y105" s="162">
        <v>9</v>
      </c>
      <c r="Z105" s="162">
        <v>12</v>
      </c>
      <c r="AA105" s="162">
        <v>9</v>
      </c>
      <c r="AB105" s="162">
        <v>11</v>
      </c>
      <c r="AC105" s="162">
        <v>13</v>
      </c>
      <c r="AD105" s="162">
        <v>17</v>
      </c>
      <c r="AE105" s="162">
        <v>16</v>
      </c>
      <c r="AF105" s="161"/>
      <c r="AG105" s="64">
        <f t="shared" si="15"/>
        <v>363</v>
      </c>
    </row>
    <row r="106" spans="1:33" ht="18.75" x14ac:dyDescent="0.25">
      <c r="A106" s="321" t="s">
        <v>99</v>
      </c>
      <c r="B106" s="249">
        <v>15</v>
      </c>
      <c r="C106" s="162">
        <v>14</v>
      </c>
      <c r="D106" s="162">
        <v>8</v>
      </c>
      <c r="E106" s="162">
        <v>12</v>
      </c>
      <c r="F106" s="162">
        <v>6</v>
      </c>
      <c r="G106" s="384">
        <v>9</v>
      </c>
      <c r="H106" s="162">
        <v>11</v>
      </c>
      <c r="I106" s="162">
        <v>7</v>
      </c>
      <c r="J106" s="162">
        <v>5</v>
      </c>
      <c r="K106" s="162">
        <v>8</v>
      </c>
      <c r="L106" s="162">
        <v>5</v>
      </c>
      <c r="M106" s="162">
        <v>8</v>
      </c>
      <c r="N106" s="162">
        <v>7</v>
      </c>
      <c r="O106" s="162">
        <v>8</v>
      </c>
      <c r="P106" s="162">
        <v>13</v>
      </c>
      <c r="Q106" s="162">
        <v>11</v>
      </c>
      <c r="R106" s="162">
        <v>5</v>
      </c>
      <c r="S106" s="162">
        <v>4</v>
      </c>
      <c r="T106" s="162">
        <v>5</v>
      </c>
      <c r="U106" s="162">
        <v>14</v>
      </c>
      <c r="V106" s="162">
        <v>8</v>
      </c>
      <c r="W106" s="162">
        <v>12</v>
      </c>
      <c r="X106" s="162">
        <v>11</v>
      </c>
      <c r="Y106" s="162">
        <v>12</v>
      </c>
      <c r="Z106" s="162">
        <v>12</v>
      </c>
      <c r="AA106" s="162">
        <v>7</v>
      </c>
      <c r="AB106" s="162">
        <v>15</v>
      </c>
      <c r="AC106" s="162">
        <v>15</v>
      </c>
      <c r="AD106" s="162">
        <v>19</v>
      </c>
      <c r="AE106" s="162">
        <v>13</v>
      </c>
      <c r="AF106" s="161"/>
      <c r="AG106" s="64">
        <f t="shared" si="15"/>
        <v>299</v>
      </c>
    </row>
    <row r="107" spans="1:33" ht="18.75" x14ac:dyDescent="0.25">
      <c r="A107" s="321" t="s">
        <v>98</v>
      </c>
      <c r="B107" s="249">
        <v>17</v>
      </c>
      <c r="C107" s="162">
        <v>17</v>
      </c>
      <c r="D107" s="162">
        <v>6</v>
      </c>
      <c r="E107" s="162">
        <v>6</v>
      </c>
      <c r="F107" s="162">
        <v>8</v>
      </c>
      <c r="G107" s="384">
        <v>8</v>
      </c>
      <c r="H107" s="162">
        <v>12</v>
      </c>
      <c r="I107" s="162">
        <v>11</v>
      </c>
      <c r="J107" s="162">
        <v>7</v>
      </c>
      <c r="K107" s="162">
        <v>7</v>
      </c>
      <c r="L107" s="162">
        <v>3</v>
      </c>
      <c r="M107" s="162">
        <v>13</v>
      </c>
      <c r="N107" s="162">
        <v>16</v>
      </c>
      <c r="O107" s="162">
        <v>8</v>
      </c>
      <c r="P107" s="162">
        <v>7</v>
      </c>
      <c r="Q107" s="162">
        <v>7</v>
      </c>
      <c r="R107" s="162">
        <v>8</v>
      </c>
      <c r="S107" s="162">
        <v>7</v>
      </c>
      <c r="T107" s="162">
        <v>15</v>
      </c>
      <c r="U107" s="162">
        <v>13</v>
      </c>
      <c r="V107" s="162">
        <v>11</v>
      </c>
      <c r="W107" s="162">
        <v>13</v>
      </c>
      <c r="X107" s="162">
        <v>9</v>
      </c>
      <c r="Y107" s="162">
        <v>5</v>
      </c>
      <c r="Z107" s="162">
        <v>11</v>
      </c>
      <c r="AA107" s="162">
        <v>13</v>
      </c>
      <c r="AB107" s="162">
        <v>14</v>
      </c>
      <c r="AC107" s="162">
        <v>13</v>
      </c>
      <c r="AD107" s="162">
        <v>19</v>
      </c>
      <c r="AE107" s="162">
        <v>15</v>
      </c>
      <c r="AF107" s="161"/>
      <c r="AG107" s="64">
        <f t="shared" si="15"/>
        <v>319</v>
      </c>
    </row>
    <row r="108" spans="1:33" ht="18.75" x14ac:dyDescent="0.25">
      <c r="A108" s="321" t="s">
        <v>97</v>
      </c>
      <c r="B108" s="249">
        <v>13</v>
      </c>
      <c r="C108" s="162">
        <v>11</v>
      </c>
      <c r="D108" s="162">
        <v>14</v>
      </c>
      <c r="E108" s="162">
        <v>8</v>
      </c>
      <c r="F108" s="162">
        <v>3</v>
      </c>
      <c r="G108" s="384">
        <v>12</v>
      </c>
      <c r="H108" s="162">
        <v>15</v>
      </c>
      <c r="I108" s="162">
        <v>12</v>
      </c>
      <c r="J108" s="162">
        <v>6</v>
      </c>
      <c r="K108" s="162">
        <v>3</v>
      </c>
      <c r="L108" s="162">
        <v>6</v>
      </c>
      <c r="M108" s="162">
        <v>8</v>
      </c>
      <c r="N108" s="162">
        <v>11</v>
      </c>
      <c r="O108" s="162">
        <v>15</v>
      </c>
      <c r="P108" s="162">
        <v>11</v>
      </c>
      <c r="Q108" s="162">
        <v>14</v>
      </c>
      <c r="R108" s="162">
        <v>7</v>
      </c>
      <c r="S108" s="162">
        <v>8</v>
      </c>
      <c r="T108" s="162">
        <v>10</v>
      </c>
      <c r="U108" s="162">
        <v>13</v>
      </c>
      <c r="V108" s="162">
        <v>9</v>
      </c>
      <c r="W108" s="162">
        <v>17</v>
      </c>
      <c r="X108" s="162">
        <v>11</v>
      </c>
      <c r="Y108" s="162">
        <v>11</v>
      </c>
      <c r="Z108" s="162">
        <v>14</v>
      </c>
      <c r="AA108" s="162">
        <v>7</v>
      </c>
      <c r="AB108" s="162">
        <v>18</v>
      </c>
      <c r="AC108" s="162">
        <v>11</v>
      </c>
      <c r="AD108" s="162">
        <v>12</v>
      </c>
      <c r="AE108" s="162">
        <v>9</v>
      </c>
      <c r="AF108" s="161"/>
      <c r="AG108" s="64">
        <f t="shared" si="15"/>
        <v>319</v>
      </c>
    </row>
    <row r="109" spans="1:33" ht="18.75" x14ac:dyDescent="0.25">
      <c r="A109" s="321" t="s">
        <v>96</v>
      </c>
      <c r="B109" s="249">
        <v>8</v>
      </c>
      <c r="C109" s="162">
        <v>12</v>
      </c>
      <c r="D109" s="162">
        <v>7</v>
      </c>
      <c r="E109" s="162">
        <v>4</v>
      </c>
      <c r="F109" s="162">
        <v>1</v>
      </c>
      <c r="G109" s="384">
        <v>7</v>
      </c>
      <c r="H109" s="162">
        <v>11</v>
      </c>
      <c r="I109" s="162">
        <v>15</v>
      </c>
      <c r="J109" s="162">
        <v>7</v>
      </c>
      <c r="K109" s="162">
        <v>13</v>
      </c>
      <c r="L109" s="162">
        <v>11</v>
      </c>
      <c r="M109" s="162">
        <v>15</v>
      </c>
      <c r="N109" s="162">
        <v>15</v>
      </c>
      <c r="O109" s="162">
        <v>13</v>
      </c>
      <c r="P109" s="162">
        <v>13</v>
      </c>
      <c r="Q109" s="162">
        <v>15</v>
      </c>
      <c r="R109" s="162">
        <v>8</v>
      </c>
      <c r="S109" s="162">
        <v>7</v>
      </c>
      <c r="T109" s="162">
        <v>5</v>
      </c>
      <c r="U109" s="162">
        <v>10</v>
      </c>
      <c r="V109" s="162">
        <v>16</v>
      </c>
      <c r="W109" s="162">
        <v>7</v>
      </c>
      <c r="X109" s="162">
        <v>18</v>
      </c>
      <c r="Y109" s="162">
        <v>1</v>
      </c>
      <c r="Z109" s="162">
        <v>6</v>
      </c>
      <c r="AA109" s="162">
        <v>8</v>
      </c>
      <c r="AB109" s="162">
        <v>14</v>
      </c>
      <c r="AC109" s="162">
        <v>13</v>
      </c>
      <c r="AD109" s="162">
        <v>15</v>
      </c>
      <c r="AE109" s="162">
        <v>9</v>
      </c>
      <c r="AF109" s="161"/>
      <c r="AG109" s="64">
        <f t="shared" si="15"/>
        <v>304</v>
      </c>
    </row>
    <row r="110" spans="1:33" ht="18.75" x14ac:dyDescent="0.25">
      <c r="A110" s="321" t="s">
        <v>95</v>
      </c>
      <c r="B110" s="249">
        <v>10</v>
      </c>
      <c r="C110" s="162">
        <v>16</v>
      </c>
      <c r="D110" s="162">
        <v>6</v>
      </c>
      <c r="E110" s="162">
        <v>6</v>
      </c>
      <c r="F110" s="162">
        <v>7</v>
      </c>
      <c r="G110" s="384">
        <v>11</v>
      </c>
      <c r="H110" s="162">
        <v>12</v>
      </c>
      <c r="I110" s="162">
        <v>8</v>
      </c>
      <c r="J110" s="162">
        <v>5</v>
      </c>
      <c r="K110" s="162">
        <v>7</v>
      </c>
      <c r="L110" s="162">
        <v>6</v>
      </c>
      <c r="M110" s="162">
        <v>3</v>
      </c>
      <c r="N110" s="162">
        <v>12</v>
      </c>
      <c r="O110" s="162">
        <v>15</v>
      </c>
      <c r="P110" s="162">
        <v>7</v>
      </c>
      <c r="Q110" s="162">
        <v>4</v>
      </c>
      <c r="R110" s="162">
        <v>7</v>
      </c>
      <c r="S110" s="162">
        <v>9</v>
      </c>
      <c r="T110" s="162">
        <v>8</v>
      </c>
      <c r="U110" s="162">
        <v>8</v>
      </c>
      <c r="V110" s="162">
        <v>15</v>
      </c>
      <c r="W110" s="162">
        <v>10</v>
      </c>
      <c r="X110" s="162">
        <v>8</v>
      </c>
      <c r="Y110" s="162">
        <v>7</v>
      </c>
      <c r="Z110" s="162">
        <v>5</v>
      </c>
      <c r="AA110" s="162">
        <v>11</v>
      </c>
      <c r="AB110" s="162">
        <v>10</v>
      </c>
      <c r="AC110" s="162">
        <v>12</v>
      </c>
      <c r="AD110" s="162">
        <v>13</v>
      </c>
      <c r="AE110" s="162">
        <v>8</v>
      </c>
      <c r="AF110" s="161"/>
      <c r="AG110" s="64">
        <f t="shared" si="15"/>
        <v>266</v>
      </c>
    </row>
    <row r="111" spans="1:33" ht="18.75" x14ac:dyDescent="0.25">
      <c r="A111" s="321" t="s">
        <v>94</v>
      </c>
      <c r="B111" s="249">
        <v>14</v>
      </c>
      <c r="C111" s="162">
        <v>9</v>
      </c>
      <c r="D111" s="162">
        <v>12</v>
      </c>
      <c r="E111" s="162">
        <v>5</v>
      </c>
      <c r="F111" s="162">
        <v>8</v>
      </c>
      <c r="G111" s="384">
        <v>10</v>
      </c>
      <c r="H111" s="162">
        <v>10</v>
      </c>
      <c r="I111" s="162">
        <v>6</v>
      </c>
      <c r="J111" s="162">
        <v>4</v>
      </c>
      <c r="K111" s="162">
        <v>10</v>
      </c>
      <c r="L111" s="162">
        <v>5</v>
      </c>
      <c r="M111" s="162">
        <v>10</v>
      </c>
      <c r="N111" s="162">
        <v>10</v>
      </c>
      <c r="O111" s="162">
        <v>8</v>
      </c>
      <c r="P111" s="162">
        <v>5</v>
      </c>
      <c r="Q111" s="162">
        <v>9</v>
      </c>
      <c r="R111" s="162">
        <v>9</v>
      </c>
      <c r="S111" s="162">
        <v>16</v>
      </c>
      <c r="T111" s="162">
        <v>8</v>
      </c>
      <c r="U111" s="162">
        <v>2</v>
      </c>
      <c r="V111" s="162">
        <v>7</v>
      </c>
      <c r="W111" s="162">
        <v>5</v>
      </c>
      <c r="X111" s="162">
        <v>6</v>
      </c>
      <c r="Y111" s="162">
        <v>7</v>
      </c>
      <c r="Z111" s="162">
        <v>7</v>
      </c>
      <c r="AA111" s="162">
        <v>4</v>
      </c>
      <c r="AB111" s="162">
        <v>11</v>
      </c>
      <c r="AC111" s="162">
        <v>8</v>
      </c>
      <c r="AD111" s="162">
        <v>6</v>
      </c>
      <c r="AE111" s="162">
        <v>8</v>
      </c>
      <c r="AF111" s="161"/>
      <c r="AG111" s="64">
        <f t="shared" si="15"/>
        <v>239</v>
      </c>
    </row>
    <row r="112" spans="1:33" ht="18.75" x14ac:dyDescent="0.25">
      <c r="A112" s="321" t="s">
        <v>93</v>
      </c>
      <c r="B112" s="249">
        <v>3</v>
      </c>
      <c r="C112" s="162">
        <v>5</v>
      </c>
      <c r="D112" s="162">
        <v>4</v>
      </c>
      <c r="E112" s="162">
        <v>8</v>
      </c>
      <c r="F112" s="162">
        <v>2</v>
      </c>
      <c r="G112" s="384">
        <v>6</v>
      </c>
      <c r="H112" s="162">
        <v>4</v>
      </c>
      <c r="I112" s="162">
        <v>5</v>
      </c>
      <c r="J112" s="162">
        <v>5</v>
      </c>
      <c r="K112" s="162">
        <v>3</v>
      </c>
      <c r="L112" s="162">
        <v>4</v>
      </c>
      <c r="M112" s="162">
        <v>3</v>
      </c>
      <c r="N112" s="162">
        <v>8</v>
      </c>
      <c r="O112" s="162">
        <v>7</v>
      </c>
      <c r="P112" s="162">
        <v>3</v>
      </c>
      <c r="Q112" s="162">
        <v>6</v>
      </c>
      <c r="R112" s="162">
        <v>11</v>
      </c>
      <c r="S112" s="162">
        <v>3</v>
      </c>
      <c r="T112" s="162">
        <v>7</v>
      </c>
      <c r="U112" s="162">
        <v>9</v>
      </c>
      <c r="V112" s="162">
        <v>4</v>
      </c>
      <c r="W112" s="162">
        <v>3</v>
      </c>
      <c r="X112" s="162">
        <v>9</v>
      </c>
      <c r="Y112" s="162">
        <v>5</v>
      </c>
      <c r="Z112" s="162">
        <v>7</v>
      </c>
      <c r="AA112" s="162">
        <v>3</v>
      </c>
      <c r="AB112" s="162">
        <v>2</v>
      </c>
      <c r="AC112" s="162">
        <v>5</v>
      </c>
      <c r="AD112" s="162">
        <v>9</v>
      </c>
      <c r="AE112" s="162">
        <v>3</v>
      </c>
      <c r="AF112" s="161"/>
      <c r="AG112" s="64">
        <f t="shared" si="15"/>
        <v>156</v>
      </c>
    </row>
    <row r="113" spans="1:33" ht="18.75" x14ac:dyDescent="0.25">
      <c r="A113" s="321" t="s">
        <v>92</v>
      </c>
      <c r="B113" s="249">
        <v>4</v>
      </c>
      <c r="C113" s="162">
        <v>3</v>
      </c>
      <c r="D113" s="162">
        <v>3</v>
      </c>
      <c r="E113" s="162">
        <v>1</v>
      </c>
      <c r="F113" s="162">
        <v>4</v>
      </c>
      <c r="G113" s="384">
        <v>8</v>
      </c>
      <c r="H113" s="162">
        <v>6</v>
      </c>
      <c r="I113" s="162">
        <v>7</v>
      </c>
      <c r="J113" s="162">
        <v>4</v>
      </c>
      <c r="K113" s="162">
        <v>4</v>
      </c>
      <c r="L113" s="162">
        <v>6</v>
      </c>
      <c r="M113" s="162">
        <v>4</v>
      </c>
      <c r="N113" s="162">
        <v>8</v>
      </c>
      <c r="O113" s="162">
        <v>3</v>
      </c>
      <c r="P113" s="162">
        <v>1</v>
      </c>
      <c r="Q113" s="162">
        <v>7</v>
      </c>
      <c r="R113" s="162">
        <v>2</v>
      </c>
      <c r="S113" s="162">
        <v>3</v>
      </c>
      <c r="T113" s="162">
        <v>3</v>
      </c>
      <c r="U113" s="162">
        <v>8</v>
      </c>
      <c r="V113" s="162">
        <v>4</v>
      </c>
      <c r="W113" s="162">
        <v>5</v>
      </c>
      <c r="X113" s="162">
        <v>2</v>
      </c>
      <c r="Y113" s="162">
        <v>4</v>
      </c>
      <c r="Z113" s="162">
        <v>5</v>
      </c>
      <c r="AA113" s="162">
        <v>7</v>
      </c>
      <c r="AB113" s="162">
        <v>5</v>
      </c>
      <c r="AC113" s="162">
        <v>9</v>
      </c>
      <c r="AD113" s="162">
        <v>5</v>
      </c>
      <c r="AE113" s="162">
        <v>8</v>
      </c>
      <c r="AF113" s="161"/>
      <c r="AG113" s="64">
        <f t="shared" si="15"/>
        <v>143</v>
      </c>
    </row>
    <row r="114" spans="1:33" ht="18.75" x14ac:dyDescent="0.25">
      <c r="A114" s="321" t="s">
        <v>91</v>
      </c>
      <c r="B114" s="249">
        <v>5</v>
      </c>
      <c r="C114" s="162">
        <v>14</v>
      </c>
      <c r="D114" s="162">
        <v>3</v>
      </c>
      <c r="E114" s="162">
        <v>5</v>
      </c>
      <c r="F114" s="162">
        <v>5</v>
      </c>
      <c r="G114" s="384">
        <v>6</v>
      </c>
      <c r="H114" s="162">
        <v>2</v>
      </c>
      <c r="I114" s="162">
        <v>7</v>
      </c>
      <c r="J114" s="162">
        <v>8</v>
      </c>
      <c r="K114" s="162">
        <v>3</v>
      </c>
      <c r="L114" s="162">
        <v>4</v>
      </c>
      <c r="M114" s="162">
        <v>3</v>
      </c>
      <c r="N114" s="162">
        <v>5</v>
      </c>
      <c r="O114" s="162">
        <v>3</v>
      </c>
      <c r="P114" s="162">
        <v>4</v>
      </c>
      <c r="Q114" s="162">
        <v>9</v>
      </c>
      <c r="R114" s="162">
        <v>2</v>
      </c>
      <c r="S114" s="162">
        <v>9</v>
      </c>
      <c r="T114" s="162">
        <v>3</v>
      </c>
      <c r="U114" s="162">
        <v>7</v>
      </c>
      <c r="V114" s="162">
        <v>7</v>
      </c>
      <c r="W114" s="162">
        <v>8</v>
      </c>
      <c r="X114" s="162">
        <v>7</v>
      </c>
      <c r="Y114" s="162">
        <v>10</v>
      </c>
      <c r="Z114" s="162">
        <v>11</v>
      </c>
      <c r="AA114" s="162">
        <v>6</v>
      </c>
      <c r="AB114" s="162">
        <v>12</v>
      </c>
      <c r="AC114" s="162">
        <v>6</v>
      </c>
      <c r="AD114" s="162">
        <v>8</v>
      </c>
      <c r="AE114" s="162">
        <v>6</v>
      </c>
      <c r="AF114" s="161"/>
      <c r="AG114" s="64">
        <f t="shared" si="15"/>
        <v>188</v>
      </c>
    </row>
    <row r="115" spans="1:33" ht="19.5" thickBot="1" x14ac:dyDescent="0.3">
      <c r="A115" s="322"/>
      <c r="B115" s="255"/>
      <c r="C115" s="169"/>
      <c r="D115" s="169"/>
      <c r="E115" s="169"/>
      <c r="F115" s="169"/>
      <c r="G115" s="387"/>
      <c r="H115" s="169"/>
      <c r="I115" s="169"/>
      <c r="J115" s="169"/>
      <c r="K115" s="169"/>
      <c r="L115" s="169"/>
      <c r="M115" s="169"/>
      <c r="N115" s="169"/>
      <c r="O115" s="169"/>
      <c r="P115" s="169"/>
      <c r="Q115" s="169"/>
      <c r="R115" s="169"/>
      <c r="S115" s="169"/>
      <c r="T115" s="169"/>
      <c r="U115" s="169"/>
      <c r="V115" s="169"/>
      <c r="W115" s="169"/>
      <c r="X115" s="169"/>
      <c r="Y115" s="169"/>
      <c r="Z115" s="169"/>
      <c r="AA115" s="169"/>
      <c r="AB115" s="169"/>
      <c r="AC115" s="169"/>
      <c r="AD115" s="169"/>
      <c r="AE115" s="169"/>
      <c r="AF115" s="168"/>
      <c r="AG115" s="64">
        <f t="shared" si="15"/>
        <v>0</v>
      </c>
    </row>
    <row r="116" spans="1:33" ht="18.75" x14ac:dyDescent="0.25">
      <c r="A116" s="315" t="s">
        <v>90</v>
      </c>
      <c r="B116" s="261">
        <f t="shared" ref="B116:AF116" si="17">SUM(B117:B129)</f>
        <v>53</v>
      </c>
      <c r="C116" s="166">
        <f t="shared" si="17"/>
        <v>55</v>
      </c>
      <c r="D116" s="166">
        <f t="shared" si="17"/>
        <v>38</v>
      </c>
      <c r="E116" s="166">
        <f t="shared" si="17"/>
        <v>31</v>
      </c>
      <c r="F116" s="166">
        <f t="shared" si="17"/>
        <v>34</v>
      </c>
      <c r="G116" s="386">
        <f t="shared" si="17"/>
        <v>0</v>
      </c>
      <c r="H116" s="166">
        <f t="shared" si="17"/>
        <v>40</v>
      </c>
      <c r="I116" s="166">
        <f t="shared" si="17"/>
        <v>33</v>
      </c>
      <c r="J116" s="166">
        <f t="shared" si="17"/>
        <v>22</v>
      </c>
      <c r="K116" s="166">
        <f t="shared" si="17"/>
        <v>33</v>
      </c>
      <c r="L116" s="166">
        <f t="shared" si="17"/>
        <v>31</v>
      </c>
      <c r="M116" s="166">
        <f t="shared" si="17"/>
        <v>40</v>
      </c>
      <c r="N116" s="166">
        <f t="shared" si="17"/>
        <v>48</v>
      </c>
      <c r="O116" s="166">
        <f t="shared" si="17"/>
        <v>35</v>
      </c>
      <c r="P116" s="166">
        <f t="shared" si="17"/>
        <v>32</v>
      </c>
      <c r="Q116" s="166">
        <f t="shared" si="17"/>
        <v>52</v>
      </c>
      <c r="R116" s="166">
        <f t="shared" si="17"/>
        <v>28</v>
      </c>
      <c r="S116" s="166">
        <f t="shared" si="17"/>
        <v>36</v>
      </c>
      <c r="T116" s="166">
        <f t="shared" si="17"/>
        <v>42</v>
      </c>
      <c r="U116" s="166">
        <f t="shared" si="17"/>
        <v>43</v>
      </c>
      <c r="V116" s="166">
        <f t="shared" si="17"/>
        <v>43</v>
      </c>
      <c r="W116" s="166">
        <f t="shared" si="17"/>
        <v>41</v>
      </c>
      <c r="X116" s="166">
        <f t="shared" si="17"/>
        <v>49</v>
      </c>
      <c r="Y116" s="166">
        <f t="shared" si="17"/>
        <v>40</v>
      </c>
      <c r="Z116" s="166">
        <f t="shared" si="17"/>
        <v>35</v>
      </c>
      <c r="AA116" s="166">
        <f t="shared" si="17"/>
        <v>50</v>
      </c>
      <c r="AB116" s="166">
        <f t="shared" si="17"/>
        <v>61</v>
      </c>
      <c r="AC116" s="166">
        <f t="shared" si="17"/>
        <v>56</v>
      </c>
      <c r="AD116" s="166">
        <f t="shared" si="17"/>
        <v>59</v>
      </c>
      <c r="AE116" s="166">
        <f t="shared" si="17"/>
        <v>46</v>
      </c>
      <c r="AF116" s="165">
        <f t="shared" si="17"/>
        <v>0</v>
      </c>
      <c r="AG116" s="64">
        <f t="shared" si="15"/>
        <v>1206</v>
      </c>
    </row>
    <row r="117" spans="1:33" ht="18.75" x14ac:dyDescent="0.25">
      <c r="A117" s="323" t="s">
        <v>67</v>
      </c>
      <c r="B117" s="249">
        <v>33</v>
      </c>
      <c r="C117" s="162">
        <v>29</v>
      </c>
      <c r="D117" s="162">
        <v>25</v>
      </c>
      <c r="E117" s="162">
        <v>22</v>
      </c>
      <c r="F117" s="162">
        <v>23</v>
      </c>
      <c r="G117" s="384"/>
      <c r="H117" s="162">
        <v>25</v>
      </c>
      <c r="I117" s="162">
        <v>17</v>
      </c>
      <c r="J117" s="162">
        <v>15</v>
      </c>
      <c r="K117" s="162">
        <v>19</v>
      </c>
      <c r="L117" s="162">
        <v>20</v>
      </c>
      <c r="M117" s="162">
        <v>22</v>
      </c>
      <c r="N117" s="162">
        <v>31</v>
      </c>
      <c r="O117" s="162">
        <v>20</v>
      </c>
      <c r="P117" s="162">
        <v>22</v>
      </c>
      <c r="Q117" s="162">
        <v>36</v>
      </c>
      <c r="R117" s="162">
        <v>18</v>
      </c>
      <c r="S117" s="162">
        <v>27</v>
      </c>
      <c r="T117" s="162">
        <v>31</v>
      </c>
      <c r="U117" s="162">
        <v>28</v>
      </c>
      <c r="V117" s="162">
        <v>24</v>
      </c>
      <c r="W117" s="162">
        <v>28</v>
      </c>
      <c r="X117" s="162">
        <v>26</v>
      </c>
      <c r="Y117" s="162">
        <v>25</v>
      </c>
      <c r="Z117" s="162">
        <v>22</v>
      </c>
      <c r="AA117" s="162">
        <v>30</v>
      </c>
      <c r="AB117" s="162">
        <v>43</v>
      </c>
      <c r="AC117" s="162">
        <v>37</v>
      </c>
      <c r="AD117" s="162">
        <v>42</v>
      </c>
      <c r="AE117" s="162">
        <v>28</v>
      </c>
      <c r="AF117" s="161"/>
      <c r="AG117" s="64">
        <f t="shared" si="15"/>
        <v>768</v>
      </c>
    </row>
    <row r="118" spans="1:33" ht="19.5" hidden="1" customHeight="1" thickBot="1" x14ac:dyDescent="0.3">
      <c r="A118" s="323" t="s">
        <v>69</v>
      </c>
      <c r="B118" s="249"/>
      <c r="C118" s="162"/>
      <c r="D118" s="162"/>
      <c r="E118" s="162"/>
      <c r="F118" s="162"/>
      <c r="G118" s="384"/>
      <c r="H118" s="162"/>
      <c r="I118" s="162"/>
      <c r="J118" s="162"/>
      <c r="K118" s="162"/>
      <c r="L118" s="162"/>
      <c r="M118" s="162"/>
      <c r="N118" s="162"/>
      <c r="O118" s="162"/>
      <c r="P118" s="162"/>
      <c r="Q118" s="162"/>
      <c r="R118" s="162"/>
      <c r="S118" s="162"/>
      <c r="T118" s="162"/>
      <c r="U118" s="162"/>
      <c r="V118" s="162"/>
      <c r="W118" s="162"/>
      <c r="X118" s="162"/>
      <c r="Y118" s="162"/>
      <c r="Z118" s="162"/>
      <c r="AA118" s="162"/>
      <c r="AB118" s="162"/>
      <c r="AC118" s="162"/>
      <c r="AD118" s="162"/>
      <c r="AE118" s="162"/>
      <c r="AF118" s="161"/>
      <c r="AG118" s="64">
        <f t="shared" si="15"/>
        <v>0</v>
      </c>
    </row>
    <row r="119" spans="1:33" ht="19.5" hidden="1" customHeight="1" thickBot="1" x14ac:dyDescent="0.3">
      <c r="A119" s="323" t="s">
        <v>68</v>
      </c>
      <c r="B119" s="249"/>
      <c r="C119" s="162"/>
      <c r="D119" s="162"/>
      <c r="E119" s="162"/>
      <c r="F119" s="162"/>
      <c r="G119" s="384"/>
      <c r="H119" s="162"/>
      <c r="I119" s="162"/>
      <c r="J119" s="162"/>
      <c r="K119" s="162"/>
      <c r="L119" s="162"/>
      <c r="M119" s="162"/>
      <c r="N119" s="162"/>
      <c r="O119" s="162"/>
      <c r="P119" s="162"/>
      <c r="Q119" s="162"/>
      <c r="R119" s="162"/>
      <c r="S119" s="162"/>
      <c r="T119" s="162"/>
      <c r="U119" s="162"/>
      <c r="V119" s="162"/>
      <c r="W119" s="162"/>
      <c r="X119" s="162"/>
      <c r="Y119" s="162"/>
      <c r="Z119" s="162"/>
      <c r="AA119" s="162"/>
      <c r="AB119" s="162"/>
      <c r="AC119" s="162"/>
      <c r="AD119" s="162"/>
      <c r="AE119" s="162"/>
      <c r="AF119" s="161"/>
      <c r="AG119" s="64">
        <f t="shared" si="15"/>
        <v>0</v>
      </c>
    </row>
    <row r="120" spans="1:33" ht="19.5" hidden="1" customHeight="1" thickBot="1" x14ac:dyDescent="0.3">
      <c r="A120" s="323" t="s">
        <v>66</v>
      </c>
      <c r="B120" s="249"/>
      <c r="C120" s="162"/>
      <c r="D120" s="162"/>
      <c r="E120" s="162"/>
      <c r="F120" s="162"/>
      <c r="G120" s="384"/>
      <c r="H120" s="162"/>
      <c r="I120" s="162"/>
      <c r="J120" s="162"/>
      <c r="K120" s="162"/>
      <c r="L120" s="162"/>
      <c r="M120" s="162"/>
      <c r="N120" s="162"/>
      <c r="O120" s="162"/>
      <c r="P120" s="162"/>
      <c r="Q120" s="162"/>
      <c r="R120" s="162"/>
      <c r="S120" s="162"/>
      <c r="T120" s="162"/>
      <c r="U120" s="162"/>
      <c r="V120" s="162"/>
      <c r="W120" s="162"/>
      <c r="X120" s="162"/>
      <c r="Y120" s="162"/>
      <c r="Z120" s="162"/>
      <c r="AA120" s="162"/>
      <c r="AB120" s="162"/>
      <c r="AC120" s="162"/>
      <c r="AD120" s="162"/>
      <c r="AE120" s="162"/>
      <c r="AF120" s="161"/>
      <c r="AG120" s="64">
        <f t="shared" si="15"/>
        <v>0</v>
      </c>
    </row>
    <row r="121" spans="1:33" ht="19.5" hidden="1" customHeight="1" thickBot="1" x14ac:dyDescent="0.3">
      <c r="A121" s="323" t="s">
        <v>65</v>
      </c>
      <c r="B121" s="249"/>
      <c r="C121" s="162"/>
      <c r="D121" s="162"/>
      <c r="E121" s="162"/>
      <c r="F121" s="162"/>
      <c r="G121" s="384"/>
      <c r="H121" s="162"/>
      <c r="I121" s="162"/>
      <c r="J121" s="162"/>
      <c r="K121" s="162"/>
      <c r="L121" s="162"/>
      <c r="M121" s="162"/>
      <c r="N121" s="162"/>
      <c r="O121" s="162"/>
      <c r="P121" s="162"/>
      <c r="Q121" s="162"/>
      <c r="R121" s="162"/>
      <c r="S121" s="162"/>
      <c r="T121" s="162"/>
      <c r="U121" s="162"/>
      <c r="V121" s="162"/>
      <c r="W121" s="162"/>
      <c r="X121" s="162"/>
      <c r="Y121" s="162"/>
      <c r="Z121" s="162"/>
      <c r="AA121" s="162"/>
      <c r="AB121" s="162"/>
      <c r="AC121" s="162"/>
      <c r="AD121" s="162"/>
      <c r="AE121" s="162"/>
      <c r="AF121" s="161"/>
      <c r="AG121" s="64">
        <f t="shared" si="15"/>
        <v>0</v>
      </c>
    </row>
    <row r="122" spans="1:33" ht="19.5" hidden="1" customHeight="1" thickBot="1" x14ac:dyDescent="0.3">
      <c r="A122" s="323" t="s">
        <v>64</v>
      </c>
      <c r="B122" s="249"/>
      <c r="C122" s="162"/>
      <c r="D122" s="162"/>
      <c r="E122" s="162"/>
      <c r="F122" s="162"/>
      <c r="G122" s="384"/>
      <c r="H122" s="162"/>
      <c r="I122" s="162"/>
      <c r="J122" s="162"/>
      <c r="K122" s="162"/>
      <c r="L122" s="162"/>
      <c r="M122" s="162"/>
      <c r="N122" s="162"/>
      <c r="O122" s="162"/>
      <c r="P122" s="162"/>
      <c r="Q122" s="162"/>
      <c r="R122" s="162"/>
      <c r="S122" s="162"/>
      <c r="T122" s="162"/>
      <c r="U122" s="162"/>
      <c r="V122" s="162"/>
      <c r="W122" s="162"/>
      <c r="X122" s="162"/>
      <c r="Y122" s="162"/>
      <c r="Z122" s="162"/>
      <c r="AA122" s="162"/>
      <c r="AB122" s="162"/>
      <c r="AC122" s="162"/>
      <c r="AD122" s="162"/>
      <c r="AE122" s="162"/>
      <c r="AF122" s="161"/>
      <c r="AG122" s="64">
        <f t="shared" si="15"/>
        <v>0</v>
      </c>
    </row>
    <row r="123" spans="1:33" ht="19.5" hidden="1" customHeight="1" thickBot="1" x14ac:dyDescent="0.3">
      <c r="A123" s="323" t="s">
        <v>63</v>
      </c>
      <c r="B123" s="249"/>
      <c r="C123" s="162"/>
      <c r="D123" s="162"/>
      <c r="E123" s="162"/>
      <c r="F123" s="162"/>
      <c r="G123" s="384"/>
      <c r="H123" s="162"/>
      <c r="I123" s="162"/>
      <c r="J123" s="162"/>
      <c r="K123" s="162"/>
      <c r="L123" s="162"/>
      <c r="M123" s="162"/>
      <c r="N123" s="162"/>
      <c r="O123" s="162"/>
      <c r="P123" s="162"/>
      <c r="Q123" s="162"/>
      <c r="R123" s="162"/>
      <c r="S123" s="162"/>
      <c r="T123" s="162"/>
      <c r="U123" s="162"/>
      <c r="V123" s="162"/>
      <c r="W123" s="162"/>
      <c r="X123" s="162"/>
      <c r="Y123" s="162"/>
      <c r="Z123" s="162"/>
      <c r="AA123" s="162"/>
      <c r="AB123" s="162"/>
      <c r="AC123" s="162"/>
      <c r="AD123" s="162"/>
      <c r="AE123" s="162"/>
      <c r="AF123" s="161"/>
      <c r="AG123" s="64">
        <f t="shared" si="15"/>
        <v>0</v>
      </c>
    </row>
    <row r="124" spans="1:33" ht="19.5" hidden="1" customHeight="1" thickBot="1" x14ac:dyDescent="0.3">
      <c r="A124" s="323" t="s">
        <v>62</v>
      </c>
      <c r="B124" s="249"/>
      <c r="C124" s="162"/>
      <c r="D124" s="162"/>
      <c r="E124" s="162"/>
      <c r="F124" s="162"/>
      <c r="G124" s="384"/>
      <c r="H124" s="162"/>
      <c r="I124" s="162"/>
      <c r="J124" s="162"/>
      <c r="K124" s="162"/>
      <c r="L124" s="162"/>
      <c r="M124" s="162"/>
      <c r="N124" s="162"/>
      <c r="O124" s="162"/>
      <c r="P124" s="162"/>
      <c r="Q124" s="162"/>
      <c r="R124" s="162"/>
      <c r="S124" s="162"/>
      <c r="T124" s="162"/>
      <c r="U124" s="162"/>
      <c r="V124" s="162"/>
      <c r="W124" s="162"/>
      <c r="X124" s="162"/>
      <c r="Y124" s="162"/>
      <c r="Z124" s="162"/>
      <c r="AA124" s="162"/>
      <c r="AB124" s="162"/>
      <c r="AC124" s="162"/>
      <c r="AD124" s="162"/>
      <c r="AE124" s="162"/>
      <c r="AF124" s="161"/>
      <c r="AG124" s="64">
        <f t="shared" si="15"/>
        <v>0</v>
      </c>
    </row>
    <row r="125" spans="1:33" ht="19.5" hidden="1" customHeight="1" thickBot="1" x14ac:dyDescent="0.3">
      <c r="A125" s="301" t="s">
        <v>60</v>
      </c>
      <c r="B125" s="249"/>
      <c r="C125" s="162"/>
      <c r="D125" s="162"/>
      <c r="E125" s="162"/>
      <c r="F125" s="162"/>
      <c r="G125" s="384"/>
      <c r="H125" s="162"/>
      <c r="I125" s="162"/>
      <c r="J125" s="162"/>
      <c r="K125" s="162"/>
      <c r="L125" s="162"/>
      <c r="M125" s="162"/>
      <c r="N125" s="162"/>
      <c r="O125" s="162"/>
      <c r="P125" s="162"/>
      <c r="Q125" s="162"/>
      <c r="R125" s="162"/>
      <c r="S125" s="162"/>
      <c r="T125" s="162"/>
      <c r="U125" s="162"/>
      <c r="V125" s="162"/>
      <c r="W125" s="162"/>
      <c r="X125" s="162"/>
      <c r="Y125" s="162"/>
      <c r="Z125" s="162"/>
      <c r="AA125" s="162"/>
      <c r="AB125" s="162"/>
      <c r="AC125" s="162"/>
      <c r="AD125" s="162"/>
      <c r="AE125" s="162"/>
      <c r="AF125" s="161"/>
      <c r="AG125" s="64">
        <f t="shared" si="15"/>
        <v>0</v>
      </c>
    </row>
    <row r="126" spans="1:33" ht="19.5" hidden="1" customHeight="1" thickBot="1" x14ac:dyDescent="0.3">
      <c r="A126" s="301" t="s">
        <v>59</v>
      </c>
      <c r="B126" s="249"/>
      <c r="C126" s="162"/>
      <c r="D126" s="162"/>
      <c r="E126" s="162"/>
      <c r="F126" s="162"/>
      <c r="G126" s="384"/>
      <c r="H126" s="162"/>
      <c r="I126" s="162"/>
      <c r="J126" s="162"/>
      <c r="K126" s="162"/>
      <c r="L126" s="162"/>
      <c r="M126" s="162"/>
      <c r="N126" s="162"/>
      <c r="O126" s="162"/>
      <c r="P126" s="162"/>
      <c r="Q126" s="162"/>
      <c r="R126" s="162"/>
      <c r="S126" s="162"/>
      <c r="T126" s="162"/>
      <c r="U126" s="162"/>
      <c r="V126" s="162"/>
      <c r="W126" s="162"/>
      <c r="X126" s="162"/>
      <c r="Y126" s="162"/>
      <c r="Z126" s="162"/>
      <c r="AA126" s="162"/>
      <c r="AB126" s="162"/>
      <c r="AC126" s="162"/>
      <c r="AD126" s="162"/>
      <c r="AE126" s="162"/>
      <c r="AF126" s="161"/>
      <c r="AG126" s="64">
        <f t="shared" si="15"/>
        <v>0</v>
      </c>
    </row>
    <row r="127" spans="1:33" ht="19.5" hidden="1" customHeight="1" thickBot="1" x14ac:dyDescent="0.3">
      <c r="A127" s="301" t="s">
        <v>58</v>
      </c>
      <c r="B127" s="249"/>
      <c r="C127" s="162"/>
      <c r="D127" s="162"/>
      <c r="E127" s="162"/>
      <c r="F127" s="162"/>
      <c r="G127" s="384"/>
      <c r="H127" s="162"/>
      <c r="I127" s="162"/>
      <c r="J127" s="162"/>
      <c r="K127" s="162"/>
      <c r="L127" s="162"/>
      <c r="M127" s="162"/>
      <c r="N127" s="162"/>
      <c r="O127" s="162"/>
      <c r="P127" s="162"/>
      <c r="Q127" s="162"/>
      <c r="R127" s="162"/>
      <c r="S127" s="162"/>
      <c r="T127" s="162"/>
      <c r="U127" s="162"/>
      <c r="V127" s="162"/>
      <c r="W127" s="162"/>
      <c r="X127" s="162"/>
      <c r="Y127" s="162"/>
      <c r="Z127" s="162"/>
      <c r="AA127" s="162"/>
      <c r="AB127" s="162"/>
      <c r="AC127" s="162"/>
      <c r="AD127" s="162"/>
      <c r="AE127" s="162"/>
      <c r="AF127" s="161"/>
      <c r="AG127" s="64">
        <f t="shared" si="15"/>
        <v>0</v>
      </c>
    </row>
    <row r="128" spans="1:33" ht="19.5" hidden="1" customHeight="1" thickBot="1" x14ac:dyDescent="0.3">
      <c r="A128" s="323" t="s">
        <v>88</v>
      </c>
      <c r="B128" s="249"/>
      <c r="C128" s="162"/>
      <c r="D128" s="162"/>
      <c r="E128" s="162"/>
      <c r="F128" s="162"/>
      <c r="G128" s="384"/>
      <c r="H128" s="162"/>
      <c r="I128" s="162"/>
      <c r="J128" s="162"/>
      <c r="K128" s="162"/>
      <c r="L128" s="162"/>
      <c r="M128" s="162"/>
      <c r="N128" s="162"/>
      <c r="O128" s="162"/>
      <c r="P128" s="162"/>
      <c r="Q128" s="162"/>
      <c r="R128" s="162"/>
      <c r="S128" s="162"/>
      <c r="T128" s="162"/>
      <c r="U128" s="162"/>
      <c r="V128" s="162"/>
      <c r="W128" s="162"/>
      <c r="X128" s="162"/>
      <c r="Y128" s="162"/>
      <c r="Z128" s="162"/>
      <c r="AA128" s="162"/>
      <c r="AB128" s="162"/>
      <c r="AC128" s="162"/>
      <c r="AD128" s="162"/>
      <c r="AE128" s="162"/>
      <c r="AF128" s="161"/>
      <c r="AG128" s="64">
        <f t="shared" si="15"/>
        <v>0</v>
      </c>
    </row>
    <row r="129" spans="1:35" ht="19.5" thickBot="1" x14ac:dyDescent="0.3">
      <c r="A129" s="324" t="s">
        <v>87</v>
      </c>
      <c r="B129" s="263">
        <f>15+5</f>
        <v>20</v>
      </c>
      <c r="C129" s="140">
        <f>19+7</f>
        <v>26</v>
      </c>
      <c r="D129" s="140">
        <f>10+3</f>
        <v>13</v>
      </c>
      <c r="E129" s="140">
        <f>5+4</f>
        <v>9</v>
      </c>
      <c r="F129" s="140">
        <f>9+2</f>
        <v>11</v>
      </c>
      <c r="G129" s="385"/>
      <c r="H129" s="140">
        <f>11+4</f>
        <v>15</v>
      </c>
      <c r="I129" s="140">
        <f>13+3</f>
        <v>16</v>
      </c>
      <c r="J129" s="140">
        <f>5+2</f>
        <v>7</v>
      </c>
      <c r="K129" s="140">
        <f>11+1+2</f>
        <v>14</v>
      </c>
      <c r="L129" s="140">
        <f>10+1</f>
        <v>11</v>
      </c>
      <c r="M129" s="140">
        <f>13+5</f>
        <v>18</v>
      </c>
      <c r="N129" s="140">
        <f>5+12</f>
        <v>17</v>
      </c>
      <c r="O129" s="140">
        <f>8+1+6</f>
        <v>15</v>
      </c>
      <c r="P129" s="140">
        <f>6+4</f>
        <v>10</v>
      </c>
      <c r="Q129" s="140">
        <f>11+5</f>
        <v>16</v>
      </c>
      <c r="R129" s="140">
        <f>7+3</f>
        <v>10</v>
      </c>
      <c r="S129" s="140">
        <f>8+1</f>
        <v>9</v>
      </c>
      <c r="T129" s="140">
        <f>8+3</f>
        <v>11</v>
      </c>
      <c r="U129" s="140">
        <f>10+1+4</f>
        <v>15</v>
      </c>
      <c r="V129" s="140">
        <f>13+1+5</f>
        <v>19</v>
      </c>
      <c r="W129" s="140">
        <f>10+2+1</f>
        <v>13</v>
      </c>
      <c r="X129" s="140">
        <f>19+1+3</f>
        <v>23</v>
      </c>
      <c r="Y129" s="140">
        <f>10+5</f>
        <v>15</v>
      </c>
      <c r="Z129" s="140">
        <f>9+4</f>
        <v>13</v>
      </c>
      <c r="AA129" s="140">
        <f>14+6</f>
        <v>20</v>
      </c>
      <c r="AB129" s="140">
        <f>12+6</f>
        <v>18</v>
      </c>
      <c r="AC129" s="140">
        <f>13+5+1</f>
        <v>19</v>
      </c>
      <c r="AD129" s="140">
        <f>12+5</f>
        <v>17</v>
      </c>
      <c r="AE129" s="140">
        <f>15+3</f>
        <v>18</v>
      </c>
      <c r="AF129" s="139"/>
      <c r="AG129" s="64">
        <f t="shared" si="15"/>
        <v>438</v>
      </c>
    </row>
    <row r="130" spans="1:35" ht="18.75" x14ac:dyDescent="0.25">
      <c r="A130" s="315" t="s">
        <v>89</v>
      </c>
      <c r="B130" s="261">
        <f t="shared" ref="B130:AF130" si="18">SUM(B131:B143)</f>
        <v>182</v>
      </c>
      <c r="C130" s="166">
        <f t="shared" si="18"/>
        <v>200</v>
      </c>
      <c r="D130" s="166">
        <f t="shared" si="18"/>
        <v>137</v>
      </c>
      <c r="E130" s="166">
        <f t="shared" si="18"/>
        <v>140</v>
      </c>
      <c r="F130" s="166">
        <f t="shared" si="18"/>
        <v>117</v>
      </c>
      <c r="G130" s="386">
        <f t="shared" si="18"/>
        <v>0</v>
      </c>
      <c r="H130" s="166">
        <f t="shared" si="18"/>
        <v>188</v>
      </c>
      <c r="I130" s="166">
        <f t="shared" si="18"/>
        <v>168</v>
      </c>
      <c r="J130" s="166">
        <f t="shared" si="18"/>
        <v>151</v>
      </c>
      <c r="K130" s="166">
        <f t="shared" si="18"/>
        <v>138</v>
      </c>
      <c r="L130" s="166">
        <f t="shared" si="18"/>
        <v>149</v>
      </c>
      <c r="M130" s="166">
        <f t="shared" si="18"/>
        <v>130</v>
      </c>
      <c r="N130" s="166">
        <f t="shared" si="18"/>
        <v>178</v>
      </c>
      <c r="O130" s="166">
        <f t="shared" si="18"/>
        <v>163</v>
      </c>
      <c r="P130" s="166">
        <f t="shared" si="18"/>
        <v>159</v>
      </c>
      <c r="Q130" s="166">
        <f t="shared" si="18"/>
        <v>162</v>
      </c>
      <c r="R130" s="166">
        <f t="shared" si="18"/>
        <v>160</v>
      </c>
      <c r="S130" s="166">
        <f t="shared" si="18"/>
        <v>148</v>
      </c>
      <c r="T130" s="166">
        <f t="shared" si="18"/>
        <v>143</v>
      </c>
      <c r="U130" s="166">
        <f t="shared" si="18"/>
        <v>168</v>
      </c>
      <c r="V130" s="166">
        <f t="shared" si="18"/>
        <v>196</v>
      </c>
      <c r="W130" s="166">
        <f t="shared" si="18"/>
        <v>162</v>
      </c>
      <c r="X130" s="166">
        <f t="shared" si="18"/>
        <v>187</v>
      </c>
      <c r="Y130" s="166">
        <f t="shared" si="18"/>
        <v>152</v>
      </c>
      <c r="Z130" s="166">
        <f t="shared" si="18"/>
        <v>175</v>
      </c>
      <c r="AA130" s="166">
        <f t="shared" si="18"/>
        <v>156</v>
      </c>
      <c r="AB130" s="166">
        <f t="shared" si="18"/>
        <v>191</v>
      </c>
      <c r="AC130" s="166">
        <f t="shared" si="18"/>
        <v>196</v>
      </c>
      <c r="AD130" s="166">
        <f t="shared" si="18"/>
        <v>207</v>
      </c>
      <c r="AE130" s="166">
        <f t="shared" si="18"/>
        <v>164</v>
      </c>
      <c r="AF130" s="165">
        <f t="shared" si="18"/>
        <v>0</v>
      </c>
      <c r="AG130" s="164">
        <f t="shared" si="15"/>
        <v>4767</v>
      </c>
      <c r="AH130" s="152" t="str">
        <f>IF(AG130&lt;&gt;AG93,"*","")</f>
        <v>*</v>
      </c>
    </row>
    <row r="131" spans="1:35" ht="18.75" x14ac:dyDescent="0.25">
      <c r="A131" s="323" t="s">
        <v>67</v>
      </c>
      <c r="B131" s="249">
        <v>33</v>
      </c>
      <c r="C131" s="162">
        <v>26</v>
      </c>
      <c r="D131" s="162">
        <v>25</v>
      </c>
      <c r="E131" s="162">
        <v>21</v>
      </c>
      <c r="F131" s="162">
        <v>17</v>
      </c>
      <c r="G131" s="384"/>
      <c r="H131" s="162">
        <v>25</v>
      </c>
      <c r="I131" s="162">
        <v>15</v>
      </c>
      <c r="J131" s="162">
        <v>13</v>
      </c>
      <c r="K131" s="162">
        <v>19</v>
      </c>
      <c r="L131" s="162">
        <v>16</v>
      </c>
      <c r="M131" s="162">
        <v>21</v>
      </c>
      <c r="N131" s="162">
        <v>31</v>
      </c>
      <c r="O131" s="162">
        <v>20</v>
      </c>
      <c r="P131" s="162">
        <v>19</v>
      </c>
      <c r="Q131" s="162">
        <v>34</v>
      </c>
      <c r="R131" s="162">
        <v>17</v>
      </c>
      <c r="S131" s="162">
        <v>26</v>
      </c>
      <c r="T131" s="162">
        <v>29</v>
      </c>
      <c r="U131" s="162">
        <v>27</v>
      </c>
      <c r="V131" s="162">
        <v>24</v>
      </c>
      <c r="W131" s="162">
        <v>25</v>
      </c>
      <c r="X131" s="162">
        <v>25</v>
      </c>
      <c r="Y131" s="162">
        <v>22</v>
      </c>
      <c r="Z131" s="162">
        <v>20</v>
      </c>
      <c r="AA131" s="162">
        <v>27</v>
      </c>
      <c r="AB131" s="162">
        <v>40</v>
      </c>
      <c r="AC131" s="162">
        <v>36</v>
      </c>
      <c r="AD131" s="162">
        <v>36</v>
      </c>
      <c r="AE131" s="162">
        <v>26</v>
      </c>
      <c r="AF131" s="161"/>
      <c r="AG131" s="64">
        <f t="shared" ref="AG131:AG145" si="19">SUM(B131:AF131)</f>
        <v>715</v>
      </c>
    </row>
    <row r="132" spans="1:35" ht="18.75" x14ac:dyDescent="0.25">
      <c r="A132" s="323" t="s">
        <v>69</v>
      </c>
      <c r="B132" s="249">
        <v>6</v>
      </c>
      <c r="C132" s="162">
        <v>5</v>
      </c>
      <c r="D132" s="162">
        <v>3</v>
      </c>
      <c r="E132" s="162">
        <v>2</v>
      </c>
      <c r="F132" s="162">
        <v>3</v>
      </c>
      <c r="G132" s="384"/>
      <c r="H132" s="162">
        <v>4</v>
      </c>
      <c r="I132" s="162">
        <v>1</v>
      </c>
      <c r="J132" s="162">
        <v>5</v>
      </c>
      <c r="K132" s="162">
        <v>2</v>
      </c>
      <c r="L132" s="162">
        <v>6</v>
      </c>
      <c r="M132" s="162">
        <v>4</v>
      </c>
      <c r="N132" s="162">
        <v>4</v>
      </c>
      <c r="O132" s="162">
        <v>6</v>
      </c>
      <c r="P132" s="162">
        <v>7</v>
      </c>
      <c r="Q132" s="162">
        <v>6</v>
      </c>
      <c r="R132" s="162">
        <v>7</v>
      </c>
      <c r="S132" s="162">
        <v>9</v>
      </c>
      <c r="T132" s="162">
        <v>1</v>
      </c>
      <c r="U132" s="162">
        <v>4</v>
      </c>
      <c r="V132" s="162">
        <v>8</v>
      </c>
      <c r="W132" s="162">
        <v>9</v>
      </c>
      <c r="X132" s="162">
        <v>7</v>
      </c>
      <c r="Y132" s="162">
        <v>11</v>
      </c>
      <c r="Z132" s="162">
        <v>5</v>
      </c>
      <c r="AA132" s="162">
        <v>3</v>
      </c>
      <c r="AB132" s="162">
        <v>11</v>
      </c>
      <c r="AC132" s="162">
        <v>6</v>
      </c>
      <c r="AD132" s="162">
        <v>5</v>
      </c>
      <c r="AE132" s="162">
        <v>3</v>
      </c>
      <c r="AF132" s="161"/>
      <c r="AG132" s="64">
        <f t="shared" si="19"/>
        <v>153</v>
      </c>
    </row>
    <row r="133" spans="1:35" ht="18.75" x14ac:dyDescent="0.25">
      <c r="A133" s="323" t="s">
        <v>68</v>
      </c>
      <c r="B133" s="249">
        <v>11</v>
      </c>
      <c r="C133" s="162">
        <v>6</v>
      </c>
      <c r="D133" s="162">
        <v>6</v>
      </c>
      <c r="E133" s="162">
        <v>6</v>
      </c>
      <c r="F133" s="162">
        <v>9</v>
      </c>
      <c r="G133" s="384"/>
      <c r="H133" s="162">
        <v>8</v>
      </c>
      <c r="I133" s="162">
        <v>3</v>
      </c>
      <c r="J133" s="162">
        <v>2</v>
      </c>
      <c r="K133" s="162">
        <v>5</v>
      </c>
      <c r="L133" s="162"/>
      <c r="M133" s="162">
        <v>5</v>
      </c>
      <c r="N133" s="162">
        <v>6</v>
      </c>
      <c r="O133" s="162">
        <v>3</v>
      </c>
      <c r="P133" s="162">
        <v>4</v>
      </c>
      <c r="Q133" s="162">
        <v>2</v>
      </c>
      <c r="R133" s="162">
        <v>3</v>
      </c>
      <c r="S133" s="162">
        <v>5</v>
      </c>
      <c r="T133" s="162">
        <v>4</v>
      </c>
      <c r="U133" s="162">
        <v>5</v>
      </c>
      <c r="V133" s="162">
        <v>9</v>
      </c>
      <c r="W133" s="162">
        <v>10</v>
      </c>
      <c r="X133" s="162">
        <v>13</v>
      </c>
      <c r="Y133" s="162">
        <v>10</v>
      </c>
      <c r="Z133" s="162">
        <v>6</v>
      </c>
      <c r="AA133" s="162">
        <v>7</v>
      </c>
      <c r="AB133" s="162">
        <v>10</v>
      </c>
      <c r="AC133" s="162">
        <v>9</v>
      </c>
      <c r="AD133" s="162">
        <v>11</v>
      </c>
      <c r="AE133" s="162">
        <v>5</v>
      </c>
      <c r="AF133" s="161"/>
      <c r="AG133" s="64">
        <f t="shared" si="19"/>
        <v>183</v>
      </c>
    </row>
    <row r="134" spans="1:35" ht="18.75" x14ac:dyDescent="0.25">
      <c r="A134" s="323" t="s">
        <v>66</v>
      </c>
      <c r="B134" s="249">
        <f>1+6</f>
        <v>7</v>
      </c>
      <c r="C134" s="162">
        <f>4+2</f>
        <v>6</v>
      </c>
      <c r="D134" s="162">
        <f>9+1</f>
        <v>10</v>
      </c>
      <c r="E134" s="162">
        <f>1+5</f>
        <v>6</v>
      </c>
      <c r="F134" s="162">
        <v>3</v>
      </c>
      <c r="G134" s="384"/>
      <c r="H134" s="162">
        <f>1+7+4</f>
        <v>12</v>
      </c>
      <c r="I134" s="162">
        <f>2+1</f>
        <v>3</v>
      </c>
      <c r="J134" s="162">
        <v>4</v>
      </c>
      <c r="K134" s="162">
        <f>4+1</f>
        <v>5</v>
      </c>
      <c r="L134" s="162">
        <f>6+1</f>
        <v>7</v>
      </c>
      <c r="M134" s="162">
        <f>2+1</f>
        <v>3</v>
      </c>
      <c r="N134" s="162">
        <f>7+1</f>
        <v>8</v>
      </c>
      <c r="O134" s="162">
        <v>3</v>
      </c>
      <c r="P134" s="162">
        <f>1+1</f>
        <v>2</v>
      </c>
      <c r="Q134" s="162">
        <f>1+2+3</f>
        <v>6</v>
      </c>
      <c r="R134" s="162">
        <f>3+2</f>
        <v>5</v>
      </c>
      <c r="S134" s="162">
        <f>4+1</f>
        <v>5</v>
      </c>
      <c r="T134" s="162">
        <f>8+1</f>
        <v>9</v>
      </c>
      <c r="U134" s="162">
        <f>9+2</f>
        <v>11</v>
      </c>
      <c r="V134" s="162">
        <f>1+10+3</f>
        <v>14</v>
      </c>
      <c r="W134" s="162">
        <f>3+1</f>
        <v>4</v>
      </c>
      <c r="X134" s="162">
        <f>3+1</f>
        <v>4</v>
      </c>
      <c r="Y134" s="162">
        <f>7+3</f>
        <v>10</v>
      </c>
      <c r="Z134" s="162">
        <f>1+4+1</f>
        <v>6</v>
      </c>
      <c r="AA134" s="162">
        <f>4+2</f>
        <v>6</v>
      </c>
      <c r="AB134" s="162">
        <f>7+2</f>
        <v>9</v>
      </c>
      <c r="AC134" s="162">
        <v>8</v>
      </c>
      <c r="AD134" s="162">
        <f>8+1</f>
        <v>9</v>
      </c>
      <c r="AE134" s="162">
        <f>4+2</f>
        <v>6</v>
      </c>
      <c r="AF134" s="161"/>
      <c r="AG134" s="64">
        <f t="shared" si="19"/>
        <v>191</v>
      </c>
    </row>
    <row r="135" spans="1:35" ht="18.75" x14ac:dyDescent="0.25">
      <c r="A135" s="323" t="s">
        <v>65</v>
      </c>
      <c r="B135" s="249">
        <v>8</v>
      </c>
      <c r="C135" s="162">
        <v>5</v>
      </c>
      <c r="D135" s="162">
        <v>4</v>
      </c>
      <c r="E135" s="162">
        <v>3</v>
      </c>
      <c r="F135" s="162">
        <v>5</v>
      </c>
      <c r="G135" s="384"/>
      <c r="H135" s="162">
        <v>13</v>
      </c>
      <c r="I135" s="162">
        <v>2</v>
      </c>
      <c r="J135" s="162">
        <v>3</v>
      </c>
      <c r="K135" s="162">
        <v>8</v>
      </c>
      <c r="L135" s="162">
        <v>5</v>
      </c>
      <c r="M135" s="162">
        <v>3</v>
      </c>
      <c r="N135" s="162">
        <v>8</v>
      </c>
      <c r="O135" s="162">
        <v>5</v>
      </c>
      <c r="P135" s="162">
        <v>8</v>
      </c>
      <c r="Q135" s="162">
        <v>6</v>
      </c>
      <c r="R135" s="162">
        <v>9</v>
      </c>
      <c r="S135" s="162">
        <v>3</v>
      </c>
      <c r="T135" s="162">
        <v>3</v>
      </c>
      <c r="U135" s="162">
        <v>12</v>
      </c>
      <c r="V135" s="162">
        <v>7</v>
      </c>
      <c r="W135" s="162">
        <v>5</v>
      </c>
      <c r="X135" s="162">
        <v>10</v>
      </c>
      <c r="Y135" s="162">
        <v>3</v>
      </c>
      <c r="Z135" s="162">
        <v>3</v>
      </c>
      <c r="AA135" s="162">
        <v>5</v>
      </c>
      <c r="AB135" s="162">
        <v>7</v>
      </c>
      <c r="AC135" s="162">
        <v>5</v>
      </c>
      <c r="AD135" s="162">
        <v>7</v>
      </c>
      <c r="AE135" s="162">
        <v>5</v>
      </c>
      <c r="AF135" s="161"/>
      <c r="AG135" s="64">
        <f t="shared" si="19"/>
        <v>170</v>
      </c>
    </row>
    <row r="136" spans="1:35" ht="18.75" x14ac:dyDescent="0.25">
      <c r="A136" s="323" t="s">
        <v>64</v>
      </c>
      <c r="B136" s="249">
        <v>85</v>
      </c>
      <c r="C136" s="162">
        <v>118</v>
      </c>
      <c r="D136" s="162">
        <v>67</v>
      </c>
      <c r="E136" s="162">
        <v>81</v>
      </c>
      <c r="F136" s="162">
        <v>64</v>
      </c>
      <c r="G136" s="384"/>
      <c r="H136" s="162">
        <v>99</v>
      </c>
      <c r="I136" s="162">
        <v>124</v>
      </c>
      <c r="J136" s="162">
        <v>111</v>
      </c>
      <c r="K136" s="162">
        <v>76</v>
      </c>
      <c r="L136" s="162">
        <v>97</v>
      </c>
      <c r="M136" s="162">
        <v>67</v>
      </c>
      <c r="N136" s="162">
        <v>91</v>
      </c>
      <c r="O136" s="162">
        <v>103</v>
      </c>
      <c r="P136" s="162">
        <v>103</v>
      </c>
      <c r="Q136" s="162">
        <v>86</v>
      </c>
      <c r="R136" s="162">
        <v>103</v>
      </c>
      <c r="S136" s="162">
        <v>82</v>
      </c>
      <c r="T136" s="162">
        <v>84</v>
      </c>
      <c r="U136" s="162">
        <v>78</v>
      </c>
      <c r="V136" s="162">
        <v>100</v>
      </c>
      <c r="W136" s="162">
        <v>86</v>
      </c>
      <c r="X136" s="162">
        <v>99</v>
      </c>
      <c r="Y136" s="162">
        <v>71</v>
      </c>
      <c r="Z136" s="162">
        <v>113</v>
      </c>
      <c r="AA136" s="162">
        <v>78</v>
      </c>
      <c r="AB136" s="162">
        <v>83</v>
      </c>
      <c r="AC136" s="162">
        <v>94</v>
      </c>
      <c r="AD136" s="162">
        <v>113</v>
      </c>
      <c r="AE136" s="162">
        <v>88</v>
      </c>
      <c r="AF136" s="161"/>
      <c r="AG136" s="64">
        <f t="shared" si="19"/>
        <v>2644</v>
      </c>
    </row>
    <row r="137" spans="1:35" ht="18.75" x14ac:dyDescent="0.25">
      <c r="A137" s="323" t="s">
        <v>63</v>
      </c>
      <c r="B137" s="249">
        <f>2+1</f>
        <v>3</v>
      </c>
      <c r="C137" s="162">
        <v>7</v>
      </c>
      <c r="D137" s="162">
        <v>2</v>
      </c>
      <c r="E137" s="162">
        <v>1</v>
      </c>
      <c r="F137" s="162">
        <v>1</v>
      </c>
      <c r="G137" s="384"/>
      <c r="H137" s="162">
        <f>3+1</f>
        <v>4</v>
      </c>
      <c r="I137" s="162">
        <v>1</v>
      </c>
      <c r="J137" s="162">
        <v>1</v>
      </c>
      <c r="K137" s="162">
        <v>2</v>
      </c>
      <c r="L137" s="162"/>
      <c r="M137" s="162">
        <v>2</v>
      </c>
      <c r="N137" s="162">
        <v>3</v>
      </c>
      <c r="O137" s="162">
        <v>1</v>
      </c>
      <c r="P137" s="162">
        <f>3+1</f>
        <v>4</v>
      </c>
      <c r="Q137" s="162">
        <v>1</v>
      </c>
      <c r="R137" s="162">
        <v>1</v>
      </c>
      <c r="S137" s="162"/>
      <c r="T137" s="162">
        <v>2</v>
      </c>
      <c r="U137" s="162">
        <v>5</v>
      </c>
      <c r="V137" s="162">
        <f>5+1</f>
        <v>6</v>
      </c>
      <c r="W137" s="162"/>
      <c r="X137" s="162"/>
      <c r="Y137" s="162">
        <f>1</f>
        <v>1</v>
      </c>
      <c r="Z137" s="162">
        <v>2</v>
      </c>
      <c r="AA137" s="162">
        <f>1</f>
        <v>1</v>
      </c>
      <c r="AB137" s="162">
        <v>3</v>
      </c>
      <c r="AC137" s="162">
        <f>5+2</f>
        <v>7</v>
      </c>
      <c r="AD137" s="162">
        <v>2</v>
      </c>
      <c r="AE137" s="162">
        <v>4</v>
      </c>
      <c r="AF137" s="161"/>
      <c r="AG137" s="64">
        <f t="shared" si="19"/>
        <v>67</v>
      </c>
    </row>
    <row r="138" spans="1:35" ht="18.75" x14ac:dyDescent="0.25">
      <c r="A138" s="323" t="s">
        <v>62</v>
      </c>
      <c r="B138" s="249">
        <v>1</v>
      </c>
      <c r="C138" s="162"/>
      <c r="D138" s="162"/>
      <c r="E138" s="162"/>
      <c r="F138" s="162">
        <v>1</v>
      </c>
      <c r="G138" s="384"/>
      <c r="H138" s="162"/>
      <c r="I138" s="162"/>
      <c r="J138" s="162"/>
      <c r="K138" s="162"/>
      <c r="L138" s="162">
        <v>1</v>
      </c>
      <c r="M138" s="162">
        <v>1</v>
      </c>
      <c r="N138" s="162">
        <v>2</v>
      </c>
      <c r="O138" s="162">
        <v>1</v>
      </c>
      <c r="P138" s="162"/>
      <c r="Q138" s="162"/>
      <c r="R138" s="162">
        <v>1</v>
      </c>
      <c r="S138" s="162"/>
      <c r="T138" s="162">
        <v>1</v>
      </c>
      <c r="U138" s="162">
        <v>3</v>
      </c>
      <c r="V138" s="162">
        <v>4</v>
      </c>
      <c r="W138" s="162">
        <v>1</v>
      </c>
      <c r="X138" s="162">
        <v>2</v>
      </c>
      <c r="Y138" s="162">
        <v>2</v>
      </c>
      <c r="Z138" s="162"/>
      <c r="AA138" s="162">
        <f>1</f>
        <v>1</v>
      </c>
      <c r="AB138" s="162">
        <v>2</v>
      </c>
      <c r="AC138" s="162"/>
      <c r="AD138" s="162"/>
      <c r="AE138" s="162">
        <v>1</v>
      </c>
      <c r="AF138" s="161"/>
      <c r="AG138" s="64">
        <f t="shared" si="19"/>
        <v>25</v>
      </c>
    </row>
    <row r="139" spans="1:35" ht="18.75" x14ac:dyDescent="0.25">
      <c r="A139" s="301" t="s">
        <v>60</v>
      </c>
      <c r="B139" s="249">
        <v>1</v>
      </c>
      <c r="C139" s="162">
        <v>2</v>
      </c>
      <c r="D139" s="162">
        <v>2</v>
      </c>
      <c r="E139" s="162">
        <v>3</v>
      </c>
      <c r="F139" s="162"/>
      <c r="G139" s="384"/>
      <c r="H139" s="162">
        <v>2</v>
      </c>
      <c r="I139" s="162">
        <v>1</v>
      </c>
      <c r="J139" s="162">
        <v>1</v>
      </c>
      <c r="K139" s="162">
        <v>4</v>
      </c>
      <c r="L139" s="162">
        <v>1</v>
      </c>
      <c r="M139" s="162">
        <v>2</v>
      </c>
      <c r="N139" s="162"/>
      <c r="O139" s="162">
        <v>1</v>
      </c>
      <c r="P139" s="162">
        <v>2</v>
      </c>
      <c r="Q139" s="162">
        <v>1</v>
      </c>
      <c r="R139" s="162">
        <v>1</v>
      </c>
      <c r="S139" s="162">
        <v>2</v>
      </c>
      <c r="T139" s="162"/>
      <c r="U139" s="162">
        <v>3</v>
      </c>
      <c r="V139" s="162">
        <v>1</v>
      </c>
      <c r="W139" s="162">
        <v>1</v>
      </c>
      <c r="X139" s="162">
        <v>1</v>
      </c>
      <c r="Y139" s="162">
        <v>2</v>
      </c>
      <c r="Z139" s="162">
        <v>1</v>
      </c>
      <c r="AA139" s="162"/>
      <c r="AB139" s="162">
        <v>2</v>
      </c>
      <c r="AC139" s="162">
        <v>1</v>
      </c>
      <c r="AD139" s="162">
        <v>2</v>
      </c>
      <c r="AE139" s="162">
        <v>2</v>
      </c>
      <c r="AF139" s="161"/>
      <c r="AG139" s="64">
        <f t="shared" si="19"/>
        <v>42</v>
      </c>
    </row>
    <row r="140" spans="1:35" ht="18.75" x14ac:dyDescent="0.25">
      <c r="A140" s="301" t="s">
        <v>59</v>
      </c>
      <c r="B140" s="249"/>
      <c r="C140" s="162">
        <v>1</v>
      </c>
      <c r="D140" s="162">
        <v>1</v>
      </c>
      <c r="E140" s="162">
        <v>1</v>
      </c>
      <c r="F140" s="162">
        <v>1</v>
      </c>
      <c r="G140" s="384"/>
      <c r="H140" s="162">
        <v>1</v>
      </c>
      <c r="I140" s="162">
        <v>1</v>
      </c>
      <c r="J140" s="162">
        <v>3</v>
      </c>
      <c r="K140" s="162"/>
      <c r="L140" s="162">
        <v>2</v>
      </c>
      <c r="M140" s="162">
        <v>2</v>
      </c>
      <c r="N140" s="162">
        <v>3</v>
      </c>
      <c r="O140" s="162"/>
      <c r="P140" s="162"/>
      <c r="Q140" s="162">
        <v>1</v>
      </c>
      <c r="R140" s="162">
        <v>1</v>
      </c>
      <c r="S140" s="162">
        <v>2</v>
      </c>
      <c r="T140" s="162"/>
      <c r="U140" s="162">
        <v>1</v>
      </c>
      <c r="V140" s="162">
        <v>1</v>
      </c>
      <c r="W140" s="162">
        <v>1</v>
      </c>
      <c r="X140" s="162"/>
      <c r="Y140" s="162"/>
      <c r="Z140" s="162">
        <v>3</v>
      </c>
      <c r="AA140" s="162">
        <v>2</v>
      </c>
      <c r="AB140" s="162">
        <v>1</v>
      </c>
      <c r="AC140" s="162"/>
      <c r="AD140" s="162"/>
      <c r="AE140" s="162">
        <v>1</v>
      </c>
      <c r="AF140" s="161"/>
      <c r="AG140" s="64">
        <f t="shared" si="19"/>
        <v>30</v>
      </c>
    </row>
    <row r="141" spans="1:35" ht="18.75" x14ac:dyDescent="0.25">
      <c r="A141" s="301" t="s">
        <v>58</v>
      </c>
      <c r="B141" s="249">
        <v>2</v>
      </c>
      <c r="C141" s="162"/>
      <c r="D141" s="162">
        <v>1</v>
      </c>
      <c r="E141" s="162"/>
      <c r="F141" s="162"/>
      <c r="G141" s="384"/>
      <c r="H141" s="162"/>
      <c r="I141" s="162"/>
      <c r="J141" s="162"/>
      <c r="K141" s="162"/>
      <c r="L141" s="162"/>
      <c r="M141" s="162"/>
      <c r="N141" s="162">
        <v>1</v>
      </c>
      <c r="O141" s="162"/>
      <c r="P141" s="162">
        <v>1</v>
      </c>
      <c r="Q141" s="162"/>
      <c r="R141" s="162"/>
      <c r="S141" s="162"/>
      <c r="T141" s="162"/>
      <c r="U141" s="162"/>
      <c r="V141" s="162"/>
      <c r="W141" s="162">
        <v>1</v>
      </c>
      <c r="X141" s="162">
        <v>1</v>
      </c>
      <c r="Y141" s="162"/>
      <c r="Z141" s="162"/>
      <c r="AA141" s="162">
        <v>2</v>
      </c>
      <c r="AB141" s="162"/>
      <c r="AC141" s="162">
        <v>1</v>
      </c>
      <c r="AD141" s="162"/>
      <c r="AE141" s="162">
        <v>2</v>
      </c>
      <c r="AF141" s="161"/>
      <c r="AG141" s="64">
        <f t="shared" si="19"/>
        <v>12</v>
      </c>
    </row>
    <row r="142" spans="1:35" ht="18.75" x14ac:dyDescent="0.25">
      <c r="A142" s="323" t="s">
        <v>88</v>
      </c>
      <c r="B142" s="249">
        <f>1+1+2+1+1</f>
        <v>6</v>
      </c>
      <c r="C142" s="162">
        <f>1+1+1+1</f>
        <v>4</v>
      </c>
      <c r="D142" s="162">
        <f>1+1+1</f>
        <v>3</v>
      </c>
      <c r="E142" s="162">
        <f>1+1+1+1+1+1+1</f>
        <v>7</v>
      </c>
      <c r="F142" s="162">
        <f>1+1+1+1+1+1</f>
        <v>6</v>
      </c>
      <c r="G142" s="384"/>
      <c r="H142" s="162">
        <f>1+1+1+1+1</f>
        <v>5</v>
      </c>
      <c r="I142" s="162">
        <f>1+1+1+2</f>
        <v>5</v>
      </c>
      <c r="J142" s="162">
        <f>1+1+1</f>
        <v>3</v>
      </c>
      <c r="K142" s="162">
        <f>1+1+1</f>
        <v>3</v>
      </c>
      <c r="L142" s="162">
        <f>1+1+1+1</f>
        <v>4</v>
      </c>
      <c r="M142" s="162">
        <f>1+2+1+1</f>
        <v>5</v>
      </c>
      <c r="N142" s="162">
        <f>1+2+1</f>
        <v>4</v>
      </c>
      <c r="O142" s="162">
        <f>1+1+1+1+1</f>
        <v>5</v>
      </c>
      <c r="P142" s="162">
        <f>2</f>
        <v>2</v>
      </c>
      <c r="Q142" s="162">
        <f>1+1+1</f>
        <v>3</v>
      </c>
      <c r="R142" s="162">
        <f>1+1+1</f>
        <v>3</v>
      </c>
      <c r="S142" s="162">
        <f>1+3+1+1</f>
        <v>6</v>
      </c>
      <c r="T142" s="162">
        <f>1+1</f>
        <v>2</v>
      </c>
      <c r="U142" s="162">
        <f>1+1+1+3</f>
        <v>6</v>
      </c>
      <c r="V142" s="162">
        <f>1+1+1+1</f>
        <v>4</v>
      </c>
      <c r="W142" s="162">
        <f>2+2+2+1</f>
        <v>7</v>
      </c>
      <c r="X142" s="162">
        <f>1+1+1+1</f>
        <v>4</v>
      </c>
      <c r="Y142" s="162">
        <f>1+1+1+1+1+2</f>
        <v>7</v>
      </c>
      <c r="Z142" s="162">
        <f>1+1+1+1+2</f>
        <v>6</v>
      </c>
      <c r="AA142" s="162">
        <f>1+1+1+1+1+1</f>
        <v>6</v>
      </c>
      <c r="AB142" s="162">
        <f>1+1+1+1+1</f>
        <v>5</v>
      </c>
      <c r="AC142" s="162">
        <f>2+1+1+1+2+3</f>
        <v>10</v>
      </c>
      <c r="AD142" s="162">
        <f>1+1+1+1+1+2</f>
        <v>7</v>
      </c>
      <c r="AE142" s="162">
        <f>1+1+1+2</f>
        <v>5</v>
      </c>
      <c r="AF142" s="161"/>
      <c r="AG142" s="64">
        <f t="shared" si="19"/>
        <v>143</v>
      </c>
    </row>
    <row r="143" spans="1:35" ht="19.5" thickBot="1" x14ac:dyDescent="0.3">
      <c r="A143" s="324" t="s">
        <v>87</v>
      </c>
      <c r="B143" s="263">
        <f>14+5</f>
        <v>19</v>
      </c>
      <c r="C143" s="140">
        <f>13+7</f>
        <v>20</v>
      </c>
      <c r="D143" s="140">
        <f>10+3</f>
        <v>13</v>
      </c>
      <c r="E143" s="140">
        <f>5+4</f>
        <v>9</v>
      </c>
      <c r="F143" s="140">
        <f>5+2</f>
        <v>7</v>
      </c>
      <c r="G143" s="385"/>
      <c r="H143" s="140">
        <f>11+4</f>
        <v>15</v>
      </c>
      <c r="I143" s="140">
        <f>9+3</f>
        <v>12</v>
      </c>
      <c r="J143" s="140">
        <f>3+2</f>
        <v>5</v>
      </c>
      <c r="K143" s="140">
        <f>11+1+2</f>
        <v>14</v>
      </c>
      <c r="L143" s="140">
        <f>9+1</f>
        <v>10</v>
      </c>
      <c r="M143" s="140">
        <f>10+5</f>
        <v>15</v>
      </c>
      <c r="N143" s="140">
        <f>5+12</f>
        <v>17</v>
      </c>
      <c r="O143" s="140">
        <f>8+1+6</f>
        <v>15</v>
      </c>
      <c r="P143" s="140">
        <f>5+2</f>
        <v>7</v>
      </c>
      <c r="Q143" s="140">
        <f>11+5</f>
        <v>16</v>
      </c>
      <c r="R143" s="140">
        <f>7+2</f>
        <v>9</v>
      </c>
      <c r="S143" s="140">
        <f>7+1</f>
        <v>8</v>
      </c>
      <c r="T143" s="140">
        <f>6+2</f>
        <v>8</v>
      </c>
      <c r="U143" s="140">
        <f>8+1+4</f>
        <v>13</v>
      </c>
      <c r="V143" s="140">
        <f>13+1+4</f>
        <v>18</v>
      </c>
      <c r="W143" s="140">
        <f>9+2+1</f>
        <v>12</v>
      </c>
      <c r="X143" s="140">
        <f>17+1+3</f>
        <v>21</v>
      </c>
      <c r="Y143" s="140">
        <f>9+4</f>
        <v>13</v>
      </c>
      <c r="Z143" s="140">
        <f>7+3</f>
        <v>10</v>
      </c>
      <c r="AA143" s="140">
        <f>13+5</f>
        <v>18</v>
      </c>
      <c r="AB143" s="140">
        <f>12+6</f>
        <v>18</v>
      </c>
      <c r="AC143" s="140">
        <f>13+1+5</f>
        <v>19</v>
      </c>
      <c r="AD143" s="140">
        <f>10+5</f>
        <v>15</v>
      </c>
      <c r="AE143" s="140">
        <f>14+2</f>
        <v>16</v>
      </c>
      <c r="AF143" s="139"/>
      <c r="AG143" s="160">
        <f t="shared" si="19"/>
        <v>392</v>
      </c>
    </row>
    <row r="144" spans="1:35" ht="19.5" thickBot="1" x14ac:dyDescent="0.3">
      <c r="A144" s="309" t="s">
        <v>86</v>
      </c>
      <c r="B144" s="257">
        <f t="shared" ref="B144:AF144" si="20">+B146+B156+B158+B167</f>
        <v>182</v>
      </c>
      <c r="C144" s="158">
        <f t="shared" si="20"/>
        <v>200</v>
      </c>
      <c r="D144" s="158">
        <f t="shared" si="20"/>
        <v>137</v>
      </c>
      <c r="E144" s="158">
        <f t="shared" si="20"/>
        <v>140</v>
      </c>
      <c r="F144" s="158">
        <f t="shared" si="20"/>
        <v>117</v>
      </c>
      <c r="G144" s="382">
        <f t="shared" si="20"/>
        <v>0</v>
      </c>
      <c r="H144" s="158">
        <f t="shared" si="20"/>
        <v>188</v>
      </c>
      <c r="I144" s="158">
        <f t="shared" si="20"/>
        <v>168</v>
      </c>
      <c r="J144" s="158">
        <f t="shared" si="20"/>
        <v>151</v>
      </c>
      <c r="K144" s="158">
        <f t="shared" si="20"/>
        <v>138</v>
      </c>
      <c r="L144" s="158">
        <f t="shared" si="20"/>
        <v>149</v>
      </c>
      <c r="M144" s="158">
        <f t="shared" si="20"/>
        <v>130</v>
      </c>
      <c r="N144" s="158">
        <f t="shared" si="20"/>
        <v>178</v>
      </c>
      <c r="O144" s="158">
        <f t="shared" si="20"/>
        <v>163</v>
      </c>
      <c r="P144" s="158">
        <f t="shared" si="20"/>
        <v>159</v>
      </c>
      <c r="Q144" s="158">
        <f t="shared" si="20"/>
        <v>162</v>
      </c>
      <c r="R144" s="158">
        <f t="shared" si="20"/>
        <v>160</v>
      </c>
      <c r="S144" s="158">
        <f t="shared" si="20"/>
        <v>148</v>
      </c>
      <c r="T144" s="158">
        <f t="shared" si="20"/>
        <v>143</v>
      </c>
      <c r="U144" s="158">
        <f t="shared" si="20"/>
        <v>168</v>
      </c>
      <c r="V144" s="158">
        <f t="shared" si="20"/>
        <v>196</v>
      </c>
      <c r="W144" s="158">
        <f t="shared" si="20"/>
        <v>162</v>
      </c>
      <c r="X144" s="158">
        <f t="shared" si="20"/>
        <v>187</v>
      </c>
      <c r="Y144" s="158">
        <f t="shared" si="20"/>
        <v>152</v>
      </c>
      <c r="Z144" s="158">
        <f t="shared" si="20"/>
        <v>175</v>
      </c>
      <c r="AA144" s="158">
        <f t="shared" si="20"/>
        <v>156</v>
      </c>
      <c r="AB144" s="158">
        <f t="shared" si="20"/>
        <v>191</v>
      </c>
      <c r="AC144" s="158">
        <f t="shared" si="20"/>
        <v>196</v>
      </c>
      <c r="AD144" s="158">
        <f t="shared" si="20"/>
        <v>207</v>
      </c>
      <c r="AE144" s="158">
        <f t="shared" si="20"/>
        <v>164</v>
      </c>
      <c r="AF144" s="158">
        <f t="shared" si="20"/>
        <v>0</v>
      </c>
      <c r="AG144" s="157">
        <f t="shared" si="19"/>
        <v>4767</v>
      </c>
      <c r="AH144" s="85" t="str">
        <f>IF(AG144&lt;&gt;AG93,"*","")</f>
        <v>*</v>
      </c>
      <c r="AI144" t="s">
        <v>85</v>
      </c>
    </row>
    <row r="145" spans="1:34" ht="19.5" thickBot="1" x14ac:dyDescent="0.3">
      <c r="A145" s="325" t="s">
        <v>84</v>
      </c>
      <c r="B145" s="264">
        <f t="shared" ref="B145:AF145" si="21">+B149+B155+B157+B172</f>
        <v>2</v>
      </c>
      <c r="C145" s="155">
        <f t="shared" si="21"/>
        <v>31</v>
      </c>
      <c r="D145" s="155">
        <f t="shared" si="21"/>
        <v>3</v>
      </c>
      <c r="E145" s="155">
        <f t="shared" si="21"/>
        <v>2</v>
      </c>
      <c r="F145" s="155">
        <f t="shared" si="21"/>
        <v>26</v>
      </c>
      <c r="G145" s="390">
        <f t="shared" si="21"/>
        <v>0</v>
      </c>
      <c r="H145" s="155">
        <f t="shared" si="21"/>
        <v>4</v>
      </c>
      <c r="I145" s="155">
        <f t="shared" si="21"/>
        <v>28</v>
      </c>
      <c r="J145" s="155">
        <f t="shared" si="21"/>
        <v>11</v>
      </c>
      <c r="K145" s="155">
        <f t="shared" si="21"/>
        <v>1</v>
      </c>
      <c r="L145" s="155">
        <f t="shared" si="21"/>
        <v>10</v>
      </c>
      <c r="M145" s="155">
        <f t="shared" si="21"/>
        <v>13</v>
      </c>
      <c r="N145" s="155">
        <f t="shared" si="21"/>
        <v>0</v>
      </c>
      <c r="O145" s="155">
        <f t="shared" si="21"/>
        <v>2</v>
      </c>
      <c r="P145" s="155">
        <f t="shared" si="21"/>
        <v>23</v>
      </c>
      <c r="Q145" s="155">
        <f t="shared" si="21"/>
        <v>12</v>
      </c>
      <c r="R145" s="155">
        <f t="shared" si="21"/>
        <v>7</v>
      </c>
      <c r="S145" s="155">
        <f t="shared" si="21"/>
        <v>13</v>
      </c>
      <c r="T145" s="155">
        <f t="shared" si="21"/>
        <v>17</v>
      </c>
      <c r="U145" s="155">
        <f t="shared" si="21"/>
        <v>7</v>
      </c>
      <c r="V145" s="155">
        <f t="shared" si="21"/>
        <v>8</v>
      </c>
      <c r="W145" s="155">
        <f t="shared" si="21"/>
        <v>27</v>
      </c>
      <c r="X145" s="155">
        <f t="shared" si="21"/>
        <v>10</v>
      </c>
      <c r="Y145" s="155">
        <f t="shared" si="21"/>
        <v>12</v>
      </c>
      <c r="Z145" s="155">
        <f t="shared" si="21"/>
        <v>10</v>
      </c>
      <c r="AA145" s="155">
        <f t="shared" si="21"/>
        <v>8</v>
      </c>
      <c r="AB145" s="155">
        <f t="shared" si="21"/>
        <v>7</v>
      </c>
      <c r="AC145" s="155">
        <f t="shared" si="21"/>
        <v>8</v>
      </c>
      <c r="AD145" s="155">
        <f t="shared" si="21"/>
        <v>18</v>
      </c>
      <c r="AE145" s="155">
        <f t="shared" si="21"/>
        <v>14</v>
      </c>
      <c r="AF145" s="154">
        <f t="shared" si="21"/>
        <v>0</v>
      </c>
      <c r="AG145" s="153">
        <f t="shared" si="19"/>
        <v>334</v>
      </c>
      <c r="AH145" s="152"/>
    </row>
    <row r="146" spans="1:34" ht="19.5" thickBot="1" x14ac:dyDescent="0.3">
      <c r="A146" s="326" t="s">
        <v>83</v>
      </c>
      <c r="B146" s="265">
        <f t="shared" ref="B146:AG147" si="22">+B148+B154</f>
        <v>0</v>
      </c>
      <c r="C146" s="8">
        <f t="shared" si="22"/>
        <v>0</v>
      </c>
      <c r="D146" s="8">
        <f t="shared" si="22"/>
        <v>0</v>
      </c>
      <c r="E146" s="8">
        <f t="shared" si="22"/>
        <v>0</v>
      </c>
      <c r="F146" s="8">
        <f t="shared" si="22"/>
        <v>0</v>
      </c>
      <c r="G146" s="391">
        <f t="shared" si="22"/>
        <v>0</v>
      </c>
      <c r="H146" s="8">
        <f t="shared" si="22"/>
        <v>0</v>
      </c>
      <c r="I146" s="8">
        <f t="shared" si="22"/>
        <v>0</v>
      </c>
      <c r="J146" s="8">
        <f t="shared" si="22"/>
        <v>0</v>
      </c>
      <c r="K146" s="8">
        <f t="shared" si="22"/>
        <v>0</v>
      </c>
      <c r="L146" s="8">
        <f t="shared" si="22"/>
        <v>0</v>
      </c>
      <c r="M146" s="8">
        <f t="shared" si="22"/>
        <v>0</v>
      </c>
      <c r="N146" s="8">
        <f t="shared" si="22"/>
        <v>0</v>
      </c>
      <c r="O146" s="8">
        <f t="shared" si="22"/>
        <v>0</v>
      </c>
      <c r="P146" s="8">
        <f t="shared" si="22"/>
        <v>0</v>
      </c>
      <c r="Q146" s="8">
        <f t="shared" si="22"/>
        <v>0</v>
      </c>
      <c r="R146" s="8">
        <f t="shared" si="22"/>
        <v>0</v>
      </c>
      <c r="S146" s="8">
        <f t="shared" si="22"/>
        <v>0</v>
      </c>
      <c r="T146" s="8">
        <f t="shared" si="22"/>
        <v>0</v>
      </c>
      <c r="U146" s="8">
        <f t="shared" si="22"/>
        <v>0</v>
      </c>
      <c r="V146" s="8">
        <f t="shared" si="22"/>
        <v>0</v>
      </c>
      <c r="W146" s="8">
        <f t="shared" si="22"/>
        <v>0</v>
      </c>
      <c r="X146" s="8">
        <f t="shared" si="22"/>
        <v>0</v>
      </c>
      <c r="Y146" s="8">
        <f t="shared" si="22"/>
        <v>0</v>
      </c>
      <c r="Z146" s="8">
        <f t="shared" si="22"/>
        <v>0</v>
      </c>
      <c r="AA146" s="8">
        <f t="shared" si="22"/>
        <v>0</v>
      </c>
      <c r="AB146" s="8">
        <f t="shared" si="22"/>
        <v>0</v>
      </c>
      <c r="AC146" s="8">
        <f t="shared" si="22"/>
        <v>0</v>
      </c>
      <c r="AD146" s="8">
        <f t="shared" si="22"/>
        <v>0</v>
      </c>
      <c r="AE146" s="8">
        <f t="shared" si="22"/>
        <v>0</v>
      </c>
      <c r="AF146" s="150">
        <f t="shared" si="22"/>
        <v>0</v>
      </c>
      <c r="AG146" s="149">
        <f t="shared" si="22"/>
        <v>0</v>
      </c>
    </row>
    <row r="147" spans="1:34" ht="19.5" thickBot="1" x14ac:dyDescent="0.3">
      <c r="A147" s="327" t="s">
        <v>82</v>
      </c>
      <c r="B147" s="266">
        <f t="shared" si="22"/>
        <v>0</v>
      </c>
      <c r="C147" s="143">
        <f t="shared" si="22"/>
        <v>0</v>
      </c>
      <c r="D147" s="143">
        <f t="shared" si="22"/>
        <v>0</v>
      </c>
      <c r="E147" s="143">
        <f t="shared" si="22"/>
        <v>0</v>
      </c>
      <c r="F147" s="143">
        <f t="shared" si="22"/>
        <v>0</v>
      </c>
      <c r="G147" s="382">
        <f t="shared" si="22"/>
        <v>0</v>
      </c>
      <c r="H147" s="143">
        <f t="shared" si="22"/>
        <v>0</v>
      </c>
      <c r="I147" s="143">
        <f t="shared" si="22"/>
        <v>0</v>
      </c>
      <c r="J147" s="143">
        <f t="shared" si="22"/>
        <v>0</v>
      </c>
      <c r="K147" s="143">
        <f t="shared" si="22"/>
        <v>0</v>
      </c>
      <c r="L147" s="143">
        <f t="shared" si="22"/>
        <v>0</v>
      </c>
      <c r="M147" s="143">
        <f t="shared" si="22"/>
        <v>0</v>
      </c>
      <c r="N147" s="143">
        <f t="shared" si="22"/>
        <v>0</v>
      </c>
      <c r="O147" s="143">
        <f t="shared" si="22"/>
        <v>0</v>
      </c>
      <c r="P147" s="143">
        <f t="shared" si="22"/>
        <v>0</v>
      </c>
      <c r="Q147" s="143">
        <f t="shared" si="22"/>
        <v>0</v>
      </c>
      <c r="R147" s="143">
        <f t="shared" si="22"/>
        <v>0</v>
      </c>
      <c r="S147" s="143">
        <f t="shared" si="22"/>
        <v>0</v>
      </c>
      <c r="T147" s="143">
        <f t="shared" si="22"/>
        <v>0</v>
      </c>
      <c r="U147" s="143">
        <f t="shared" si="22"/>
        <v>0</v>
      </c>
      <c r="V147" s="143">
        <f t="shared" si="22"/>
        <v>0</v>
      </c>
      <c r="W147" s="143">
        <f t="shared" si="22"/>
        <v>0</v>
      </c>
      <c r="X147" s="143">
        <f t="shared" si="22"/>
        <v>0</v>
      </c>
      <c r="Y147" s="143">
        <f t="shared" si="22"/>
        <v>0</v>
      </c>
      <c r="Z147" s="143">
        <f t="shared" si="22"/>
        <v>0</v>
      </c>
      <c r="AA147" s="143">
        <f t="shared" si="22"/>
        <v>0</v>
      </c>
      <c r="AB147" s="143">
        <f t="shared" si="22"/>
        <v>0</v>
      </c>
      <c r="AC147" s="143">
        <f t="shared" si="22"/>
        <v>0</v>
      </c>
      <c r="AD147" s="143">
        <f t="shared" si="22"/>
        <v>0</v>
      </c>
      <c r="AE147" s="143">
        <f t="shared" si="22"/>
        <v>0</v>
      </c>
      <c r="AF147" s="142"/>
      <c r="AG147" s="86">
        <f t="shared" ref="AG147:AG179" si="23">SUM(B147:AF147)</f>
        <v>0</v>
      </c>
    </row>
    <row r="148" spans="1:34" ht="19.5" thickBot="1" x14ac:dyDescent="0.3">
      <c r="A148" s="328" t="s">
        <v>81</v>
      </c>
      <c r="B148" s="267">
        <f t="shared" ref="B148:AF148" si="24">SUM(B150:B153)</f>
        <v>0</v>
      </c>
      <c r="C148" s="147">
        <f t="shared" si="24"/>
        <v>0</v>
      </c>
      <c r="D148" s="147">
        <f t="shared" si="24"/>
        <v>0</v>
      </c>
      <c r="E148" s="147">
        <f t="shared" si="24"/>
        <v>0</v>
      </c>
      <c r="F148" s="147">
        <f t="shared" si="24"/>
        <v>0</v>
      </c>
      <c r="G148" s="391">
        <f t="shared" si="24"/>
        <v>0</v>
      </c>
      <c r="H148" s="147">
        <f t="shared" si="24"/>
        <v>0</v>
      </c>
      <c r="I148" s="147">
        <f t="shared" si="24"/>
        <v>0</v>
      </c>
      <c r="J148" s="147">
        <f t="shared" si="24"/>
        <v>0</v>
      </c>
      <c r="K148" s="147">
        <f t="shared" si="24"/>
        <v>0</v>
      </c>
      <c r="L148" s="147">
        <f t="shared" si="24"/>
        <v>0</v>
      </c>
      <c r="M148" s="147">
        <f t="shared" si="24"/>
        <v>0</v>
      </c>
      <c r="N148" s="147">
        <f t="shared" si="24"/>
        <v>0</v>
      </c>
      <c r="O148" s="147">
        <f t="shared" si="24"/>
        <v>0</v>
      </c>
      <c r="P148" s="147">
        <f t="shared" si="24"/>
        <v>0</v>
      </c>
      <c r="Q148" s="147">
        <f t="shared" si="24"/>
        <v>0</v>
      </c>
      <c r="R148" s="147">
        <f t="shared" si="24"/>
        <v>0</v>
      </c>
      <c r="S148" s="147">
        <f t="shared" si="24"/>
        <v>0</v>
      </c>
      <c r="T148" s="147">
        <f t="shared" si="24"/>
        <v>0</v>
      </c>
      <c r="U148" s="147">
        <f t="shared" si="24"/>
        <v>0</v>
      </c>
      <c r="V148" s="147">
        <f t="shared" si="24"/>
        <v>0</v>
      </c>
      <c r="W148" s="147">
        <f t="shared" si="24"/>
        <v>0</v>
      </c>
      <c r="X148" s="147">
        <f t="shared" si="24"/>
        <v>0</v>
      </c>
      <c r="Y148" s="147">
        <f t="shared" si="24"/>
        <v>0</v>
      </c>
      <c r="Z148" s="147">
        <f t="shared" si="24"/>
        <v>0</v>
      </c>
      <c r="AA148" s="147">
        <f t="shared" si="24"/>
        <v>0</v>
      </c>
      <c r="AB148" s="147">
        <f t="shared" si="24"/>
        <v>0</v>
      </c>
      <c r="AC148" s="147">
        <f t="shared" si="24"/>
        <v>0</v>
      </c>
      <c r="AD148" s="147">
        <f t="shared" si="24"/>
        <v>0</v>
      </c>
      <c r="AE148" s="147">
        <f t="shared" si="24"/>
        <v>0</v>
      </c>
      <c r="AF148" s="146">
        <f t="shared" si="24"/>
        <v>0</v>
      </c>
      <c r="AG148" s="145">
        <f t="shared" si="23"/>
        <v>0</v>
      </c>
    </row>
    <row r="149" spans="1:34" ht="19.5" thickBot="1" x14ac:dyDescent="0.3">
      <c r="A149" s="327" t="s">
        <v>80</v>
      </c>
      <c r="B149" s="266"/>
      <c r="C149" s="143"/>
      <c r="D149" s="143"/>
      <c r="E149" s="143"/>
      <c r="F149" s="143"/>
      <c r="G149" s="382"/>
      <c r="H149" s="143"/>
      <c r="I149" s="143"/>
      <c r="J149" s="143"/>
      <c r="K149" s="143"/>
      <c r="L149" s="143"/>
      <c r="M149" s="143"/>
      <c r="N149" s="143"/>
      <c r="O149" s="143"/>
      <c r="P149" s="143"/>
      <c r="Q149" s="143"/>
      <c r="R149" s="143"/>
      <c r="S149" s="143"/>
      <c r="T149" s="143"/>
      <c r="U149" s="143"/>
      <c r="V149" s="143"/>
      <c r="W149" s="143"/>
      <c r="X149" s="143"/>
      <c r="Y149" s="143"/>
      <c r="Z149" s="143"/>
      <c r="AA149" s="143"/>
      <c r="AB149" s="143"/>
      <c r="AC149" s="143"/>
      <c r="AD149" s="143"/>
      <c r="AE149" s="143"/>
      <c r="AF149" s="142"/>
      <c r="AG149" s="86">
        <f t="shared" si="23"/>
        <v>0</v>
      </c>
    </row>
    <row r="150" spans="1:34" ht="18.75" x14ac:dyDescent="0.25">
      <c r="A150" s="329" t="s">
        <v>79</v>
      </c>
      <c r="B150" s="268"/>
      <c r="C150" s="136"/>
      <c r="D150" s="136"/>
      <c r="E150" s="136"/>
      <c r="F150" s="136"/>
      <c r="G150" s="383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5"/>
      <c r="AG150" s="134">
        <f t="shared" si="23"/>
        <v>0</v>
      </c>
    </row>
    <row r="151" spans="1:34" ht="18.75" x14ac:dyDescent="0.25">
      <c r="A151" s="330" t="s">
        <v>78</v>
      </c>
      <c r="B151" s="269"/>
      <c r="C151" s="130"/>
      <c r="D151" s="130"/>
      <c r="E151" s="130"/>
      <c r="F151" s="130"/>
      <c r="G151" s="384"/>
      <c r="H151" s="130"/>
      <c r="I151" s="130"/>
      <c r="J151" s="130"/>
      <c r="K151" s="130"/>
      <c r="L151" s="130"/>
      <c r="M151" s="130"/>
      <c r="N151" s="130"/>
      <c r="O151" s="130"/>
      <c r="P151" s="130"/>
      <c r="Q151" s="130"/>
      <c r="R151" s="130"/>
      <c r="S151" s="130"/>
      <c r="T151" s="130"/>
      <c r="U151" s="130"/>
      <c r="V151" s="130"/>
      <c r="W151" s="130"/>
      <c r="X151" s="130"/>
      <c r="Y151" s="130"/>
      <c r="Z151" s="130"/>
      <c r="AA151" s="130"/>
      <c r="AB151" s="130"/>
      <c r="AC151" s="130"/>
      <c r="AD151" s="130"/>
      <c r="AE151" s="130"/>
      <c r="AF151" s="129"/>
      <c r="AG151" s="64">
        <f t="shared" si="23"/>
        <v>0</v>
      </c>
    </row>
    <row r="152" spans="1:34" ht="18.75" x14ac:dyDescent="0.25">
      <c r="A152" s="330" t="s">
        <v>77</v>
      </c>
      <c r="B152" s="269"/>
      <c r="C152" s="130"/>
      <c r="D152" s="130"/>
      <c r="E152" s="130"/>
      <c r="F152" s="130"/>
      <c r="G152" s="384"/>
      <c r="H152" s="130"/>
      <c r="I152" s="130"/>
      <c r="J152" s="130"/>
      <c r="K152" s="130"/>
      <c r="L152" s="130"/>
      <c r="M152" s="130"/>
      <c r="N152" s="130"/>
      <c r="O152" s="130"/>
      <c r="P152" s="130"/>
      <c r="Q152" s="130"/>
      <c r="R152" s="130"/>
      <c r="S152" s="130"/>
      <c r="T152" s="130"/>
      <c r="U152" s="130"/>
      <c r="V152" s="130"/>
      <c r="W152" s="130"/>
      <c r="X152" s="130"/>
      <c r="Y152" s="130"/>
      <c r="Z152" s="130"/>
      <c r="AA152" s="130"/>
      <c r="AB152" s="130"/>
      <c r="AC152" s="130"/>
      <c r="AD152" s="130"/>
      <c r="AE152" s="130"/>
      <c r="AF152" s="129"/>
      <c r="AG152" s="64">
        <f t="shared" si="23"/>
        <v>0</v>
      </c>
    </row>
    <row r="153" spans="1:34" ht="19.5" thickBot="1" x14ac:dyDescent="0.3">
      <c r="A153" s="331" t="s">
        <v>76</v>
      </c>
      <c r="B153" s="270"/>
      <c r="C153" s="127"/>
      <c r="D153" s="127"/>
      <c r="E153" s="127"/>
      <c r="F153" s="127"/>
      <c r="G153" s="385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  <c r="Y153" s="127"/>
      <c r="Z153" s="127"/>
      <c r="AA153" s="127"/>
      <c r="AB153" s="127"/>
      <c r="AC153" s="127"/>
      <c r="AD153" s="127"/>
      <c r="AE153" s="127"/>
      <c r="AF153" s="126"/>
      <c r="AG153" s="10">
        <f t="shared" si="23"/>
        <v>0</v>
      </c>
    </row>
    <row r="154" spans="1:34" ht="19.5" thickBot="1" x14ac:dyDescent="0.3">
      <c r="A154" s="328" t="s">
        <v>75</v>
      </c>
      <c r="B154" s="267"/>
      <c r="C154" s="147"/>
      <c r="D154" s="147"/>
      <c r="E154" s="147"/>
      <c r="F154" s="147"/>
      <c r="G154" s="391"/>
      <c r="H154" s="147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  <c r="AA154" s="147"/>
      <c r="AB154" s="147"/>
      <c r="AC154" s="147"/>
      <c r="AD154" s="147"/>
      <c r="AE154" s="147"/>
      <c r="AF154" s="146"/>
      <c r="AG154" s="145">
        <f t="shared" si="23"/>
        <v>0</v>
      </c>
    </row>
    <row r="155" spans="1:34" ht="19.5" thickBot="1" x14ac:dyDescent="0.3">
      <c r="A155" s="327" t="s">
        <v>74</v>
      </c>
      <c r="B155" s="266"/>
      <c r="C155" s="143"/>
      <c r="D155" s="143"/>
      <c r="E155" s="143"/>
      <c r="F155" s="143"/>
      <c r="G155" s="382"/>
      <c r="H155" s="143"/>
      <c r="I155" s="143"/>
      <c r="J155" s="143"/>
      <c r="K155" s="143"/>
      <c r="L155" s="143"/>
      <c r="M155" s="143"/>
      <c r="N155" s="143"/>
      <c r="O155" s="143"/>
      <c r="P155" s="143"/>
      <c r="Q155" s="143"/>
      <c r="R155" s="143"/>
      <c r="S155" s="143"/>
      <c r="T155" s="143"/>
      <c r="U155" s="143"/>
      <c r="V155" s="143"/>
      <c r="W155" s="143"/>
      <c r="X155" s="143"/>
      <c r="Y155" s="143"/>
      <c r="Z155" s="143"/>
      <c r="AA155" s="143"/>
      <c r="AB155" s="143"/>
      <c r="AC155" s="143"/>
      <c r="AD155" s="143"/>
      <c r="AE155" s="143"/>
      <c r="AF155" s="142"/>
      <c r="AG155" s="86">
        <f t="shared" si="23"/>
        <v>0</v>
      </c>
    </row>
    <row r="156" spans="1:34" ht="18.75" x14ac:dyDescent="0.25">
      <c r="A156" s="332" t="s">
        <v>73</v>
      </c>
      <c r="B156" s="271">
        <v>181</v>
      </c>
      <c r="C156" s="18">
        <v>200</v>
      </c>
      <c r="D156" s="18">
        <v>136</v>
      </c>
      <c r="E156" s="18">
        <v>139</v>
      </c>
      <c r="F156" s="18">
        <v>117</v>
      </c>
      <c r="G156" s="386"/>
      <c r="H156" s="18">
        <v>188</v>
      </c>
      <c r="I156" s="18">
        <v>167</v>
      </c>
      <c r="J156" s="18">
        <v>151</v>
      </c>
      <c r="K156" s="18">
        <v>138</v>
      </c>
      <c r="L156" s="18">
        <v>149</v>
      </c>
      <c r="M156" s="18">
        <v>129</v>
      </c>
      <c r="N156" s="18">
        <v>172</v>
      </c>
      <c r="O156" s="18">
        <v>163</v>
      </c>
      <c r="P156" s="18">
        <v>159</v>
      </c>
      <c r="Q156" s="18">
        <v>161</v>
      </c>
      <c r="R156" s="18">
        <v>159</v>
      </c>
      <c r="S156" s="18">
        <v>148</v>
      </c>
      <c r="T156" s="18">
        <v>143</v>
      </c>
      <c r="U156" s="18">
        <v>167</v>
      </c>
      <c r="V156" s="18">
        <v>196</v>
      </c>
      <c r="W156" s="18">
        <v>162</v>
      </c>
      <c r="X156" s="18">
        <v>182</v>
      </c>
      <c r="Y156" s="18">
        <v>152</v>
      </c>
      <c r="Z156" s="18">
        <v>175</v>
      </c>
      <c r="AA156" s="18">
        <v>156</v>
      </c>
      <c r="AB156" s="18">
        <v>191</v>
      </c>
      <c r="AC156" s="18">
        <v>196</v>
      </c>
      <c r="AD156" s="18">
        <v>207</v>
      </c>
      <c r="AE156" s="18">
        <v>163</v>
      </c>
      <c r="AF156" s="17"/>
      <c r="AG156" s="7">
        <f t="shared" si="23"/>
        <v>4747</v>
      </c>
      <c r="AH156" s="98" t="s">
        <v>72</v>
      </c>
    </row>
    <row r="157" spans="1:34" ht="19.5" thickBot="1" x14ac:dyDescent="0.3">
      <c r="A157" s="324" t="s">
        <v>71</v>
      </c>
      <c r="B157" s="263">
        <v>2</v>
      </c>
      <c r="C157" s="140">
        <v>31</v>
      </c>
      <c r="D157" s="140">
        <v>3</v>
      </c>
      <c r="E157" s="140">
        <v>2</v>
      </c>
      <c r="F157" s="140">
        <v>26</v>
      </c>
      <c r="G157" s="385"/>
      <c r="H157" s="140">
        <v>4</v>
      </c>
      <c r="I157" s="140">
        <v>27</v>
      </c>
      <c r="J157" s="140">
        <v>11</v>
      </c>
      <c r="K157" s="140">
        <v>1</v>
      </c>
      <c r="L157" s="140">
        <v>10</v>
      </c>
      <c r="M157" s="140">
        <v>13</v>
      </c>
      <c r="N157" s="140">
        <v>0</v>
      </c>
      <c r="O157" s="140">
        <v>2</v>
      </c>
      <c r="P157" s="140">
        <v>23</v>
      </c>
      <c r="Q157" s="140">
        <v>12</v>
      </c>
      <c r="R157" s="140">
        <v>7</v>
      </c>
      <c r="S157" s="140">
        <v>13</v>
      </c>
      <c r="T157" s="140">
        <v>17</v>
      </c>
      <c r="U157" s="140">
        <v>7</v>
      </c>
      <c r="V157" s="140">
        <v>8</v>
      </c>
      <c r="W157" s="140">
        <v>27</v>
      </c>
      <c r="X157" s="140">
        <v>10</v>
      </c>
      <c r="Y157" s="140">
        <v>12</v>
      </c>
      <c r="Z157" s="140">
        <v>10</v>
      </c>
      <c r="AA157" s="140">
        <v>7</v>
      </c>
      <c r="AB157" s="140">
        <v>7</v>
      </c>
      <c r="AC157" s="140">
        <v>8</v>
      </c>
      <c r="AD157" s="140">
        <v>18</v>
      </c>
      <c r="AE157" s="140">
        <v>14</v>
      </c>
      <c r="AF157" s="139"/>
      <c r="AG157" s="138">
        <f t="shared" si="23"/>
        <v>332</v>
      </c>
      <c r="AH157" s="98"/>
    </row>
    <row r="158" spans="1:34" ht="19.5" thickBot="1" x14ac:dyDescent="0.3">
      <c r="A158" s="333" t="s">
        <v>70</v>
      </c>
      <c r="B158" s="272">
        <f t="shared" ref="B158:AF158" si="25">SUM(B159:B166)</f>
        <v>1</v>
      </c>
      <c r="C158" s="35">
        <f t="shared" si="25"/>
        <v>0</v>
      </c>
      <c r="D158" s="35">
        <f t="shared" si="25"/>
        <v>1</v>
      </c>
      <c r="E158" s="35">
        <f t="shared" si="25"/>
        <v>0</v>
      </c>
      <c r="F158" s="35">
        <f t="shared" si="25"/>
        <v>0</v>
      </c>
      <c r="G158" s="382">
        <f t="shared" si="25"/>
        <v>0</v>
      </c>
      <c r="H158" s="35">
        <f t="shared" si="25"/>
        <v>0</v>
      </c>
      <c r="I158" s="35">
        <f t="shared" si="25"/>
        <v>1</v>
      </c>
      <c r="J158" s="35">
        <f t="shared" si="25"/>
        <v>0</v>
      </c>
      <c r="K158" s="35">
        <f t="shared" si="25"/>
        <v>0</v>
      </c>
      <c r="L158" s="35">
        <f t="shared" si="25"/>
        <v>0</v>
      </c>
      <c r="M158" s="35">
        <f t="shared" si="25"/>
        <v>0</v>
      </c>
      <c r="N158" s="35">
        <f t="shared" si="25"/>
        <v>6</v>
      </c>
      <c r="O158" s="35">
        <f t="shared" si="25"/>
        <v>0</v>
      </c>
      <c r="P158" s="35">
        <f t="shared" si="25"/>
        <v>0</v>
      </c>
      <c r="Q158" s="35">
        <f t="shared" si="25"/>
        <v>0</v>
      </c>
      <c r="R158" s="35">
        <f t="shared" si="25"/>
        <v>0</v>
      </c>
      <c r="S158" s="35">
        <f t="shared" si="25"/>
        <v>0</v>
      </c>
      <c r="T158" s="35">
        <f t="shared" si="25"/>
        <v>0</v>
      </c>
      <c r="U158" s="35">
        <f t="shared" si="25"/>
        <v>0</v>
      </c>
      <c r="V158" s="35">
        <f t="shared" si="25"/>
        <v>0</v>
      </c>
      <c r="W158" s="35">
        <f t="shared" si="25"/>
        <v>0</v>
      </c>
      <c r="X158" s="35">
        <f t="shared" si="25"/>
        <v>4</v>
      </c>
      <c r="Y158" s="35">
        <f t="shared" si="25"/>
        <v>0</v>
      </c>
      <c r="Z158" s="35">
        <f t="shared" si="25"/>
        <v>0</v>
      </c>
      <c r="AA158" s="35">
        <f t="shared" si="25"/>
        <v>0</v>
      </c>
      <c r="AB158" s="35">
        <f t="shared" si="25"/>
        <v>0</v>
      </c>
      <c r="AC158" s="35">
        <f t="shared" si="25"/>
        <v>0</v>
      </c>
      <c r="AD158" s="35">
        <f t="shared" si="25"/>
        <v>0</v>
      </c>
      <c r="AE158" s="35">
        <f t="shared" si="25"/>
        <v>0</v>
      </c>
      <c r="AF158" s="34">
        <f t="shared" si="25"/>
        <v>0</v>
      </c>
      <c r="AG158" s="33">
        <f t="shared" si="23"/>
        <v>13</v>
      </c>
    </row>
    <row r="159" spans="1:34" ht="18.75" x14ac:dyDescent="0.25">
      <c r="A159" s="329" t="s">
        <v>69</v>
      </c>
      <c r="B159" s="268"/>
      <c r="C159" s="136"/>
      <c r="D159" s="136"/>
      <c r="E159" s="136"/>
      <c r="F159" s="136"/>
      <c r="G159" s="383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A159" s="136"/>
      <c r="AB159" s="136"/>
      <c r="AC159" s="136"/>
      <c r="AD159" s="136"/>
      <c r="AE159" s="136"/>
      <c r="AF159" s="135"/>
      <c r="AG159" s="134">
        <f t="shared" si="23"/>
        <v>0</v>
      </c>
    </row>
    <row r="160" spans="1:34" ht="18.75" x14ac:dyDescent="0.25">
      <c r="A160" s="330" t="s">
        <v>68</v>
      </c>
      <c r="B160" s="269"/>
      <c r="C160" s="130"/>
      <c r="D160" s="130"/>
      <c r="E160" s="130"/>
      <c r="F160" s="130"/>
      <c r="G160" s="384"/>
      <c r="H160" s="130"/>
      <c r="I160" s="130">
        <v>1</v>
      </c>
      <c r="J160" s="130"/>
      <c r="K160" s="130"/>
      <c r="L160" s="130"/>
      <c r="M160" s="130"/>
      <c r="N160" s="130">
        <v>1</v>
      </c>
      <c r="O160" s="130"/>
      <c r="P160" s="130"/>
      <c r="Q160" s="130"/>
      <c r="R160" s="130"/>
      <c r="S160" s="130"/>
      <c r="T160" s="130"/>
      <c r="U160" s="130"/>
      <c r="V160" s="130"/>
      <c r="W160" s="130"/>
      <c r="X160" s="130">
        <v>1</v>
      </c>
      <c r="Y160" s="130"/>
      <c r="Z160" s="130"/>
      <c r="AA160" s="130"/>
      <c r="AB160" s="130"/>
      <c r="AC160" s="130"/>
      <c r="AD160" s="130"/>
      <c r="AE160" s="130"/>
      <c r="AF160" s="129"/>
      <c r="AG160" s="64">
        <f t="shared" si="23"/>
        <v>3</v>
      </c>
    </row>
    <row r="161" spans="1:34" ht="18.75" x14ac:dyDescent="0.25">
      <c r="A161" s="330" t="s">
        <v>67</v>
      </c>
      <c r="B161" s="269"/>
      <c r="C161" s="130"/>
      <c r="D161" s="130"/>
      <c r="E161" s="130"/>
      <c r="F161" s="130"/>
      <c r="G161" s="384"/>
      <c r="H161" s="130"/>
      <c r="I161" s="130"/>
      <c r="J161" s="130"/>
      <c r="K161" s="130"/>
      <c r="L161" s="130"/>
      <c r="M161" s="130"/>
      <c r="N161" s="130">
        <v>2</v>
      </c>
      <c r="O161" s="130"/>
      <c r="P161" s="130"/>
      <c r="Q161" s="130"/>
      <c r="R161" s="130"/>
      <c r="S161" s="130"/>
      <c r="T161" s="130"/>
      <c r="U161" s="130"/>
      <c r="V161" s="130"/>
      <c r="W161" s="130"/>
      <c r="X161" s="130">
        <v>2</v>
      </c>
      <c r="Y161" s="130"/>
      <c r="Z161" s="130"/>
      <c r="AA161" s="130"/>
      <c r="AB161" s="130"/>
      <c r="AC161" s="130"/>
      <c r="AD161" s="130"/>
      <c r="AE161" s="130"/>
      <c r="AF161" s="129"/>
      <c r="AG161" s="64">
        <f t="shared" si="23"/>
        <v>4</v>
      </c>
    </row>
    <row r="162" spans="1:34" ht="18.75" x14ac:dyDescent="0.25">
      <c r="A162" s="330" t="s">
        <v>66</v>
      </c>
      <c r="B162" s="269">
        <v>1</v>
      </c>
      <c r="C162" s="130"/>
      <c r="D162" s="130">
        <v>1</v>
      </c>
      <c r="E162" s="130"/>
      <c r="F162" s="130"/>
      <c r="G162" s="384"/>
      <c r="H162" s="130"/>
      <c r="I162" s="130"/>
      <c r="J162" s="130"/>
      <c r="K162" s="130"/>
      <c r="L162" s="130"/>
      <c r="M162" s="130"/>
      <c r="N162" s="130">
        <v>2</v>
      </c>
      <c r="O162" s="130"/>
      <c r="P162" s="130"/>
      <c r="Q162" s="130"/>
      <c r="R162" s="130"/>
      <c r="S162" s="130"/>
      <c r="T162" s="130"/>
      <c r="U162" s="130"/>
      <c r="V162" s="130"/>
      <c r="W162" s="130"/>
      <c r="X162" s="130">
        <v>1</v>
      </c>
      <c r="Y162" s="130"/>
      <c r="Z162" s="130"/>
      <c r="AA162" s="130"/>
      <c r="AB162" s="130"/>
      <c r="AC162" s="130"/>
      <c r="AD162" s="130"/>
      <c r="AE162" s="130"/>
      <c r="AF162" s="129"/>
      <c r="AG162" s="64">
        <f t="shared" si="23"/>
        <v>5</v>
      </c>
    </row>
    <row r="163" spans="1:34" ht="18.75" x14ac:dyDescent="0.25">
      <c r="A163" s="330" t="s">
        <v>65</v>
      </c>
      <c r="B163" s="269"/>
      <c r="C163" s="130"/>
      <c r="D163" s="130"/>
      <c r="E163" s="130"/>
      <c r="F163" s="130"/>
      <c r="G163" s="384"/>
      <c r="H163" s="130"/>
      <c r="I163" s="130"/>
      <c r="J163" s="130"/>
      <c r="K163" s="130"/>
      <c r="L163" s="130"/>
      <c r="M163" s="130"/>
      <c r="N163" s="130"/>
      <c r="O163" s="130"/>
      <c r="P163" s="130"/>
      <c r="Q163" s="130"/>
      <c r="R163" s="130"/>
      <c r="S163" s="130"/>
      <c r="T163" s="130"/>
      <c r="U163" s="130"/>
      <c r="V163" s="130"/>
      <c r="W163" s="130"/>
      <c r="X163" s="130"/>
      <c r="Y163" s="130"/>
      <c r="Z163" s="130"/>
      <c r="AA163" s="130"/>
      <c r="AB163" s="130"/>
      <c r="AC163" s="130"/>
      <c r="AD163" s="130"/>
      <c r="AE163" s="130"/>
      <c r="AF163" s="129"/>
      <c r="AG163" s="64">
        <f t="shared" si="23"/>
        <v>0</v>
      </c>
    </row>
    <row r="164" spans="1:34" ht="18.75" x14ac:dyDescent="0.25">
      <c r="A164" s="330" t="s">
        <v>64</v>
      </c>
      <c r="B164" s="269"/>
      <c r="C164" s="130"/>
      <c r="D164" s="130"/>
      <c r="E164" s="130"/>
      <c r="F164" s="130"/>
      <c r="G164" s="384"/>
      <c r="H164" s="130"/>
      <c r="I164" s="130"/>
      <c r="J164" s="130"/>
      <c r="K164" s="130"/>
      <c r="L164" s="130"/>
      <c r="M164" s="130"/>
      <c r="N164" s="130">
        <v>1</v>
      </c>
      <c r="O164" s="130"/>
      <c r="P164" s="130"/>
      <c r="Q164" s="130"/>
      <c r="R164" s="130"/>
      <c r="S164" s="130"/>
      <c r="T164" s="130"/>
      <c r="U164" s="130"/>
      <c r="V164" s="130"/>
      <c r="W164" s="130"/>
      <c r="X164" s="130"/>
      <c r="Y164" s="130"/>
      <c r="Z164" s="130"/>
      <c r="AA164" s="130"/>
      <c r="AB164" s="130"/>
      <c r="AC164" s="130"/>
      <c r="AD164" s="130"/>
      <c r="AE164" s="130"/>
      <c r="AF164" s="129"/>
      <c r="AG164" s="64">
        <f t="shared" si="23"/>
        <v>1</v>
      </c>
    </row>
    <row r="165" spans="1:34" ht="18.75" x14ac:dyDescent="0.25">
      <c r="A165" s="330" t="s">
        <v>63</v>
      </c>
      <c r="B165" s="269"/>
      <c r="C165" s="130"/>
      <c r="D165" s="130"/>
      <c r="E165" s="130"/>
      <c r="F165" s="130"/>
      <c r="G165" s="384"/>
      <c r="H165" s="130"/>
      <c r="I165" s="130"/>
      <c r="J165" s="130"/>
      <c r="K165" s="130"/>
      <c r="L165" s="130"/>
      <c r="M165" s="130"/>
      <c r="N165" s="130"/>
      <c r="O165" s="130"/>
      <c r="P165" s="130"/>
      <c r="Q165" s="130"/>
      <c r="R165" s="130"/>
      <c r="S165" s="130"/>
      <c r="T165" s="130"/>
      <c r="U165" s="130"/>
      <c r="V165" s="130"/>
      <c r="W165" s="130"/>
      <c r="X165" s="130"/>
      <c r="Y165" s="130"/>
      <c r="Z165" s="130"/>
      <c r="AA165" s="130"/>
      <c r="AB165" s="130"/>
      <c r="AC165" s="130"/>
      <c r="AD165" s="130"/>
      <c r="AE165" s="130"/>
      <c r="AF165" s="129"/>
      <c r="AG165" s="64">
        <f t="shared" si="23"/>
        <v>0</v>
      </c>
    </row>
    <row r="166" spans="1:34" ht="19.5" thickBot="1" x14ac:dyDescent="0.3">
      <c r="A166" s="331" t="s">
        <v>62</v>
      </c>
      <c r="B166" s="270"/>
      <c r="C166" s="127"/>
      <c r="D166" s="127"/>
      <c r="E166" s="127"/>
      <c r="F166" s="127"/>
      <c r="G166" s="385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  <c r="Y166" s="127"/>
      <c r="Z166" s="127"/>
      <c r="AA166" s="127"/>
      <c r="AB166" s="127"/>
      <c r="AC166" s="127"/>
      <c r="AD166" s="127"/>
      <c r="AE166" s="127"/>
      <c r="AF166" s="126"/>
      <c r="AG166" s="10">
        <f t="shared" si="23"/>
        <v>0</v>
      </c>
    </row>
    <row r="167" spans="1:34" ht="18.75" x14ac:dyDescent="0.25">
      <c r="A167" s="332" t="s">
        <v>61</v>
      </c>
      <c r="B167" s="271">
        <f t="shared" ref="B167:AF167" si="26">SUM(B168:B171)</f>
        <v>0</v>
      </c>
      <c r="C167" s="18">
        <f t="shared" si="26"/>
        <v>0</v>
      </c>
      <c r="D167" s="18">
        <f t="shared" si="26"/>
        <v>0</v>
      </c>
      <c r="E167" s="18">
        <f t="shared" si="26"/>
        <v>1</v>
      </c>
      <c r="F167" s="18">
        <f t="shared" si="26"/>
        <v>0</v>
      </c>
      <c r="G167" s="386">
        <f t="shared" si="26"/>
        <v>0</v>
      </c>
      <c r="H167" s="18">
        <f t="shared" si="26"/>
        <v>0</v>
      </c>
      <c r="I167" s="18">
        <f t="shared" si="26"/>
        <v>0</v>
      </c>
      <c r="J167" s="18">
        <f t="shared" si="26"/>
        <v>0</v>
      </c>
      <c r="K167" s="18">
        <f t="shared" si="26"/>
        <v>0</v>
      </c>
      <c r="L167" s="18">
        <f t="shared" si="26"/>
        <v>0</v>
      </c>
      <c r="M167" s="18">
        <f t="shared" si="26"/>
        <v>1</v>
      </c>
      <c r="N167" s="18">
        <f t="shared" si="26"/>
        <v>0</v>
      </c>
      <c r="O167" s="18">
        <f t="shared" si="26"/>
        <v>0</v>
      </c>
      <c r="P167" s="18">
        <f t="shared" si="26"/>
        <v>0</v>
      </c>
      <c r="Q167" s="18">
        <f t="shared" si="26"/>
        <v>1</v>
      </c>
      <c r="R167" s="18">
        <f t="shared" si="26"/>
        <v>1</v>
      </c>
      <c r="S167" s="18">
        <f t="shared" si="26"/>
        <v>0</v>
      </c>
      <c r="T167" s="18">
        <f t="shared" si="26"/>
        <v>0</v>
      </c>
      <c r="U167" s="18">
        <f t="shared" si="26"/>
        <v>1</v>
      </c>
      <c r="V167" s="18">
        <f t="shared" si="26"/>
        <v>0</v>
      </c>
      <c r="W167" s="18">
        <f t="shared" si="26"/>
        <v>0</v>
      </c>
      <c r="X167" s="18">
        <f t="shared" si="26"/>
        <v>1</v>
      </c>
      <c r="Y167" s="18">
        <f t="shared" si="26"/>
        <v>0</v>
      </c>
      <c r="Z167" s="18">
        <f t="shared" si="26"/>
        <v>0</v>
      </c>
      <c r="AA167" s="18">
        <f t="shared" si="26"/>
        <v>0</v>
      </c>
      <c r="AB167" s="18">
        <f t="shared" si="26"/>
        <v>0</v>
      </c>
      <c r="AC167" s="18">
        <f t="shared" si="26"/>
        <v>0</v>
      </c>
      <c r="AD167" s="18">
        <f t="shared" si="26"/>
        <v>0</v>
      </c>
      <c r="AE167" s="18">
        <f t="shared" si="26"/>
        <v>1</v>
      </c>
      <c r="AF167" s="17">
        <f t="shared" si="26"/>
        <v>0</v>
      </c>
      <c r="AG167" s="7">
        <f t="shared" si="23"/>
        <v>7</v>
      </c>
    </row>
    <row r="168" spans="1:34" ht="18.75" x14ac:dyDescent="0.25">
      <c r="A168" s="334" t="s">
        <v>60</v>
      </c>
      <c r="B168" s="269"/>
      <c r="C168" s="130"/>
      <c r="D168" s="130"/>
      <c r="E168" s="130"/>
      <c r="F168" s="130"/>
      <c r="G168" s="384"/>
      <c r="H168" s="130"/>
      <c r="I168" s="130"/>
      <c r="J168" s="130"/>
      <c r="K168" s="130"/>
      <c r="L168" s="130"/>
      <c r="M168" s="130">
        <v>1</v>
      </c>
      <c r="N168" s="130"/>
      <c r="O168" s="130"/>
      <c r="P168" s="130"/>
      <c r="Q168" s="130"/>
      <c r="R168" s="130"/>
      <c r="S168" s="130"/>
      <c r="T168" s="130"/>
      <c r="U168" s="130"/>
      <c r="V168" s="130"/>
      <c r="W168" s="130"/>
      <c r="X168" s="130"/>
      <c r="Y168" s="130"/>
      <c r="Z168" s="130"/>
      <c r="AA168" s="130"/>
      <c r="AB168" s="130"/>
      <c r="AC168" s="130"/>
      <c r="AD168" s="130"/>
      <c r="AE168" s="130"/>
      <c r="AF168" s="129"/>
      <c r="AG168" s="64">
        <f t="shared" si="23"/>
        <v>1</v>
      </c>
    </row>
    <row r="169" spans="1:34" ht="18.75" x14ac:dyDescent="0.25">
      <c r="A169" s="334" t="s">
        <v>59</v>
      </c>
      <c r="B169" s="269"/>
      <c r="C169" s="130"/>
      <c r="D169" s="130"/>
      <c r="E169" s="130"/>
      <c r="F169" s="130"/>
      <c r="G169" s="384"/>
      <c r="H169" s="130"/>
      <c r="I169" s="130"/>
      <c r="J169" s="130"/>
      <c r="K169" s="130"/>
      <c r="L169" s="130"/>
      <c r="M169" s="130"/>
      <c r="N169" s="130"/>
      <c r="O169" s="130"/>
      <c r="P169" s="130"/>
      <c r="Q169" s="130"/>
      <c r="R169" s="130"/>
      <c r="S169" s="130"/>
      <c r="T169" s="130"/>
      <c r="U169" s="130"/>
      <c r="V169" s="130"/>
      <c r="W169" s="130"/>
      <c r="X169" s="130"/>
      <c r="Y169" s="130"/>
      <c r="Z169" s="130"/>
      <c r="AA169" s="130"/>
      <c r="AB169" s="130"/>
      <c r="AC169" s="130"/>
      <c r="AD169" s="130"/>
      <c r="AE169" s="130"/>
      <c r="AF169" s="129"/>
      <c r="AG169" s="64">
        <f t="shared" si="23"/>
        <v>0</v>
      </c>
    </row>
    <row r="170" spans="1:34" ht="18.75" x14ac:dyDescent="0.25">
      <c r="A170" s="334" t="s">
        <v>58</v>
      </c>
      <c r="B170" s="269"/>
      <c r="C170" s="130"/>
      <c r="D170" s="130"/>
      <c r="E170" s="130"/>
      <c r="F170" s="130"/>
      <c r="G170" s="384"/>
      <c r="H170" s="130"/>
      <c r="I170" s="130"/>
      <c r="J170" s="130"/>
      <c r="K170" s="130"/>
      <c r="L170" s="130"/>
      <c r="M170" s="130"/>
      <c r="N170" s="130"/>
      <c r="O170" s="130"/>
      <c r="P170" s="130"/>
      <c r="Q170" s="130"/>
      <c r="R170" s="130"/>
      <c r="S170" s="130"/>
      <c r="T170" s="130"/>
      <c r="U170" s="130"/>
      <c r="V170" s="130"/>
      <c r="W170" s="130"/>
      <c r="X170" s="130"/>
      <c r="Y170" s="130"/>
      <c r="Z170" s="130"/>
      <c r="AA170" s="130"/>
      <c r="AB170" s="130"/>
      <c r="AC170" s="130"/>
      <c r="AD170" s="130"/>
      <c r="AE170" s="130"/>
      <c r="AF170" s="129"/>
      <c r="AG170" s="64">
        <f t="shared" si="23"/>
        <v>0</v>
      </c>
    </row>
    <row r="171" spans="1:34" ht="19.5" thickBot="1" x14ac:dyDescent="0.3">
      <c r="A171" s="335" t="s">
        <v>57</v>
      </c>
      <c r="B171" s="270"/>
      <c r="C171" s="127"/>
      <c r="D171" s="127"/>
      <c r="E171" s="127">
        <v>1</v>
      </c>
      <c r="F171" s="127"/>
      <c r="G171" s="385"/>
      <c r="H171" s="127"/>
      <c r="I171" s="127"/>
      <c r="J171" s="127"/>
      <c r="K171" s="127"/>
      <c r="L171" s="127"/>
      <c r="M171" s="127"/>
      <c r="N171" s="127"/>
      <c r="O171" s="127"/>
      <c r="P171" s="127"/>
      <c r="Q171" s="127">
        <v>1</v>
      </c>
      <c r="R171" s="127">
        <v>1</v>
      </c>
      <c r="S171" s="127"/>
      <c r="T171" s="127"/>
      <c r="U171" s="127">
        <v>1</v>
      </c>
      <c r="V171" s="127"/>
      <c r="W171" s="127"/>
      <c r="X171" s="127">
        <v>1</v>
      </c>
      <c r="Y171" s="127"/>
      <c r="Z171" s="127"/>
      <c r="AA171" s="127"/>
      <c r="AB171" s="127"/>
      <c r="AC171" s="127"/>
      <c r="AD171" s="127"/>
      <c r="AE171" s="127">
        <v>1</v>
      </c>
      <c r="AF171" s="126"/>
      <c r="AG171" s="10">
        <f t="shared" si="23"/>
        <v>6</v>
      </c>
    </row>
    <row r="172" spans="1:34" ht="19.5" thickBot="1" x14ac:dyDescent="0.3">
      <c r="A172" s="336" t="s">
        <v>56</v>
      </c>
      <c r="B172" s="273"/>
      <c r="C172" s="124"/>
      <c r="D172" s="124"/>
      <c r="E172" s="124"/>
      <c r="F172" s="124"/>
      <c r="G172" s="389"/>
      <c r="H172" s="124"/>
      <c r="I172" s="124">
        <v>1</v>
      </c>
      <c r="J172" s="124"/>
      <c r="K172" s="124"/>
      <c r="L172" s="124"/>
      <c r="M172" s="124"/>
      <c r="N172" s="124"/>
      <c r="O172" s="124"/>
      <c r="P172" s="124"/>
      <c r="Q172" s="124"/>
      <c r="R172" s="124"/>
      <c r="S172" s="124"/>
      <c r="T172" s="124"/>
      <c r="U172" s="124"/>
      <c r="V172" s="124"/>
      <c r="W172" s="124"/>
      <c r="X172" s="124"/>
      <c r="Y172" s="124"/>
      <c r="Z172" s="124"/>
      <c r="AA172" s="124">
        <v>1</v>
      </c>
      <c r="AB172" s="124"/>
      <c r="AC172" s="124"/>
      <c r="AD172" s="124"/>
      <c r="AE172" s="124"/>
      <c r="AF172" s="123"/>
      <c r="AG172" s="122">
        <f t="shared" si="23"/>
        <v>2</v>
      </c>
    </row>
    <row r="173" spans="1:34" ht="19.5" thickBot="1" x14ac:dyDescent="0.3">
      <c r="A173" s="299" t="s">
        <v>55</v>
      </c>
      <c r="B173" s="247">
        <f>SUM(B174:B176)</f>
        <v>0</v>
      </c>
      <c r="C173" s="120">
        <f t="shared" ref="C173:AF173" si="27">SUM(C174:C176)</f>
        <v>1</v>
      </c>
      <c r="D173" s="120">
        <f t="shared" si="27"/>
        <v>0</v>
      </c>
      <c r="E173" s="120">
        <f t="shared" si="27"/>
        <v>0</v>
      </c>
      <c r="F173" s="120">
        <f t="shared" si="27"/>
        <v>0</v>
      </c>
      <c r="G173" s="382">
        <f t="shared" si="27"/>
        <v>0</v>
      </c>
      <c r="H173" s="120">
        <f t="shared" si="27"/>
        <v>1</v>
      </c>
      <c r="I173" s="120">
        <f t="shared" si="27"/>
        <v>0</v>
      </c>
      <c r="J173" s="120">
        <f t="shared" si="27"/>
        <v>0</v>
      </c>
      <c r="K173" s="120">
        <f t="shared" si="27"/>
        <v>0</v>
      </c>
      <c r="L173" s="120">
        <f t="shared" si="27"/>
        <v>0</v>
      </c>
      <c r="M173" s="120">
        <f t="shared" si="27"/>
        <v>0</v>
      </c>
      <c r="N173" s="120">
        <f t="shared" si="27"/>
        <v>0</v>
      </c>
      <c r="O173" s="120">
        <f t="shared" si="27"/>
        <v>0</v>
      </c>
      <c r="P173" s="120">
        <f t="shared" si="27"/>
        <v>0</v>
      </c>
      <c r="Q173" s="120">
        <f t="shared" si="27"/>
        <v>0</v>
      </c>
      <c r="R173" s="120">
        <f t="shared" si="27"/>
        <v>0</v>
      </c>
      <c r="S173" s="120">
        <f t="shared" si="27"/>
        <v>1</v>
      </c>
      <c r="T173" s="120">
        <f t="shared" si="27"/>
        <v>0</v>
      </c>
      <c r="U173" s="120">
        <f t="shared" si="27"/>
        <v>1</v>
      </c>
      <c r="V173" s="120">
        <f t="shared" si="27"/>
        <v>3</v>
      </c>
      <c r="W173" s="120">
        <f t="shared" si="27"/>
        <v>0</v>
      </c>
      <c r="X173" s="120">
        <f t="shared" si="27"/>
        <v>1</v>
      </c>
      <c r="Y173" s="120">
        <f t="shared" si="27"/>
        <v>0</v>
      </c>
      <c r="Z173" s="120">
        <f t="shared" si="27"/>
        <v>0</v>
      </c>
      <c r="AA173" s="120">
        <f t="shared" si="27"/>
        <v>2</v>
      </c>
      <c r="AB173" s="120">
        <f t="shared" si="27"/>
        <v>0</v>
      </c>
      <c r="AC173" s="120">
        <f t="shared" si="27"/>
        <v>2</v>
      </c>
      <c r="AD173" s="120">
        <f t="shared" si="27"/>
        <v>2</v>
      </c>
      <c r="AE173" s="120">
        <f t="shared" si="27"/>
        <v>0</v>
      </c>
      <c r="AF173" s="119">
        <f t="shared" si="27"/>
        <v>0</v>
      </c>
      <c r="AG173" s="118">
        <f t="shared" si="23"/>
        <v>14</v>
      </c>
      <c r="AH173" s="98" t="s">
        <v>54</v>
      </c>
    </row>
    <row r="174" spans="1:34" ht="18.75" x14ac:dyDescent="0.25">
      <c r="A174" s="337" t="s">
        <v>53</v>
      </c>
      <c r="B174" s="274">
        <v>0</v>
      </c>
      <c r="C174" s="116">
        <v>1</v>
      </c>
      <c r="D174" s="116">
        <v>0</v>
      </c>
      <c r="E174" s="116">
        <v>0</v>
      </c>
      <c r="F174" s="116">
        <v>0</v>
      </c>
      <c r="G174" s="383">
        <v>0</v>
      </c>
      <c r="H174" s="116">
        <v>0</v>
      </c>
      <c r="I174" s="116">
        <v>0</v>
      </c>
      <c r="J174" s="116">
        <v>0</v>
      </c>
      <c r="K174" s="116">
        <v>0</v>
      </c>
      <c r="L174" s="116">
        <v>0</v>
      </c>
      <c r="M174" s="116">
        <v>0</v>
      </c>
      <c r="N174" s="116">
        <v>0</v>
      </c>
      <c r="O174" s="116">
        <v>0</v>
      </c>
      <c r="P174" s="116">
        <v>0</v>
      </c>
      <c r="Q174" s="116">
        <v>0</v>
      </c>
      <c r="R174" s="116">
        <v>0</v>
      </c>
      <c r="S174" s="116">
        <v>1</v>
      </c>
      <c r="T174" s="116">
        <v>0</v>
      </c>
      <c r="U174" s="116">
        <v>1</v>
      </c>
      <c r="V174" s="116">
        <v>3</v>
      </c>
      <c r="W174" s="116">
        <v>0</v>
      </c>
      <c r="X174" s="116">
        <v>1</v>
      </c>
      <c r="Y174" s="116">
        <v>0</v>
      </c>
      <c r="Z174" s="116">
        <v>0</v>
      </c>
      <c r="AA174" s="116">
        <v>2</v>
      </c>
      <c r="AB174" s="116">
        <v>0</v>
      </c>
      <c r="AC174" s="116">
        <v>2</v>
      </c>
      <c r="AD174" s="116"/>
      <c r="AE174" s="116">
        <v>0</v>
      </c>
      <c r="AF174" s="115"/>
      <c r="AG174" s="114">
        <f t="shared" si="23"/>
        <v>11</v>
      </c>
      <c r="AH174" s="98"/>
    </row>
    <row r="175" spans="1:34" ht="18.75" x14ac:dyDescent="0.25">
      <c r="A175" s="338" t="s">
        <v>52</v>
      </c>
      <c r="B175" s="275"/>
      <c r="C175" s="112"/>
      <c r="D175" s="112"/>
      <c r="E175" s="112"/>
      <c r="F175" s="112"/>
      <c r="G175" s="384"/>
      <c r="H175" s="112">
        <v>1</v>
      </c>
      <c r="I175" s="112"/>
      <c r="J175" s="112"/>
      <c r="K175" s="112"/>
      <c r="L175" s="112"/>
      <c r="M175" s="112"/>
      <c r="N175" s="112"/>
      <c r="O175" s="112"/>
      <c r="P175" s="112"/>
      <c r="Q175" s="112"/>
      <c r="R175" s="112"/>
      <c r="S175" s="112"/>
      <c r="T175" s="112"/>
      <c r="U175" s="112"/>
      <c r="V175" s="112"/>
      <c r="W175" s="112"/>
      <c r="X175" s="112"/>
      <c r="Y175" s="112"/>
      <c r="Z175" s="112"/>
      <c r="AA175" s="112"/>
      <c r="AB175" s="112"/>
      <c r="AC175" s="112"/>
      <c r="AD175" s="112">
        <v>2</v>
      </c>
      <c r="AE175" s="112"/>
      <c r="AF175" s="111"/>
      <c r="AG175" s="110">
        <f t="shared" si="23"/>
        <v>3</v>
      </c>
      <c r="AH175" s="98"/>
    </row>
    <row r="176" spans="1:34" ht="19.5" thickBot="1" x14ac:dyDescent="0.3">
      <c r="A176" s="371" t="s">
        <v>168</v>
      </c>
      <c r="B176" s="372"/>
      <c r="C176" s="373"/>
      <c r="D176" s="373"/>
      <c r="E176" s="373"/>
      <c r="F176" s="373"/>
      <c r="G176" s="387"/>
      <c r="H176" s="373"/>
      <c r="I176" s="373"/>
      <c r="J176" s="373"/>
      <c r="K176" s="373"/>
      <c r="L176" s="373"/>
      <c r="M176" s="373"/>
      <c r="N176" s="373"/>
      <c r="O176" s="373"/>
      <c r="P176" s="373"/>
      <c r="Q176" s="373"/>
      <c r="R176" s="373"/>
      <c r="S176" s="373"/>
      <c r="T176" s="373"/>
      <c r="U176" s="373"/>
      <c r="V176" s="373"/>
      <c r="W176" s="373"/>
      <c r="X176" s="373"/>
      <c r="Y176" s="373"/>
      <c r="Z176" s="373"/>
      <c r="AA176" s="373"/>
      <c r="AB176" s="373"/>
      <c r="AC176" s="373"/>
      <c r="AD176" s="373"/>
      <c r="AE176" s="373"/>
      <c r="AF176" s="374"/>
      <c r="AG176" s="375">
        <f t="shared" si="23"/>
        <v>0</v>
      </c>
      <c r="AH176" s="98"/>
    </row>
    <row r="177" spans="1:34" ht="19.5" thickBot="1" x14ac:dyDescent="0.3">
      <c r="A177" s="312" t="s">
        <v>51</v>
      </c>
      <c r="B177" s="376">
        <f t="shared" ref="B177:AF177" si="28">SUM(B178:B179)</f>
        <v>2</v>
      </c>
      <c r="C177" s="377">
        <f t="shared" si="28"/>
        <v>6</v>
      </c>
      <c r="D177" s="377">
        <f t="shared" si="28"/>
        <v>1</v>
      </c>
      <c r="E177" s="377">
        <f t="shared" si="28"/>
        <v>1</v>
      </c>
      <c r="F177" s="377">
        <f t="shared" si="28"/>
        <v>5</v>
      </c>
      <c r="G177" s="382">
        <f t="shared" si="28"/>
        <v>2</v>
      </c>
      <c r="H177" s="377">
        <f t="shared" si="28"/>
        <v>2</v>
      </c>
      <c r="I177" s="377">
        <f t="shared" si="28"/>
        <v>3</v>
      </c>
      <c r="J177" s="377">
        <f t="shared" si="28"/>
        <v>2</v>
      </c>
      <c r="K177" s="377">
        <f t="shared" si="28"/>
        <v>1</v>
      </c>
      <c r="L177" s="377">
        <f t="shared" si="28"/>
        <v>0</v>
      </c>
      <c r="M177" s="377">
        <f t="shared" si="28"/>
        <v>1</v>
      </c>
      <c r="N177" s="377">
        <f t="shared" si="28"/>
        <v>1</v>
      </c>
      <c r="O177" s="377">
        <f t="shared" si="28"/>
        <v>0</v>
      </c>
      <c r="P177" s="377">
        <f t="shared" si="28"/>
        <v>6</v>
      </c>
      <c r="Q177" s="377">
        <f t="shared" si="28"/>
        <v>0</v>
      </c>
      <c r="R177" s="377">
        <f t="shared" si="28"/>
        <v>1</v>
      </c>
      <c r="S177" s="377">
        <f t="shared" si="28"/>
        <v>4</v>
      </c>
      <c r="T177" s="377">
        <f t="shared" si="28"/>
        <v>0</v>
      </c>
      <c r="U177" s="377">
        <f t="shared" si="28"/>
        <v>1</v>
      </c>
      <c r="V177" s="377">
        <f t="shared" si="28"/>
        <v>4</v>
      </c>
      <c r="W177" s="377">
        <f t="shared" si="28"/>
        <v>3</v>
      </c>
      <c r="X177" s="377">
        <f t="shared" si="28"/>
        <v>3</v>
      </c>
      <c r="Y177" s="377">
        <f t="shared" si="28"/>
        <v>4</v>
      </c>
      <c r="Z177" s="377">
        <f t="shared" si="28"/>
        <v>6</v>
      </c>
      <c r="AA177" s="377">
        <f t="shared" si="28"/>
        <v>2</v>
      </c>
      <c r="AB177" s="377">
        <f t="shared" si="28"/>
        <v>3</v>
      </c>
      <c r="AC177" s="377">
        <f t="shared" si="28"/>
        <v>0</v>
      </c>
      <c r="AD177" s="377">
        <f t="shared" si="28"/>
        <v>3</v>
      </c>
      <c r="AE177" s="377">
        <f t="shared" si="28"/>
        <v>1</v>
      </c>
      <c r="AF177" s="378">
        <f t="shared" si="28"/>
        <v>0</v>
      </c>
      <c r="AG177" s="379">
        <f t="shared" si="23"/>
        <v>68</v>
      </c>
      <c r="AH177" s="98" t="s">
        <v>48</v>
      </c>
    </row>
    <row r="178" spans="1:34" ht="18.75" x14ac:dyDescent="0.25">
      <c r="A178" s="340" t="s">
        <v>50</v>
      </c>
      <c r="B178" s="277">
        <v>0</v>
      </c>
      <c r="C178" s="105">
        <v>0</v>
      </c>
      <c r="D178" s="105">
        <v>0</v>
      </c>
      <c r="E178" s="105">
        <v>1</v>
      </c>
      <c r="F178" s="105">
        <v>0</v>
      </c>
      <c r="G178" s="386">
        <v>0</v>
      </c>
      <c r="H178" s="105">
        <v>0</v>
      </c>
      <c r="I178" s="105">
        <v>0</v>
      </c>
      <c r="J178" s="105">
        <v>1</v>
      </c>
      <c r="K178" s="105">
        <v>0</v>
      </c>
      <c r="L178" s="105">
        <v>0</v>
      </c>
      <c r="M178" s="105">
        <v>0</v>
      </c>
      <c r="N178" s="105">
        <v>1</v>
      </c>
      <c r="O178" s="105">
        <v>0</v>
      </c>
      <c r="P178" s="105">
        <v>0</v>
      </c>
      <c r="Q178" s="105">
        <v>0</v>
      </c>
      <c r="R178" s="105">
        <v>1</v>
      </c>
      <c r="S178" s="105">
        <v>0</v>
      </c>
      <c r="T178" s="105">
        <v>0</v>
      </c>
      <c r="U178" s="105">
        <v>0</v>
      </c>
      <c r="V178" s="105">
        <v>2</v>
      </c>
      <c r="W178" s="105">
        <v>0</v>
      </c>
      <c r="X178" s="105">
        <v>1</v>
      </c>
      <c r="Y178" s="105">
        <v>0</v>
      </c>
      <c r="Z178" s="105">
        <v>1</v>
      </c>
      <c r="AA178" s="105">
        <v>0</v>
      </c>
      <c r="AB178" s="105">
        <v>0</v>
      </c>
      <c r="AC178" s="105">
        <v>0</v>
      </c>
      <c r="AD178" s="105">
        <v>0</v>
      </c>
      <c r="AE178" s="105">
        <v>0</v>
      </c>
      <c r="AF178" s="104"/>
      <c r="AG178" s="103">
        <f t="shared" si="23"/>
        <v>8</v>
      </c>
      <c r="AH178" s="98" t="s">
        <v>48</v>
      </c>
    </row>
    <row r="179" spans="1:34" ht="19.5" thickBot="1" x14ac:dyDescent="0.3">
      <c r="A179" s="313" t="s">
        <v>49</v>
      </c>
      <c r="B179" s="278">
        <v>2</v>
      </c>
      <c r="C179" s="101">
        <v>6</v>
      </c>
      <c r="D179" s="101">
        <v>1</v>
      </c>
      <c r="E179" s="101">
        <v>0</v>
      </c>
      <c r="F179" s="101">
        <v>5</v>
      </c>
      <c r="G179" s="389">
        <v>2</v>
      </c>
      <c r="H179" s="101">
        <v>2</v>
      </c>
      <c r="I179" s="101">
        <v>3</v>
      </c>
      <c r="J179" s="101">
        <v>1</v>
      </c>
      <c r="K179" s="101">
        <v>1</v>
      </c>
      <c r="L179" s="101">
        <v>0</v>
      </c>
      <c r="M179" s="101">
        <v>1</v>
      </c>
      <c r="N179" s="101">
        <v>0</v>
      </c>
      <c r="O179" s="101">
        <v>0</v>
      </c>
      <c r="P179" s="101">
        <v>6</v>
      </c>
      <c r="Q179" s="101">
        <v>0</v>
      </c>
      <c r="R179" s="101">
        <v>0</v>
      </c>
      <c r="S179" s="101">
        <v>4</v>
      </c>
      <c r="T179" s="101">
        <v>0</v>
      </c>
      <c r="U179" s="101">
        <v>1</v>
      </c>
      <c r="V179" s="101">
        <v>2</v>
      </c>
      <c r="W179" s="101">
        <v>3</v>
      </c>
      <c r="X179" s="101">
        <v>2</v>
      </c>
      <c r="Y179" s="101">
        <v>4</v>
      </c>
      <c r="Z179" s="101">
        <v>5</v>
      </c>
      <c r="AA179" s="101">
        <v>2</v>
      </c>
      <c r="AB179" s="101">
        <v>3</v>
      </c>
      <c r="AC179" s="101">
        <v>0</v>
      </c>
      <c r="AD179" s="101">
        <v>3</v>
      </c>
      <c r="AE179" s="101">
        <v>1</v>
      </c>
      <c r="AF179" s="100"/>
      <c r="AG179" s="99">
        <f t="shared" si="23"/>
        <v>60</v>
      </c>
      <c r="AH179" s="98" t="s">
        <v>48</v>
      </c>
    </row>
    <row r="180" spans="1:34" ht="18.75" x14ac:dyDescent="0.25">
      <c r="A180" s="341" t="s">
        <v>47</v>
      </c>
      <c r="B180" s="279"/>
      <c r="C180" s="96"/>
      <c r="D180" s="96"/>
      <c r="E180" s="96"/>
      <c r="F180" s="96"/>
      <c r="G180" s="38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  <c r="AA180" s="96"/>
      <c r="AB180" s="96"/>
      <c r="AC180" s="96"/>
      <c r="AD180" s="96"/>
      <c r="AE180" s="96"/>
      <c r="AF180" s="95"/>
      <c r="AG180" s="94">
        <f t="shared" ref="AG180:AG211" si="29">SUM(B180:AF180)</f>
        <v>0</v>
      </c>
    </row>
    <row r="181" spans="1:34" ht="19.5" thickBot="1" x14ac:dyDescent="0.3">
      <c r="A181" s="342" t="s">
        <v>46</v>
      </c>
      <c r="B181" s="280"/>
      <c r="C181" s="92"/>
      <c r="D181" s="92"/>
      <c r="E181" s="92"/>
      <c r="F181" s="92"/>
      <c r="G181" s="385"/>
      <c r="H181" s="92"/>
      <c r="I181" s="92"/>
      <c r="J181" s="92"/>
      <c r="K181" s="92"/>
      <c r="L181" s="92"/>
      <c r="M181" s="92"/>
      <c r="N181" s="92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2"/>
      <c r="AA181" s="92"/>
      <c r="AB181" s="92"/>
      <c r="AC181" s="92"/>
      <c r="AD181" s="92"/>
      <c r="AE181" s="92"/>
      <c r="AF181" s="91"/>
      <c r="AG181" s="90">
        <f t="shared" si="29"/>
        <v>0</v>
      </c>
    </row>
    <row r="182" spans="1:34" ht="19.5" thickBot="1" x14ac:dyDescent="0.3">
      <c r="A182" s="343" t="s">
        <v>45</v>
      </c>
      <c r="B182" s="281">
        <f t="shared" ref="B182:AF182" si="30">SUM(B183:B208)</f>
        <v>75</v>
      </c>
      <c r="C182" s="88">
        <f t="shared" si="30"/>
        <v>91</v>
      </c>
      <c r="D182" s="88">
        <f t="shared" si="30"/>
        <v>55</v>
      </c>
      <c r="E182" s="88">
        <f t="shared" si="30"/>
        <v>78</v>
      </c>
      <c r="F182" s="88">
        <f t="shared" si="30"/>
        <v>52</v>
      </c>
      <c r="G182" s="382">
        <f t="shared" si="30"/>
        <v>39</v>
      </c>
      <c r="H182" s="88">
        <f t="shared" si="30"/>
        <v>76</v>
      </c>
      <c r="I182" s="88">
        <f t="shared" si="30"/>
        <v>96</v>
      </c>
      <c r="J182" s="88">
        <f t="shared" si="30"/>
        <v>78</v>
      </c>
      <c r="K182" s="88">
        <f t="shared" si="30"/>
        <v>70</v>
      </c>
      <c r="L182" s="88">
        <f t="shared" si="30"/>
        <v>86</v>
      </c>
      <c r="M182" s="88">
        <f t="shared" si="30"/>
        <v>56</v>
      </c>
      <c r="N182" s="88">
        <f t="shared" si="30"/>
        <v>64</v>
      </c>
      <c r="O182" s="88">
        <f t="shared" si="30"/>
        <v>58</v>
      </c>
      <c r="P182" s="88">
        <f t="shared" si="30"/>
        <v>70</v>
      </c>
      <c r="Q182" s="88">
        <f t="shared" si="30"/>
        <v>71</v>
      </c>
      <c r="R182" s="88">
        <f t="shared" si="30"/>
        <v>81</v>
      </c>
      <c r="S182" s="88">
        <f t="shared" si="30"/>
        <v>88</v>
      </c>
      <c r="T182" s="88">
        <f t="shared" si="30"/>
        <v>60</v>
      </c>
      <c r="U182" s="88">
        <f t="shared" si="30"/>
        <v>58</v>
      </c>
      <c r="V182" s="88">
        <f t="shared" si="30"/>
        <v>80</v>
      </c>
      <c r="W182" s="88">
        <f t="shared" si="30"/>
        <v>88</v>
      </c>
      <c r="X182" s="88">
        <f t="shared" si="30"/>
        <v>97</v>
      </c>
      <c r="Y182" s="88">
        <f t="shared" si="30"/>
        <v>81</v>
      </c>
      <c r="Z182" s="88">
        <f t="shared" si="30"/>
        <v>93</v>
      </c>
      <c r="AA182" s="88">
        <f t="shared" si="30"/>
        <v>72</v>
      </c>
      <c r="AB182" s="88">
        <f t="shared" si="30"/>
        <v>64</v>
      </c>
      <c r="AC182" s="88">
        <f t="shared" si="30"/>
        <v>81</v>
      </c>
      <c r="AD182" s="88">
        <f t="shared" si="30"/>
        <v>78</v>
      </c>
      <c r="AE182" s="88">
        <f t="shared" si="30"/>
        <v>69</v>
      </c>
      <c r="AF182" s="87">
        <f t="shared" si="30"/>
        <v>0</v>
      </c>
      <c r="AG182" s="86">
        <f t="shared" si="29"/>
        <v>2205</v>
      </c>
      <c r="AH182" s="85"/>
    </row>
    <row r="183" spans="1:34" ht="18.75" x14ac:dyDescent="0.25">
      <c r="A183" s="76" t="s">
        <v>44</v>
      </c>
      <c r="B183" s="282">
        <v>3</v>
      </c>
      <c r="C183" s="84">
        <v>2</v>
      </c>
      <c r="D183" s="84"/>
      <c r="E183" s="84">
        <v>7</v>
      </c>
      <c r="F183" s="84">
        <v>2</v>
      </c>
      <c r="G183" s="392"/>
      <c r="H183" s="84">
        <v>4</v>
      </c>
      <c r="I183" s="84">
        <v>1</v>
      </c>
      <c r="J183" s="84">
        <v>2</v>
      </c>
      <c r="K183" s="84">
        <v>4</v>
      </c>
      <c r="L183" s="84">
        <v>1</v>
      </c>
      <c r="M183" s="84"/>
      <c r="N183" s="83">
        <v>3</v>
      </c>
      <c r="O183" s="83">
        <v>3</v>
      </c>
      <c r="P183" s="83">
        <v>6</v>
      </c>
      <c r="Q183" s="83">
        <v>7</v>
      </c>
      <c r="R183" s="83">
        <v>6</v>
      </c>
      <c r="S183" s="83">
        <v>9</v>
      </c>
      <c r="T183" s="83">
        <v>1</v>
      </c>
      <c r="U183" s="83">
        <v>3</v>
      </c>
      <c r="V183" s="83">
        <v>6</v>
      </c>
      <c r="W183" s="83">
        <v>6</v>
      </c>
      <c r="X183" s="83">
        <v>5</v>
      </c>
      <c r="Y183" s="83">
        <v>7</v>
      </c>
      <c r="Z183" s="83">
        <v>7</v>
      </c>
      <c r="AA183" s="83">
        <v>1</v>
      </c>
      <c r="AB183" s="83">
        <v>8</v>
      </c>
      <c r="AC183" s="83">
        <v>12</v>
      </c>
      <c r="AD183" s="83">
        <v>2</v>
      </c>
      <c r="AE183" s="83">
        <v>1</v>
      </c>
      <c r="AF183" s="82"/>
      <c r="AG183" s="11">
        <f t="shared" si="29"/>
        <v>119</v>
      </c>
    </row>
    <row r="184" spans="1:34" ht="18.75" x14ac:dyDescent="0.25">
      <c r="A184" s="76" t="s">
        <v>43</v>
      </c>
      <c r="B184" s="283"/>
      <c r="C184" s="69"/>
      <c r="D184" s="69"/>
      <c r="E184" s="69">
        <v>1</v>
      </c>
      <c r="F184" s="69"/>
      <c r="G184" s="393"/>
      <c r="H184" s="69"/>
      <c r="I184" s="69"/>
      <c r="J184" s="69"/>
      <c r="K184" s="69"/>
      <c r="L184" s="69">
        <v>1</v>
      </c>
      <c r="M184" s="69"/>
      <c r="N184" s="68"/>
      <c r="O184" s="68"/>
      <c r="P184" s="68"/>
      <c r="Q184" s="68"/>
      <c r="R184" s="68"/>
      <c r="S184" s="68"/>
      <c r="T184" s="68"/>
      <c r="U184" s="68"/>
      <c r="V184" s="68">
        <v>1</v>
      </c>
      <c r="W184" s="68"/>
      <c r="X184" s="68"/>
      <c r="Y184" s="68"/>
      <c r="Z184" s="68">
        <v>5</v>
      </c>
      <c r="AA184" s="68">
        <v>1</v>
      </c>
      <c r="AB184" s="68"/>
      <c r="AC184" s="68"/>
      <c r="AD184" s="68"/>
      <c r="AE184" s="68"/>
      <c r="AF184" s="67"/>
      <c r="AG184" s="64">
        <f t="shared" si="29"/>
        <v>9</v>
      </c>
    </row>
    <row r="185" spans="1:34" ht="18.75" x14ac:dyDescent="0.25">
      <c r="A185" s="76" t="s">
        <v>42</v>
      </c>
      <c r="B185" s="283"/>
      <c r="C185" s="69">
        <v>9</v>
      </c>
      <c r="D185" s="69"/>
      <c r="E185" s="69"/>
      <c r="F185" s="69">
        <v>1</v>
      </c>
      <c r="G185" s="393"/>
      <c r="H185" s="69"/>
      <c r="I185" s="69">
        <v>7</v>
      </c>
      <c r="J185" s="69">
        <v>3</v>
      </c>
      <c r="K185" s="69"/>
      <c r="L185" s="69"/>
      <c r="M185" s="69">
        <v>1</v>
      </c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>
        <v>1</v>
      </c>
      <c r="Y185" s="68"/>
      <c r="Z185" s="68"/>
      <c r="AA185" s="68"/>
      <c r="AB185" s="68"/>
      <c r="AC185" s="68"/>
      <c r="AD185" s="68"/>
      <c r="AE185" s="68"/>
      <c r="AF185" s="67"/>
      <c r="AG185" s="64">
        <f t="shared" si="29"/>
        <v>22</v>
      </c>
    </row>
    <row r="186" spans="1:34" ht="18.75" x14ac:dyDescent="0.25">
      <c r="A186" s="76" t="s">
        <v>41</v>
      </c>
      <c r="B186" s="283"/>
      <c r="C186" s="69"/>
      <c r="D186" s="69"/>
      <c r="E186" s="69"/>
      <c r="F186" s="69"/>
      <c r="G186" s="393"/>
      <c r="H186" s="69"/>
      <c r="I186" s="69"/>
      <c r="J186" s="69"/>
      <c r="K186" s="69"/>
      <c r="L186" s="69"/>
      <c r="M186" s="69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  <c r="AA186" s="68"/>
      <c r="AB186" s="68"/>
      <c r="AC186" s="68"/>
      <c r="AD186" s="68"/>
      <c r="AE186" s="68"/>
      <c r="AF186" s="67"/>
      <c r="AG186" s="64">
        <f t="shared" si="29"/>
        <v>0</v>
      </c>
    </row>
    <row r="187" spans="1:34" s="77" customFormat="1" ht="18.75" x14ac:dyDescent="0.25">
      <c r="A187" s="81" t="s">
        <v>40</v>
      </c>
      <c r="B187" s="284">
        <v>71</v>
      </c>
      <c r="C187" s="80">
        <v>77</v>
      </c>
      <c r="D187" s="80">
        <v>53</v>
      </c>
      <c r="E187" s="80">
        <v>59</v>
      </c>
      <c r="F187" s="80">
        <v>49</v>
      </c>
      <c r="G187" s="393">
        <v>39</v>
      </c>
      <c r="H187" s="80">
        <v>72</v>
      </c>
      <c r="I187" s="80">
        <v>85</v>
      </c>
      <c r="J187" s="80">
        <v>70</v>
      </c>
      <c r="K187" s="80">
        <v>64</v>
      </c>
      <c r="L187" s="80">
        <v>70</v>
      </c>
      <c r="M187" s="80">
        <v>53</v>
      </c>
      <c r="N187" s="79">
        <v>58</v>
      </c>
      <c r="O187" s="79">
        <v>55</v>
      </c>
      <c r="P187" s="79">
        <v>63</v>
      </c>
      <c r="Q187" s="79">
        <v>62</v>
      </c>
      <c r="R187" s="79">
        <v>74</v>
      </c>
      <c r="S187" s="79">
        <v>68</v>
      </c>
      <c r="T187" s="79">
        <v>58</v>
      </c>
      <c r="U187" s="79">
        <v>52</v>
      </c>
      <c r="V187" s="79">
        <v>72</v>
      </c>
      <c r="W187" s="79">
        <v>80</v>
      </c>
      <c r="X187" s="79">
        <v>86</v>
      </c>
      <c r="Y187" s="79">
        <v>70</v>
      </c>
      <c r="Z187" s="79">
        <v>74</v>
      </c>
      <c r="AA187" s="79">
        <v>67</v>
      </c>
      <c r="AB187" s="79">
        <v>53</v>
      </c>
      <c r="AC187" s="79">
        <v>66</v>
      </c>
      <c r="AD187" s="79">
        <v>76</v>
      </c>
      <c r="AE187" s="79">
        <v>67</v>
      </c>
      <c r="AF187" s="78"/>
      <c r="AG187" s="21">
        <f t="shared" si="29"/>
        <v>1963</v>
      </c>
    </row>
    <row r="188" spans="1:34" ht="18.75" x14ac:dyDescent="0.25">
      <c r="A188" s="76" t="s">
        <v>39</v>
      </c>
      <c r="B188" s="283"/>
      <c r="C188" s="69"/>
      <c r="D188" s="69"/>
      <c r="E188" s="69"/>
      <c r="F188" s="69"/>
      <c r="G188" s="393"/>
      <c r="H188" s="69"/>
      <c r="I188" s="69"/>
      <c r="J188" s="69"/>
      <c r="K188" s="69"/>
      <c r="L188" s="69"/>
      <c r="M188" s="69"/>
      <c r="N188" s="68"/>
      <c r="O188" s="68"/>
      <c r="P188" s="68"/>
      <c r="Q188" s="68"/>
      <c r="R188" s="68"/>
      <c r="S188" s="68">
        <v>1</v>
      </c>
      <c r="T188" s="68"/>
      <c r="U188" s="68"/>
      <c r="V188" s="68"/>
      <c r="W188" s="68"/>
      <c r="X188" s="68">
        <v>1</v>
      </c>
      <c r="Y188" s="68"/>
      <c r="Z188" s="68"/>
      <c r="AA188" s="68"/>
      <c r="AB188" s="68"/>
      <c r="AC188" s="68"/>
      <c r="AD188" s="68"/>
      <c r="AE188" s="68"/>
      <c r="AF188" s="67"/>
      <c r="AG188" s="64">
        <f t="shared" si="29"/>
        <v>2</v>
      </c>
    </row>
    <row r="189" spans="1:34" ht="18.75" x14ac:dyDescent="0.25">
      <c r="A189" s="76" t="s">
        <v>38</v>
      </c>
      <c r="B189" s="283"/>
      <c r="C189" s="69"/>
      <c r="D189" s="69"/>
      <c r="E189" s="69">
        <v>1</v>
      </c>
      <c r="F189" s="69"/>
      <c r="G189" s="393"/>
      <c r="H189" s="69"/>
      <c r="I189" s="69"/>
      <c r="J189" s="69"/>
      <c r="K189" s="69"/>
      <c r="L189" s="69">
        <v>1</v>
      </c>
      <c r="M189" s="69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>
        <v>1</v>
      </c>
      <c r="AA189" s="68"/>
      <c r="AB189" s="68"/>
      <c r="AC189" s="68"/>
      <c r="AD189" s="68"/>
      <c r="AE189" s="68"/>
      <c r="AF189" s="67"/>
      <c r="AG189" s="64">
        <f t="shared" si="29"/>
        <v>3</v>
      </c>
    </row>
    <row r="190" spans="1:34" ht="18.75" x14ac:dyDescent="0.25">
      <c r="A190" s="76" t="s">
        <v>37</v>
      </c>
      <c r="B190" s="283"/>
      <c r="C190" s="69"/>
      <c r="D190" s="69"/>
      <c r="E190" s="69"/>
      <c r="F190" s="69"/>
      <c r="G190" s="393"/>
      <c r="H190" s="69"/>
      <c r="I190" s="69"/>
      <c r="J190" s="69"/>
      <c r="K190" s="69"/>
      <c r="L190" s="69"/>
      <c r="M190" s="69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  <c r="AA190" s="68"/>
      <c r="AB190" s="68"/>
      <c r="AC190" s="68"/>
      <c r="AD190" s="68"/>
      <c r="AE190" s="68"/>
      <c r="AF190" s="67"/>
      <c r="AG190" s="64">
        <f t="shared" si="29"/>
        <v>0</v>
      </c>
    </row>
    <row r="191" spans="1:34" ht="18.75" x14ac:dyDescent="0.25">
      <c r="A191" s="76" t="s">
        <v>36</v>
      </c>
      <c r="B191" s="283"/>
      <c r="C191" s="69"/>
      <c r="D191" s="69"/>
      <c r="E191" s="69">
        <v>6</v>
      </c>
      <c r="F191" s="69"/>
      <c r="G191" s="393"/>
      <c r="H191" s="69"/>
      <c r="I191" s="69">
        <v>1</v>
      </c>
      <c r="J191" s="69"/>
      <c r="K191" s="69"/>
      <c r="L191" s="69">
        <v>13</v>
      </c>
      <c r="M191" s="69"/>
      <c r="N191" s="68"/>
      <c r="O191" s="68"/>
      <c r="P191" s="68"/>
      <c r="Q191" s="68"/>
      <c r="R191" s="68"/>
      <c r="S191" s="68">
        <v>8</v>
      </c>
      <c r="T191" s="68"/>
      <c r="U191" s="68">
        <v>1</v>
      </c>
      <c r="V191" s="68"/>
      <c r="W191" s="68"/>
      <c r="X191" s="68"/>
      <c r="Y191" s="68"/>
      <c r="Z191" s="68">
        <v>4</v>
      </c>
      <c r="AA191" s="68">
        <v>1</v>
      </c>
      <c r="AB191" s="68"/>
      <c r="AC191" s="68"/>
      <c r="AD191" s="68"/>
      <c r="AE191" s="68"/>
      <c r="AF191" s="67"/>
      <c r="AG191" s="64">
        <f t="shared" si="29"/>
        <v>34</v>
      </c>
    </row>
    <row r="192" spans="1:34" ht="18.75" x14ac:dyDescent="0.25">
      <c r="A192" s="66" t="s">
        <v>35</v>
      </c>
      <c r="B192" s="283"/>
      <c r="C192" s="69">
        <v>1</v>
      </c>
      <c r="D192" s="69"/>
      <c r="E192" s="69"/>
      <c r="F192" s="69"/>
      <c r="G192" s="393"/>
      <c r="H192" s="69"/>
      <c r="I192" s="69"/>
      <c r="J192" s="69"/>
      <c r="K192" s="69"/>
      <c r="L192" s="69"/>
      <c r="M192" s="69"/>
      <c r="N192" s="68"/>
      <c r="O192" s="68"/>
      <c r="P192" s="68"/>
      <c r="Q192" s="68"/>
      <c r="R192" s="68"/>
      <c r="S192" s="68"/>
      <c r="T192" s="68"/>
      <c r="U192" s="68"/>
      <c r="V192" s="68"/>
      <c r="W192" s="68">
        <v>1</v>
      </c>
      <c r="X192" s="68"/>
      <c r="Y192" s="68">
        <v>2</v>
      </c>
      <c r="Z192" s="68"/>
      <c r="AA192" s="68">
        <v>2</v>
      </c>
      <c r="AB192" s="68"/>
      <c r="AC192" s="68"/>
      <c r="AD192" s="68"/>
      <c r="AE192" s="68"/>
      <c r="AF192" s="67"/>
      <c r="AG192" s="64">
        <f t="shared" si="29"/>
        <v>6</v>
      </c>
    </row>
    <row r="193" spans="1:33" ht="18.75" x14ac:dyDescent="0.25">
      <c r="A193" s="66" t="s">
        <v>34</v>
      </c>
      <c r="B193" s="283"/>
      <c r="C193" s="69"/>
      <c r="D193" s="69"/>
      <c r="E193" s="69"/>
      <c r="F193" s="69"/>
      <c r="G193" s="393"/>
      <c r="H193" s="69"/>
      <c r="I193" s="69"/>
      <c r="J193" s="69"/>
      <c r="K193" s="69"/>
      <c r="L193" s="69"/>
      <c r="M193" s="69"/>
      <c r="N193" s="68"/>
      <c r="O193" s="68"/>
      <c r="P193" s="68"/>
      <c r="Q193" s="68"/>
      <c r="R193" s="68"/>
      <c r="S193" s="68">
        <v>1</v>
      </c>
      <c r="T193" s="68">
        <v>1</v>
      </c>
      <c r="U193" s="68"/>
      <c r="V193" s="68"/>
      <c r="W193" s="68"/>
      <c r="X193" s="68"/>
      <c r="Y193" s="68"/>
      <c r="Z193" s="68"/>
      <c r="AA193" s="68"/>
      <c r="AB193" s="68"/>
      <c r="AC193" s="68"/>
      <c r="AD193" s="68"/>
      <c r="AE193" s="68"/>
      <c r="AF193" s="67"/>
      <c r="AG193" s="64">
        <f t="shared" si="29"/>
        <v>2</v>
      </c>
    </row>
    <row r="194" spans="1:33" ht="18.75" x14ac:dyDescent="0.25">
      <c r="A194" s="66" t="s">
        <v>33</v>
      </c>
      <c r="B194" s="283"/>
      <c r="C194" s="69"/>
      <c r="D194" s="69"/>
      <c r="E194" s="69"/>
      <c r="F194" s="69"/>
      <c r="G194" s="393"/>
      <c r="H194" s="69"/>
      <c r="I194" s="69"/>
      <c r="J194" s="69"/>
      <c r="K194" s="69"/>
      <c r="L194" s="69"/>
      <c r="M194" s="69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  <c r="AA194" s="68"/>
      <c r="AB194" s="68"/>
      <c r="AC194" s="68"/>
      <c r="AD194" s="68"/>
      <c r="AE194" s="68"/>
      <c r="AF194" s="67"/>
      <c r="AG194" s="64">
        <f t="shared" si="29"/>
        <v>0</v>
      </c>
    </row>
    <row r="195" spans="1:33" ht="18.75" x14ac:dyDescent="0.25">
      <c r="A195" s="66" t="s">
        <v>32</v>
      </c>
      <c r="B195" s="283"/>
      <c r="C195" s="69"/>
      <c r="D195" s="69"/>
      <c r="E195" s="69"/>
      <c r="F195" s="69"/>
      <c r="G195" s="393"/>
      <c r="H195" s="69"/>
      <c r="I195" s="69"/>
      <c r="J195" s="69"/>
      <c r="K195" s="69"/>
      <c r="L195" s="69"/>
      <c r="M195" s="69"/>
      <c r="N195" s="68"/>
      <c r="O195" s="68"/>
      <c r="P195" s="68"/>
      <c r="Q195" s="68">
        <v>1</v>
      </c>
      <c r="R195" s="68"/>
      <c r="S195" s="68"/>
      <c r="T195" s="68"/>
      <c r="U195" s="68"/>
      <c r="V195" s="68"/>
      <c r="W195" s="68">
        <v>1</v>
      </c>
      <c r="X195" s="68"/>
      <c r="Y195" s="68"/>
      <c r="Z195" s="68"/>
      <c r="AA195" s="68"/>
      <c r="AB195" s="68"/>
      <c r="AC195" s="68"/>
      <c r="AD195" s="68"/>
      <c r="AE195" s="68"/>
      <c r="AF195" s="67"/>
      <c r="AG195" s="64">
        <f t="shared" si="29"/>
        <v>2</v>
      </c>
    </row>
    <row r="196" spans="1:33" ht="18.75" x14ac:dyDescent="0.25">
      <c r="A196" s="75" t="s">
        <v>31</v>
      </c>
      <c r="B196" s="285">
        <v>1</v>
      </c>
      <c r="C196" s="74">
        <v>1</v>
      </c>
      <c r="D196" s="74">
        <v>1</v>
      </c>
      <c r="E196" s="74">
        <v>1</v>
      </c>
      <c r="F196" s="74"/>
      <c r="G196" s="393"/>
      <c r="H196" s="74"/>
      <c r="I196" s="74"/>
      <c r="J196" s="74"/>
      <c r="K196" s="74">
        <v>1</v>
      </c>
      <c r="L196" s="74"/>
      <c r="M196" s="74"/>
      <c r="N196" s="73">
        <v>3</v>
      </c>
      <c r="O196" s="73"/>
      <c r="P196" s="73">
        <v>1</v>
      </c>
      <c r="Q196" s="73">
        <v>1</v>
      </c>
      <c r="R196" s="73">
        <v>1</v>
      </c>
      <c r="S196" s="73"/>
      <c r="T196" s="73"/>
      <c r="U196" s="73">
        <v>2</v>
      </c>
      <c r="V196" s="73"/>
      <c r="W196" s="73"/>
      <c r="X196" s="73">
        <v>1</v>
      </c>
      <c r="Y196" s="73"/>
      <c r="Z196" s="73"/>
      <c r="AA196" s="73"/>
      <c r="AB196" s="73"/>
      <c r="AC196" s="73">
        <v>3</v>
      </c>
      <c r="AD196" s="73"/>
      <c r="AE196" s="73">
        <v>1</v>
      </c>
      <c r="AF196" s="72"/>
      <c r="AG196" s="71">
        <f t="shared" si="29"/>
        <v>18</v>
      </c>
    </row>
    <row r="197" spans="1:33" ht="18.75" x14ac:dyDescent="0.25">
      <c r="A197" s="70" t="s">
        <v>30</v>
      </c>
      <c r="B197" s="283"/>
      <c r="C197" s="69"/>
      <c r="D197" s="69"/>
      <c r="E197" s="69"/>
      <c r="F197" s="69"/>
      <c r="G197" s="393"/>
      <c r="H197" s="69"/>
      <c r="I197" s="69"/>
      <c r="J197" s="69"/>
      <c r="K197" s="69"/>
      <c r="L197" s="69"/>
      <c r="M197" s="69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  <c r="AA197" s="68"/>
      <c r="AB197" s="68"/>
      <c r="AC197" s="68"/>
      <c r="AD197" s="68"/>
      <c r="AE197" s="68"/>
      <c r="AF197" s="67"/>
      <c r="AG197" s="64">
        <f t="shared" si="29"/>
        <v>0</v>
      </c>
    </row>
    <row r="198" spans="1:33" ht="18.75" x14ac:dyDescent="0.25">
      <c r="A198" s="70" t="s">
        <v>29</v>
      </c>
      <c r="B198" s="283"/>
      <c r="C198" s="69"/>
      <c r="D198" s="69"/>
      <c r="E198" s="69"/>
      <c r="F198" s="69"/>
      <c r="G198" s="393"/>
      <c r="H198" s="69"/>
      <c r="I198" s="69"/>
      <c r="J198" s="69"/>
      <c r="K198" s="69"/>
      <c r="L198" s="69"/>
      <c r="M198" s="69"/>
      <c r="N198" s="68"/>
      <c r="O198" s="68"/>
      <c r="P198" s="68"/>
      <c r="Q198" s="68"/>
      <c r="R198" s="68"/>
      <c r="S198" s="68">
        <v>1</v>
      </c>
      <c r="T198" s="68"/>
      <c r="U198" s="68"/>
      <c r="V198" s="68"/>
      <c r="W198" s="68"/>
      <c r="X198" s="68"/>
      <c r="Y198" s="68"/>
      <c r="Z198" s="68"/>
      <c r="AA198" s="68"/>
      <c r="AB198" s="68"/>
      <c r="AC198" s="68"/>
      <c r="AD198" s="68"/>
      <c r="AE198" s="68"/>
      <c r="AF198" s="67"/>
      <c r="AG198" s="64">
        <f t="shared" si="29"/>
        <v>1</v>
      </c>
    </row>
    <row r="199" spans="1:33" ht="18.75" x14ac:dyDescent="0.25">
      <c r="A199" s="70" t="s">
        <v>28</v>
      </c>
      <c r="B199" s="283"/>
      <c r="C199" s="69"/>
      <c r="D199" s="69"/>
      <c r="E199" s="69"/>
      <c r="F199" s="69"/>
      <c r="G199" s="393"/>
      <c r="H199" s="69"/>
      <c r="I199" s="69"/>
      <c r="J199" s="69"/>
      <c r="K199" s="69"/>
      <c r="L199" s="69"/>
      <c r="M199" s="69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  <c r="AA199" s="68"/>
      <c r="AB199" s="68">
        <v>1</v>
      </c>
      <c r="AC199" s="68"/>
      <c r="AD199" s="68"/>
      <c r="AE199" s="68"/>
      <c r="AF199" s="67"/>
      <c r="AG199" s="64">
        <f t="shared" si="29"/>
        <v>1</v>
      </c>
    </row>
    <row r="200" spans="1:33" ht="18.75" x14ac:dyDescent="0.25">
      <c r="A200" s="70" t="s">
        <v>27</v>
      </c>
      <c r="B200" s="283"/>
      <c r="C200" s="69"/>
      <c r="D200" s="69"/>
      <c r="E200" s="69"/>
      <c r="F200" s="69"/>
      <c r="G200" s="393"/>
      <c r="H200" s="69"/>
      <c r="I200" s="69"/>
      <c r="J200" s="69"/>
      <c r="K200" s="69"/>
      <c r="L200" s="69"/>
      <c r="M200" s="69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  <c r="AA200" s="68"/>
      <c r="AB200" s="68"/>
      <c r="AC200" s="68"/>
      <c r="AD200" s="68"/>
      <c r="AE200" s="68"/>
      <c r="AF200" s="67"/>
      <c r="AG200" s="64">
        <f t="shared" si="29"/>
        <v>0</v>
      </c>
    </row>
    <row r="201" spans="1:33" ht="18.75" x14ac:dyDescent="0.25">
      <c r="A201" s="70" t="s">
        <v>26</v>
      </c>
      <c r="B201" s="283"/>
      <c r="C201" s="69"/>
      <c r="D201" s="69"/>
      <c r="E201" s="69"/>
      <c r="F201" s="69"/>
      <c r="G201" s="393"/>
      <c r="H201" s="69"/>
      <c r="I201" s="69"/>
      <c r="J201" s="69"/>
      <c r="K201" s="69"/>
      <c r="L201" s="69"/>
      <c r="M201" s="69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  <c r="AA201" s="68"/>
      <c r="AB201" s="68"/>
      <c r="AC201" s="68"/>
      <c r="AD201" s="68"/>
      <c r="AE201" s="68"/>
      <c r="AF201" s="67"/>
      <c r="AG201" s="64">
        <f t="shared" si="29"/>
        <v>0</v>
      </c>
    </row>
    <row r="202" spans="1:33" ht="18.75" x14ac:dyDescent="0.25">
      <c r="A202" s="70" t="s">
        <v>25</v>
      </c>
      <c r="B202" s="283"/>
      <c r="C202" s="69"/>
      <c r="D202" s="69"/>
      <c r="E202" s="69"/>
      <c r="F202" s="69"/>
      <c r="G202" s="393"/>
      <c r="H202" s="69"/>
      <c r="I202" s="69"/>
      <c r="J202" s="69"/>
      <c r="K202" s="69"/>
      <c r="L202" s="69"/>
      <c r="M202" s="69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>
        <v>1</v>
      </c>
      <c r="Y202" s="68"/>
      <c r="Z202" s="68"/>
      <c r="AA202" s="68"/>
      <c r="AB202" s="68"/>
      <c r="AC202" s="68"/>
      <c r="AD202" s="68"/>
      <c r="AE202" s="68"/>
      <c r="AF202" s="67"/>
      <c r="AG202" s="64">
        <f t="shared" si="29"/>
        <v>1</v>
      </c>
    </row>
    <row r="203" spans="1:33" ht="18.75" x14ac:dyDescent="0.25">
      <c r="A203" s="66" t="s">
        <v>24</v>
      </c>
      <c r="B203" s="283"/>
      <c r="C203" s="69">
        <v>1</v>
      </c>
      <c r="D203" s="69"/>
      <c r="E203" s="69"/>
      <c r="F203" s="69"/>
      <c r="G203" s="393"/>
      <c r="H203" s="69"/>
      <c r="I203" s="69"/>
      <c r="J203" s="69"/>
      <c r="K203" s="69"/>
      <c r="L203" s="69"/>
      <c r="M203" s="69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>
        <v>1</v>
      </c>
      <c r="Y203" s="68"/>
      <c r="Z203" s="68"/>
      <c r="AA203" s="68"/>
      <c r="AB203" s="68"/>
      <c r="AC203" s="68"/>
      <c r="AD203" s="68"/>
      <c r="AE203" s="68"/>
      <c r="AF203" s="67"/>
      <c r="AG203" s="64">
        <f t="shared" si="29"/>
        <v>2</v>
      </c>
    </row>
    <row r="204" spans="1:33" ht="18.75" x14ac:dyDescent="0.25">
      <c r="A204" s="66" t="s">
        <v>23</v>
      </c>
      <c r="B204" s="283"/>
      <c r="C204" s="69"/>
      <c r="D204" s="69"/>
      <c r="E204" s="69"/>
      <c r="F204" s="69"/>
      <c r="G204" s="393"/>
      <c r="H204" s="69"/>
      <c r="I204" s="69"/>
      <c r="J204" s="69"/>
      <c r="K204" s="69"/>
      <c r="L204" s="69"/>
      <c r="M204" s="69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  <c r="AA204" s="68"/>
      <c r="AB204" s="68"/>
      <c r="AC204" s="68"/>
      <c r="AD204" s="68"/>
      <c r="AE204" s="68"/>
      <c r="AF204" s="67"/>
      <c r="AG204" s="64">
        <f t="shared" si="29"/>
        <v>0</v>
      </c>
    </row>
    <row r="205" spans="1:33" ht="18.75" x14ac:dyDescent="0.25">
      <c r="A205" s="66" t="s">
        <v>22</v>
      </c>
      <c r="B205" s="283"/>
      <c r="C205" s="69"/>
      <c r="D205" s="69">
        <v>1</v>
      </c>
      <c r="E205" s="69"/>
      <c r="F205" s="69"/>
      <c r="G205" s="393"/>
      <c r="H205" s="69"/>
      <c r="I205" s="69">
        <v>1</v>
      </c>
      <c r="J205" s="69"/>
      <c r="K205" s="69"/>
      <c r="L205" s="69"/>
      <c r="M205" s="69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>
        <v>1</v>
      </c>
      <c r="AA205" s="68"/>
      <c r="AB205" s="68">
        <v>1</v>
      </c>
      <c r="AC205" s="68"/>
      <c r="AD205" s="68"/>
      <c r="AE205" s="68"/>
      <c r="AF205" s="67"/>
      <c r="AG205" s="64">
        <f t="shared" si="29"/>
        <v>4</v>
      </c>
    </row>
    <row r="206" spans="1:33" ht="18.75" x14ac:dyDescent="0.25">
      <c r="A206" s="66" t="s">
        <v>21</v>
      </c>
      <c r="B206" s="286"/>
      <c r="C206" s="62"/>
      <c r="D206" s="62"/>
      <c r="E206" s="62">
        <v>3</v>
      </c>
      <c r="F206" s="62"/>
      <c r="G206" s="394"/>
      <c r="H206" s="62"/>
      <c r="I206" s="62"/>
      <c r="J206" s="62">
        <v>2</v>
      </c>
      <c r="K206" s="62">
        <v>1</v>
      </c>
      <c r="L206" s="62"/>
      <c r="M206" s="62">
        <v>2</v>
      </c>
      <c r="N206" s="61"/>
      <c r="O206" s="61"/>
      <c r="P206" s="61"/>
      <c r="Q206" s="61"/>
      <c r="R206" s="61"/>
      <c r="S206" s="61"/>
      <c r="T206" s="61"/>
      <c r="U206" s="61"/>
      <c r="V206" s="61">
        <v>1</v>
      </c>
      <c r="W206" s="61"/>
      <c r="X206" s="61"/>
      <c r="Y206" s="61">
        <v>2</v>
      </c>
      <c r="Z206" s="61">
        <v>1</v>
      </c>
      <c r="AA206" s="61"/>
      <c r="AB206" s="61">
        <v>1</v>
      </c>
      <c r="AC206" s="61"/>
      <c r="AD206" s="61"/>
      <c r="AE206" s="61"/>
      <c r="AF206" s="60"/>
      <c r="AG206" s="64">
        <f t="shared" si="29"/>
        <v>13</v>
      </c>
    </row>
    <row r="207" spans="1:33" ht="18.75" x14ac:dyDescent="0.25">
      <c r="A207" s="65" t="s">
        <v>20</v>
      </c>
      <c r="B207" s="286"/>
      <c r="C207" s="62"/>
      <c r="D207" s="62"/>
      <c r="E207" s="62"/>
      <c r="F207" s="62"/>
      <c r="G207" s="394"/>
      <c r="H207" s="62"/>
      <c r="I207" s="62">
        <v>1</v>
      </c>
      <c r="J207" s="62">
        <v>1</v>
      </c>
      <c r="K207" s="62"/>
      <c r="L207" s="62"/>
      <c r="M207" s="62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  <c r="AB207" s="61"/>
      <c r="AC207" s="61"/>
      <c r="AD207" s="61"/>
      <c r="AE207" s="61"/>
      <c r="AF207" s="60"/>
      <c r="AG207" s="64">
        <f t="shared" si="29"/>
        <v>2</v>
      </c>
    </row>
    <row r="208" spans="1:33" ht="19.5" thickBot="1" x14ac:dyDescent="0.3">
      <c r="A208" s="63" t="s">
        <v>19</v>
      </c>
      <c r="B208" s="286"/>
      <c r="C208" s="62"/>
      <c r="D208" s="62"/>
      <c r="E208" s="62"/>
      <c r="F208" s="62"/>
      <c r="G208" s="394"/>
      <c r="H208" s="62"/>
      <c r="I208" s="62"/>
      <c r="J208" s="62"/>
      <c r="K208" s="62"/>
      <c r="L208" s="62"/>
      <c r="M208" s="62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>
        <v>1</v>
      </c>
      <c r="Y208" s="61"/>
      <c r="Z208" s="61"/>
      <c r="AA208" s="61"/>
      <c r="AB208" s="61"/>
      <c r="AC208" s="61"/>
      <c r="AD208" s="61"/>
      <c r="AE208" s="61"/>
      <c r="AF208" s="60"/>
      <c r="AG208" s="10">
        <f t="shared" si="29"/>
        <v>1</v>
      </c>
    </row>
    <row r="209" spans="1:34" ht="19.5" thickBot="1" x14ac:dyDescent="0.3">
      <c r="A209" s="59" t="s">
        <v>18</v>
      </c>
      <c r="B209" s="287">
        <f t="shared" ref="B209:AF209" si="31">SUM(B210:B214)</f>
        <v>182</v>
      </c>
      <c r="C209" s="57">
        <f t="shared" si="31"/>
        <v>200</v>
      </c>
      <c r="D209" s="57">
        <f t="shared" si="31"/>
        <v>137</v>
      </c>
      <c r="E209" s="57">
        <f t="shared" si="31"/>
        <v>140</v>
      </c>
      <c r="F209" s="57">
        <f t="shared" si="31"/>
        <v>117</v>
      </c>
      <c r="G209" s="395">
        <f t="shared" si="31"/>
        <v>145</v>
      </c>
      <c r="H209" s="57">
        <f t="shared" si="31"/>
        <v>188</v>
      </c>
      <c r="I209" s="57">
        <f t="shared" si="31"/>
        <v>168</v>
      </c>
      <c r="J209" s="57">
        <f t="shared" si="31"/>
        <v>151</v>
      </c>
      <c r="K209" s="57">
        <f t="shared" si="31"/>
        <v>138</v>
      </c>
      <c r="L209" s="57">
        <f t="shared" si="31"/>
        <v>149</v>
      </c>
      <c r="M209" s="57">
        <f t="shared" si="31"/>
        <v>130</v>
      </c>
      <c r="N209" s="56">
        <f t="shared" si="31"/>
        <v>178</v>
      </c>
      <c r="O209" s="56">
        <f t="shared" si="31"/>
        <v>163</v>
      </c>
      <c r="P209" s="56">
        <f t="shared" si="31"/>
        <v>159</v>
      </c>
      <c r="Q209" s="56">
        <f t="shared" si="31"/>
        <v>162</v>
      </c>
      <c r="R209" s="56">
        <f t="shared" si="31"/>
        <v>160</v>
      </c>
      <c r="S209" s="56">
        <f t="shared" si="31"/>
        <v>148</v>
      </c>
      <c r="T209" s="56">
        <f t="shared" si="31"/>
        <v>143</v>
      </c>
      <c r="U209" s="56">
        <f t="shared" si="31"/>
        <v>168</v>
      </c>
      <c r="V209" s="56">
        <f t="shared" si="31"/>
        <v>196</v>
      </c>
      <c r="W209" s="56">
        <f t="shared" si="31"/>
        <v>162</v>
      </c>
      <c r="X209" s="56">
        <f t="shared" si="31"/>
        <v>187</v>
      </c>
      <c r="Y209" s="56">
        <f t="shared" si="31"/>
        <v>152</v>
      </c>
      <c r="Z209" s="56">
        <f t="shared" si="31"/>
        <v>175</v>
      </c>
      <c r="AA209" s="56">
        <f t="shared" si="31"/>
        <v>156</v>
      </c>
      <c r="AB209" s="56">
        <f t="shared" si="31"/>
        <v>191</v>
      </c>
      <c r="AC209" s="56">
        <f t="shared" si="31"/>
        <v>196</v>
      </c>
      <c r="AD209" s="56">
        <f t="shared" si="31"/>
        <v>207</v>
      </c>
      <c r="AE209" s="56">
        <f t="shared" si="31"/>
        <v>164</v>
      </c>
      <c r="AF209" s="55">
        <f t="shared" si="31"/>
        <v>0</v>
      </c>
      <c r="AG209" s="54">
        <f t="shared" si="29"/>
        <v>4912</v>
      </c>
      <c r="AH209" s="53" t="str">
        <f>IF(AG209&lt;&gt;AG93,"X","")</f>
        <v>X</v>
      </c>
    </row>
    <row r="210" spans="1:34" ht="18.75" x14ac:dyDescent="0.25">
      <c r="A210" s="344" t="s">
        <v>17</v>
      </c>
      <c r="B210" s="288"/>
      <c r="C210" s="51"/>
      <c r="D210" s="51"/>
      <c r="E210" s="51"/>
      <c r="F210" s="51"/>
      <c r="G210" s="392"/>
      <c r="H210" s="51"/>
      <c r="I210" s="51"/>
      <c r="J210" s="51"/>
      <c r="K210" s="51"/>
      <c r="L210" s="51"/>
      <c r="M210" s="51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0"/>
      <c r="AB210" s="50"/>
      <c r="AC210" s="50"/>
      <c r="AD210" s="50"/>
      <c r="AE210" s="50"/>
      <c r="AF210" s="49"/>
      <c r="AG210" s="48">
        <f t="shared" si="29"/>
        <v>0</v>
      </c>
    </row>
    <row r="211" spans="1:34" ht="18.75" x14ac:dyDescent="0.25">
      <c r="A211" s="345" t="s">
        <v>16</v>
      </c>
      <c r="B211" s="289"/>
      <c r="C211" s="46">
        <v>1</v>
      </c>
      <c r="D211" s="46"/>
      <c r="E211" s="46"/>
      <c r="F211" s="46"/>
      <c r="G211" s="393"/>
      <c r="H211" s="46">
        <v>2</v>
      </c>
      <c r="I211" s="46"/>
      <c r="J211" s="46">
        <v>1</v>
      </c>
      <c r="K211" s="46"/>
      <c r="L211" s="46"/>
      <c r="M211" s="46">
        <v>1</v>
      </c>
      <c r="N211" s="45">
        <v>1</v>
      </c>
      <c r="O211" s="45">
        <v>1</v>
      </c>
      <c r="P211" s="45">
        <v>1</v>
      </c>
      <c r="Q211" s="45"/>
      <c r="R211" s="45"/>
      <c r="S211" s="45">
        <v>1</v>
      </c>
      <c r="T211" s="45">
        <v>3</v>
      </c>
      <c r="U211" s="45"/>
      <c r="V211" s="45"/>
      <c r="W211" s="45">
        <v>1</v>
      </c>
      <c r="X211" s="45">
        <v>1</v>
      </c>
      <c r="Y211" s="45">
        <v>2</v>
      </c>
      <c r="Z211" s="45">
        <v>2</v>
      </c>
      <c r="AA211" s="45">
        <v>2</v>
      </c>
      <c r="AB211" s="45">
        <v>1</v>
      </c>
      <c r="AC211" s="45">
        <v>3</v>
      </c>
      <c r="AD211" s="45">
        <v>1</v>
      </c>
      <c r="AE211" s="45"/>
      <c r="AF211" s="44"/>
      <c r="AG211" s="43">
        <f t="shared" si="29"/>
        <v>25</v>
      </c>
    </row>
    <row r="212" spans="1:34" ht="18.75" x14ac:dyDescent="0.25">
      <c r="A212" s="345" t="s">
        <v>15</v>
      </c>
      <c r="B212" s="289">
        <v>13</v>
      </c>
      <c r="C212" s="46">
        <v>14</v>
      </c>
      <c r="D212" s="46">
        <v>9</v>
      </c>
      <c r="E212" s="46">
        <v>15</v>
      </c>
      <c r="F212" s="46">
        <v>14</v>
      </c>
      <c r="G212" s="393">
        <v>9</v>
      </c>
      <c r="H212" s="46">
        <v>14</v>
      </c>
      <c r="I212" s="46">
        <v>8</v>
      </c>
      <c r="J212" s="46">
        <v>8</v>
      </c>
      <c r="K212" s="46">
        <v>13</v>
      </c>
      <c r="L212" s="46">
        <v>18</v>
      </c>
      <c r="M212" s="46">
        <v>20</v>
      </c>
      <c r="N212" s="45">
        <v>19</v>
      </c>
      <c r="O212" s="45">
        <v>9</v>
      </c>
      <c r="P212" s="45">
        <v>21</v>
      </c>
      <c r="Q212" s="45">
        <v>16</v>
      </c>
      <c r="R212" s="45">
        <v>10</v>
      </c>
      <c r="S212" s="45">
        <v>18</v>
      </c>
      <c r="T212" s="45">
        <v>17</v>
      </c>
      <c r="U212" s="45">
        <v>17</v>
      </c>
      <c r="V212" s="45">
        <v>30</v>
      </c>
      <c r="W212" s="45">
        <v>22</v>
      </c>
      <c r="X212" s="45">
        <v>15</v>
      </c>
      <c r="Y212" s="45">
        <v>24</v>
      </c>
      <c r="Z212" s="45">
        <v>12</v>
      </c>
      <c r="AA212" s="45">
        <v>4</v>
      </c>
      <c r="AB212" s="45">
        <v>24</v>
      </c>
      <c r="AC212" s="45">
        <v>23</v>
      </c>
      <c r="AD212" s="45">
        <v>14</v>
      </c>
      <c r="AE212" s="45">
        <v>9</v>
      </c>
      <c r="AF212" s="44"/>
      <c r="AG212" s="43">
        <f t="shared" ref="AG212:AG223" si="32">SUM(B212:AF212)</f>
        <v>459</v>
      </c>
    </row>
    <row r="213" spans="1:34" ht="18.75" x14ac:dyDescent="0.25">
      <c r="A213" s="345" t="s">
        <v>14</v>
      </c>
      <c r="B213" s="289">
        <v>139</v>
      </c>
      <c r="C213" s="46">
        <v>169</v>
      </c>
      <c r="D213" s="46">
        <v>97</v>
      </c>
      <c r="E213" s="46">
        <v>91</v>
      </c>
      <c r="F213" s="46">
        <v>92</v>
      </c>
      <c r="G213" s="393">
        <v>107</v>
      </c>
      <c r="H213" s="46">
        <v>134</v>
      </c>
      <c r="I213" s="46">
        <v>133</v>
      </c>
      <c r="J213" s="46">
        <v>107</v>
      </c>
      <c r="K213" s="46">
        <v>104</v>
      </c>
      <c r="L213" s="46">
        <v>106</v>
      </c>
      <c r="M213" s="46">
        <v>74</v>
      </c>
      <c r="N213" s="45">
        <v>117</v>
      </c>
      <c r="O213" s="45">
        <v>123</v>
      </c>
      <c r="P213" s="45">
        <v>124</v>
      </c>
      <c r="Q213" s="45">
        <v>129</v>
      </c>
      <c r="R213" s="45">
        <v>131</v>
      </c>
      <c r="S213" s="45">
        <v>110</v>
      </c>
      <c r="T213" s="45">
        <v>108</v>
      </c>
      <c r="U213" s="45">
        <v>115</v>
      </c>
      <c r="V213" s="45">
        <v>136</v>
      </c>
      <c r="W213" s="45">
        <v>132</v>
      </c>
      <c r="X213" s="45">
        <v>135</v>
      </c>
      <c r="Y213" s="45">
        <v>111</v>
      </c>
      <c r="Z213" s="45">
        <v>121</v>
      </c>
      <c r="AA213" s="45">
        <v>107</v>
      </c>
      <c r="AB213" s="45">
        <v>135</v>
      </c>
      <c r="AC213" s="45">
        <v>133</v>
      </c>
      <c r="AD213" s="45">
        <v>165</v>
      </c>
      <c r="AE213" s="45">
        <v>119</v>
      </c>
      <c r="AF213" s="44"/>
      <c r="AG213" s="43">
        <f t="shared" si="32"/>
        <v>3604</v>
      </c>
    </row>
    <row r="214" spans="1:34" ht="19.5" thickBot="1" x14ac:dyDescent="0.3">
      <c r="A214" s="346" t="s">
        <v>13</v>
      </c>
      <c r="B214" s="290">
        <v>30</v>
      </c>
      <c r="C214" s="41">
        <v>16</v>
      </c>
      <c r="D214" s="41">
        <v>31</v>
      </c>
      <c r="E214" s="41">
        <v>34</v>
      </c>
      <c r="F214" s="41">
        <v>11</v>
      </c>
      <c r="G214" s="396">
        <v>29</v>
      </c>
      <c r="H214" s="41">
        <v>38</v>
      </c>
      <c r="I214" s="41">
        <v>27</v>
      </c>
      <c r="J214" s="41">
        <v>35</v>
      </c>
      <c r="K214" s="41">
        <v>21</v>
      </c>
      <c r="L214" s="41">
        <v>25</v>
      </c>
      <c r="M214" s="41">
        <v>35</v>
      </c>
      <c r="N214" s="40">
        <v>41</v>
      </c>
      <c r="O214" s="40">
        <v>30</v>
      </c>
      <c r="P214" s="40">
        <v>13</v>
      </c>
      <c r="Q214" s="40">
        <v>17</v>
      </c>
      <c r="R214" s="40">
        <v>19</v>
      </c>
      <c r="S214" s="40">
        <v>19</v>
      </c>
      <c r="T214" s="40">
        <v>15</v>
      </c>
      <c r="U214" s="40">
        <v>36</v>
      </c>
      <c r="V214" s="40">
        <v>30</v>
      </c>
      <c r="W214" s="40">
        <v>7</v>
      </c>
      <c r="X214" s="40">
        <v>36</v>
      </c>
      <c r="Y214" s="40">
        <v>15</v>
      </c>
      <c r="Z214" s="40">
        <v>40</v>
      </c>
      <c r="AA214" s="40">
        <v>43</v>
      </c>
      <c r="AB214" s="40">
        <v>31</v>
      </c>
      <c r="AC214" s="40">
        <v>37</v>
      </c>
      <c r="AD214" s="40">
        <v>27</v>
      </c>
      <c r="AE214" s="40">
        <v>36</v>
      </c>
      <c r="AF214" s="39"/>
      <c r="AG214" s="38">
        <f t="shared" si="32"/>
        <v>824</v>
      </c>
    </row>
    <row r="215" spans="1:34" ht="19.5" thickBot="1" x14ac:dyDescent="0.3">
      <c r="A215" s="333" t="s">
        <v>12</v>
      </c>
      <c r="B215" s="291">
        <f t="shared" ref="B215:AF215" si="33">SUM(B216:B219)</f>
        <v>61</v>
      </c>
      <c r="C215" s="36">
        <f t="shared" si="33"/>
        <v>70</v>
      </c>
      <c r="D215" s="36">
        <f t="shared" si="33"/>
        <v>61</v>
      </c>
      <c r="E215" s="36">
        <f t="shared" si="33"/>
        <v>57</v>
      </c>
      <c r="F215" s="36">
        <f t="shared" si="33"/>
        <v>45</v>
      </c>
      <c r="G215" s="395">
        <f t="shared" si="33"/>
        <v>34</v>
      </c>
      <c r="H215" s="36">
        <f t="shared" si="33"/>
        <v>53</v>
      </c>
      <c r="I215" s="36">
        <f t="shared" si="33"/>
        <v>86</v>
      </c>
      <c r="J215" s="36">
        <f t="shared" si="33"/>
        <v>77</v>
      </c>
      <c r="K215" s="36">
        <f t="shared" si="33"/>
        <v>59</v>
      </c>
      <c r="L215" s="36">
        <f t="shared" si="33"/>
        <v>58</v>
      </c>
      <c r="M215" s="36">
        <f t="shared" si="33"/>
        <v>49</v>
      </c>
      <c r="N215" s="35">
        <f t="shared" si="33"/>
        <v>48</v>
      </c>
      <c r="O215" s="35">
        <f t="shared" si="33"/>
        <v>47</v>
      </c>
      <c r="P215" s="35">
        <f t="shared" si="33"/>
        <v>63</v>
      </c>
      <c r="Q215" s="35">
        <f t="shared" si="33"/>
        <v>44</v>
      </c>
      <c r="R215" s="35">
        <f t="shared" si="33"/>
        <v>53</v>
      </c>
      <c r="S215" s="35">
        <f t="shared" si="33"/>
        <v>69</v>
      </c>
      <c r="T215" s="35">
        <f t="shared" si="33"/>
        <v>54</v>
      </c>
      <c r="U215" s="35">
        <f t="shared" si="33"/>
        <v>31</v>
      </c>
      <c r="V215" s="35">
        <f t="shared" si="33"/>
        <v>59</v>
      </c>
      <c r="W215" s="35">
        <f t="shared" si="33"/>
        <v>79</v>
      </c>
      <c r="X215" s="35">
        <f t="shared" si="33"/>
        <v>61</v>
      </c>
      <c r="Y215" s="35">
        <f t="shared" si="33"/>
        <v>48</v>
      </c>
      <c r="Z215" s="35">
        <f t="shared" si="33"/>
        <v>62</v>
      </c>
      <c r="AA215" s="35">
        <f t="shared" si="33"/>
        <v>47</v>
      </c>
      <c r="AB215" s="35">
        <f t="shared" si="33"/>
        <v>49</v>
      </c>
      <c r="AC215" s="35">
        <f t="shared" si="33"/>
        <v>43</v>
      </c>
      <c r="AD215" s="35">
        <f t="shared" si="33"/>
        <v>71</v>
      </c>
      <c r="AE215" s="35">
        <f t="shared" si="33"/>
        <v>21</v>
      </c>
      <c r="AF215" s="34">
        <f t="shared" si="33"/>
        <v>0</v>
      </c>
      <c r="AG215" s="33">
        <f t="shared" si="32"/>
        <v>1659</v>
      </c>
    </row>
    <row r="216" spans="1:34" ht="18.75" x14ac:dyDescent="0.25">
      <c r="A216" s="81" t="s">
        <v>7</v>
      </c>
      <c r="B216" s="292">
        <v>5</v>
      </c>
      <c r="C216" s="31">
        <v>6</v>
      </c>
      <c r="D216" s="31">
        <v>3</v>
      </c>
      <c r="E216" s="31">
        <v>4</v>
      </c>
      <c r="F216" s="31">
        <v>3</v>
      </c>
      <c r="G216" s="392">
        <v>3</v>
      </c>
      <c r="H216" s="31">
        <v>8</v>
      </c>
      <c r="I216" s="31">
        <v>2</v>
      </c>
      <c r="J216" s="31">
        <v>9</v>
      </c>
      <c r="K216" s="31">
        <v>2</v>
      </c>
      <c r="L216" s="31">
        <v>2</v>
      </c>
      <c r="M216" s="31">
        <v>2</v>
      </c>
      <c r="N216" s="30">
        <v>13</v>
      </c>
      <c r="O216" s="30">
        <v>3</v>
      </c>
      <c r="P216" s="30">
        <v>4</v>
      </c>
      <c r="Q216" s="30">
        <v>6</v>
      </c>
      <c r="R216" s="30">
        <v>8</v>
      </c>
      <c r="S216" s="30">
        <v>2</v>
      </c>
      <c r="T216" s="30">
        <v>4</v>
      </c>
      <c r="U216" s="30">
        <v>3</v>
      </c>
      <c r="V216" s="30">
        <v>9</v>
      </c>
      <c r="W216" s="30">
        <v>8</v>
      </c>
      <c r="X216" s="30">
        <v>3</v>
      </c>
      <c r="Y216" s="30">
        <v>6</v>
      </c>
      <c r="Z216" s="30">
        <v>5</v>
      </c>
      <c r="AA216" s="30">
        <v>5</v>
      </c>
      <c r="AB216" s="30">
        <v>8</v>
      </c>
      <c r="AC216" s="30">
        <v>3</v>
      </c>
      <c r="AD216" s="30">
        <v>2</v>
      </c>
      <c r="AE216" s="30">
        <v>2</v>
      </c>
      <c r="AF216" s="29"/>
      <c r="AG216" s="28">
        <f t="shared" si="32"/>
        <v>143</v>
      </c>
    </row>
    <row r="217" spans="1:34" ht="18.75" x14ac:dyDescent="0.25">
      <c r="A217" s="347" t="s">
        <v>11</v>
      </c>
      <c r="B217" s="293">
        <v>54</v>
      </c>
      <c r="C217" s="25">
        <v>62</v>
      </c>
      <c r="D217" s="25">
        <v>46</v>
      </c>
      <c r="E217" s="25">
        <v>47</v>
      </c>
      <c r="F217" s="25">
        <v>42</v>
      </c>
      <c r="G217" s="394">
        <v>31</v>
      </c>
      <c r="H217" s="25">
        <v>44</v>
      </c>
      <c r="I217" s="25">
        <v>79</v>
      </c>
      <c r="J217" s="25">
        <v>64</v>
      </c>
      <c r="K217" s="25">
        <v>33</v>
      </c>
      <c r="L217" s="25">
        <v>42</v>
      </c>
      <c r="M217" s="25">
        <v>46</v>
      </c>
      <c r="N217" s="24">
        <v>35</v>
      </c>
      <c r="O217" s="24">
        <v>42</v>
      </c>
      <c r="P217" s="24">
        <v>56</v>
      </c>
      <c r="Q217" s="24">
        <v>38</v>
      </c>
      <c r="R217" s="24">
        <v>36</v>
      </c>
      <c r="S217" s="24">
        <v>43</v>
      </c>
      <c r="T217" s="24">
        <v>50</v>
      </c>
      <c r="U217" s="24">
        <v>28</v>
      </c>
      <c r="V217" s="24">
        <v>50</v>
      </c>
      <c r="W217" s="24">
        <v>42</v>
      </c>
      <c r="X217" s="24">
        <v>33</v>
      </c>
      <c r="Y217" s="24">
        <v>29</v>
      </c>
      <c r="Z217" s="24">
        <v>45</v>
      </c>
      <c r="AA217" s="24">
        <v>42</v>
      </c>
      <c r="AB217" s="24">
        <v>41</v>
      </c>
      <c r="AC217" s="24">
        <v>40</v>
      </c>
      <c r="AD217" s="24">
        <v>55</v>
      </c>
      <c r="AE217" s="24">
        <v>19</v>
      </c>
      <c r="AF217" s="23"/>
      <c r="AG217" s="21">
        <f t="shared" si="32"/>
        <v>1314</v>
      </c>
    </row>
    <row r="218" spans="1:34" ht="18.75" x14ac:dyDescent="0.25">
      <c r="A218" s="348" t="s">
        <v>169</v>
      </c>
      <c r="B218" s="293">
        <v>0</v>
      </c>
      <c r="C218" s="25">
        <v>0</v>
      </c>
      <c r="D218" s="25">
        <v>0</v>
      </c>
      <c r="E218" s="25">
        <v>0</v>
      </c>
      <c r="F218" s="25">
        <v>0</v>
      </c>
      <c r="G218" s="394">
        <v>0</v>
      </c>
      <c r="H218" s="25">
        <v>0</v>
      </c>
      <c r="I218" s="25">
        <v>0</v>
      </c>
      <c r="J218" s="25">
        <v>0</v>
      </c>
      <c r="K218" s="25">
        <v>0</v>
      </c>
      <c r="L218" s="25">
        <v>0</v>
      </c>
      <c r="M218" s="25">
        <v>0</v>
      </c>
      <c r="N218" s="24">
        <v>0</v>
      </c>
      <c r="O218" s="24">
        <v>2</v>
      </c>
      <c r="P218" s="24">
        <v>0</v>
      </c>
      <c r="Q218" s="24">
        <v>0</v>
      </c>
      <c r="R218" s="24">
        <v>0</v>
      </c>
      <c r="S218" s="24">
        <v>0</v>
      </c>
      <c r="T218" s="24">
        <v>0</v>
      </c>
      <c r="U218" s="24">
        <v>0</v>
      </c>
      <c r="V218" s="24">
        <v>0</v>
      </c>
      <c r="W218" s="24">
        <v>0</v>
      </c>
      <c r="X218" s="24">
        <v>0</v>
      </c>
      <c r="Y218" s="24">
        <v>0</v>
      </c>
      <c r="Z218" s="24">
        <v>0</v>
      </c>
      <c r="AA218" s="24">
        <v>0</v>
      </c>
      <c r="AB218" s="24">
        <v>0</v>
      </c>
      <c r="AC218" s="24">
        <v>0</v>
      </c>
      <c r="AD218" s="24">
        <v>0</v>
      </c>
      <c r="AE218" s="24">
        <v>0</v>
      </c>
      <c r="AF218" s="23"/>
      <c r="AG218" s="21">
        <f t="shared" si="32"/>
        <v>2</v>
      </c>
    </row>
    <row r="219" spans="1:34" ht="19.5" thickBot="1" x14ac:dyDescent="0.3">
      <c r="A219" s="348" t="s">
        <v>8</v>
      </c>
      <c r="B219" s="293">
        <v>2</v>
      </c>
      <c r="C219" s="25">
        <v>2</v>
      </c>
      <c r="D219" s="25">
        <v>12</v>
      </c>
      <c r="E219" s="25">
        <v>6</v>
      </c>
      <c r="F219" s="25">
        <v>0</v>
      </c>
      <c r="G219" s="394">
        <v>0</v>
      </c>
      <c r="H219" s="25">
        <v>1</v>
      </c>
      <c r="I219" s="25">
        <v>5</v>
      </c>
      <c r="J219" s="25">
        <v>4</v>
      </c>
      <c r="K219" s="25">
        <v>24</v>
      </c>
      <c r="L219" s="25">
        <v>14</v>
      </c>
      <c r="M219" s="25">
        <v>1</v>
      </c>
      <c r="N219" s="24">
        <v>0</v>
      </c>
      <c r="O219" s="24">
        <v>0</v>
      </c>
      <c r="P219" s="24">
        <v>3</v>
      </c>
      <c r="Q219" s="24">
        <v>0</v>
      </c>
      <c r="R219" s="24">
        <v>9</v>
      </c>
      <c r="S219" s="24">
        <v>24</v>
      </c>
      <c r="T219" s="24">
        <v>0</v>
      </c>
      <c r="U219" s="24">
        <v>0</v>
      </c>
      <c r="V219" s="24">
        <v>0</v>
      </c>
      <c r="W219" s="24">
        <v>29</v>
      </c>
      <c r="X219" s="24">
        <v>25</v>
      </c>
      <c r="Y219" s="24">
        <v>13</v>
      </c>
      <c r="Z219" s="24">
        <v>12</v>
      </c>
      <c r="AA219" s="24">
        <v>0</v>
      </c>
      <c r="AB219" s="24">
        <v>0</v>
      </c>
      <c r="AC219" s="24">
        <v>0</v>
      </c>
      <c r="AD219" s="24">
        <v>14</v>
      </c>
      <c r="AE219" s="24">
        <v>0</v>
      </c>
      <c r="AF219" s="23"/>
      <c r="AG219" s="21">
        <f t="shared" si="32"/>
        <v>200</v>
      </c>
    </row>
    <row r="220" spans="1:34" ht="19.5" thickBot="1" x14ac:dyDescent="0.3">
      <c r="A220" s="327" t="s">
        <v>164</v>
      </c>
      <c r="B220" s="266">
        <f t="shared" ref="B220:AF220" si="34">SUM(B221:B223)</f>
        <v>0</v>
      </c>
      <c r="C220" s="143">
        <f t="shared" si="34"/>
        <v>2</v>
      </c>
      <c r="D220" s="143">
        <f t="shared" si="34"/>
        <v>3</v>
      </c>
      <c r="E220" s="143">
        <f t="shared" si="34"/>
        <v>1</v>
      </c>
      <c r="F220" s="143">
        <f t="shared" si="34"/>
        <v>3</v>
      </c>
      <c r="G220" s="382">
        <f t="shared" si="34"/>
        <v>2</v>
      </c>
      <c r="H220" s="143">
        <f t="shared" si="34"/>
        <v>0</v>
      </c>
      <c r="I220" s="143">
        <f t="shared" si="34"/>
        <v>0</v>
      </c>
      <c r="J220" s="143">
        <f t="shared" si="34"/>
        <v>4</v>
      </c>
      <c r="K220" s="143">
        <f t="shared" si="34"/>
        <v>1</v>
      </c>
      <c r="L220" s="143">
        <f t="shared" si="34"/>
        <v>7</v>
      </c>
      <c r="M220" s="143">
        <f t="shared" si="34"/>
        <v>6</v>
      </c>
      <c r="N220" s="143">
        <f t="shared" si="34"/>
        <v>2</v>
      </c>
      <c r="O220" s="143">
        <f t="shared" si="34"/>
        <v>0</v>
      </c>
      <c r="P220" s="143">
        <f t="shared" si="34"/>
        <v>4</v>
      </c>
      <c r="Q220" s="143">
        <f t="shared" si="34"/>
        <v>9</v>
      </c>
      <c r="R220" s="143">
        <f t="shared" si="34"/>
        <v>17</v>
      </c>
      <c r="S220" s="143">
        <f t="shared" si="34"/>
        <v>20</v>
      </c>
      <c r="T220" s="143">
        <f t="shared" si="34"/>
        <v>19</v>
      </c>
      <c r="U220" s="143">
        <f t="shared" si="34"/>
        <v>10</v>
      </c>
      <c r="V220" s="143">
        <f t="shared" si="34"/>
        <v>8</v>
      </c>
      <c r="W220" s="143">
        <f t="shared" si="34"/>
        <v>28</v>
      </c>
      <c r="X220" s="143">
        <f t="shared" si="34"/>
        <v>39</v>
      </c>
      <c r="Y220" s="143">
        <f t="shared" si="34"/>
        <v>37</v>
      </c>
      <c r="Z220" s="143">
        <f t="shared" si="34"/>
        <v>21</v>
      </c>
      <c r="AA220" s="143">
        <f t="shared" si="34"/>
        <v>24</v>
      </c>
      <c r="AB220" s="143">
        <f t="shared" si="34"/>
        <v>8</v>
      </c>
      <c r="AC220" s="143">
        <f t="shared" si="34"/>
        <v>15</v>
      </c>
      <c r="AD220" s="143">
        <f t="shared" si="34"/>
        <v>18</v>
      </c>
      <c r="AE220" s="143">
        <f t="shared" si="34"/>
        <v>55</v>
      </c>
      <c r="AF220" s="143">
        <f t="shared" si="34"/>
        <v>0</v>
      </c>
      <c r="AG220" s="86">
        <f t="shared" si="32"/>
        <v>363</v>
      </c>
    </row>
    <row r="221" spans="1:34" ht="18.75" x14ac:dyDescent="0.25">
      <c r="A221" s="349" t="s">
        <v>165</v>
      </c>
      <c r="B221" s="355">
        <v>0</v>
      </c>
      <c r="C221" s="218">
        <v>0</v>
      </c>
      <c r="D221" s="218">
        <v>1</v>
      </c>
      <c r="E221" s="218">
        <v>0</v>
      </c>
      <c r="F221" s="218">
        <v>0</v>
      </c>
      <c r="G221" s="383">
        <v>0</v>
      </c>
      <c r="H221" s="218">
        <v>0</v>
      </c>
      <c r="I221" s="218">
        <v>0</v>
      </c>
      <c r="J221" s="218">
        <v>1</v>
      </c>
      <c r="K221" s="218">
        <v>0</v>
      </c>
      <c r="L221" s="218">
        <v>0</v>
      </c>
      <c r="M221" s="218">
        <v>0</v>
      </c>
      <c r="N221" s="218">
        <v>0</v>
      </c>
      <c r="O221" s="218">
        <v>0</v>
      </c>
      <c r="P221" s="218">
        <v>0</v>
      </c>
      <c r="Q221" s="218">
        <v>2</v>
      </c>
      <c r="R221" s="218">
        <v>3</v>
      </c>
      <c r="S221" s="218">
        <v>3</v>
      </c>
      <c r="T221" s="218">
        <v>2</v>
      </c>
      <c r="U221" s="218">
        <v>2</v>
      </c>
      <c r="V221" s="218">
        <v>3</v>
      </c>
      <c r="W221" s="218">
        <v>2</v>
      </c>
      <c r="X221" s="218">
        <v>4</v>
      </c>
      <c r="Y221" s="218">
        <v>8</v>
      </c>
      <c r="Z221" s="218">
        <v>4</v>
      </c>
      <c r="AA221" s="218">
        <v>5</v>
      </c>
      <c r="AB221" s="218">
        <v>2</v>
      </c>
      <c r="AC221" s="218">
        <v>1</v>
      </c>
      <c r="AD221" s="218">
        <v>1</v>
      </c>
      <c r="AE221" s="218">
        <v>3</v>
      </c>
      <c r="AF221" s="218"/>
      <c r="AG221" s="225">
        <f t="shared" si="32"/>
        <v>47</v>
      </c>
    </row>
    <row r="222" spans="1:34" ht="18.75" x14ac:dyDescent="0.25">
      <c r="A222" s="350" t="s">
        <v>166</v>
      </c>
      <c r="B222" s="273">
        <v>0</v>
      </c>
      <c r="C222" s="124">
        <v>2</v>
      </c>
      <c r="D222" s="124">
        <v>2</v>
      </c>
      <c r="E222" s="124">
        <v>1</v>
      </c>
      <c r="F222" s="124">
        <v>3</v>
      </c>
      <c r="G222" s="389">
        <v>2</v>
      </c>
      <c r="H222" s="124">
        <v>0</v>
      </c>
      <c r="I222" s="124">
        <v>0</v>
      </c>
      <c r="J222" s="124">
        <v>3</v>
      </c>
      <c r="K222" s="124">
        <v>1</v>
      </c>
      <c r="L222" s="124">
        <v>7</v>
      </c>
      <c r="M222" s="124">
        <v>6</v>
      </c>
      <c r="N222" s="124">
        <v>2</v>
      </c>
      <c r="O222" s="124">
        <v>0</v>
      </c>
      <c r="P222" s="124">
        <v>4</v>
      </c>
      <c r="Q222" s="124">
        <v>7</v>
      </c>
      <c r="R222" s="124">
        <v>14</v>
      </c>
      <c r="S222" s="124">
        <v>17</v>
      </c>
      <c r="T222" s="124">
        <v>17</v>
      </c>
      <c r="U222" s="124">
        <v>8</v>
      </c>
      <c r="V222" s="124">
        <v>5</v>
      </c>
      <c r="W222" s="124">
        <v>26</v>
      </c>
      <c r="X222" s="124">
        <v>35</v>
      </c>
      <c r="Y222" s="124">
        <v>29</v>
      </c>
      <c r="Z222" s="124">
        <v>17</v>
      </c>
      <c r="AA222" s="124">
        <v>19</v>
      </c>
      <c r="AB222" s="124">
        <v>6</v>
      </c>
      <c r="AC222" s="124">
        <v>14</v>
      </c>
      <c r="AD222" s="124">
        <v>17</v>
      </c>
      <c r="AE222" s="124">
        <v>42</v>
      </c>
      <c r="AF222" s="124"/>
      <c r="AG222" s="122">
        <f t="shared" si="32"/>
        <v>306</v>
      </c>
    </row>
    <row r="223" spans="1:34" ht="19.5" thickBot="1" x14ac:dyDescent="0.3">
      <c r="A223" s="324" t="s">
        <v>167</v>
      </c>
      <c r="B223" s="263">
        <v>0</v>
      </c>
      <c r="C223" s="140">
        <v>0</v>
      </c>
      <c r="D223" s="140">
        <v>0</v>
      </c>
      <c r="E223" s="140">
        <v>0</v>
      </c>
      <c r="F223" s="140">
        <v>0</v>
      </c>
      <c r="G223" s="385">
        <v>0</v>
      </c>
      <c r="H223" s="140">
        <v>0</v>
      </c>
      <c r="I223" s="140">
        <v>0</v>
      </c>
      <c r="J223" s="140">
        <v>0</v>
      </c>
      <c r="K223" s="140">
        <v>0</v>
      </c>
      <c r="L223" s="140">
        <v>0</v>
      </c>
      <c r="M223" s="140">
        <v>0</v>
      </c>
      <c r="N223" s="140">
        <v>0</v>
      </c>
      <c r="O223" s="140">
        <v>0</v>
      </c>
      <c r="P223" s="140">
        <v>0</v>
      </c>
      <c r="Q223" s="140">
        <v>0</v>
      </c>
      <c r="R223" s="140">
        <v>0</v>
      </c>
      <c r="S223" s="140">
        <v>0</v>
      </c>
      <c r="T223" s="140">
        <v>0</v>
      </c>
      <c r="U223" s="140">
        <v>0</v>
      </c>
      <c r="V223" s="140">
        <v>0</v>
      </c>
      <c r="W223" s="140">
        <v>0</v>
      </c>
      <c r="X223" s="140">
        <v>0</v>
      </c>
      <c r="Y223" s="140">
        <v>0</v>
      </c>
      <c r="Z223" s="140">
        <v>0</v>
      </c>
      <c r="AA223" s="140">
        <v>0</v>
      </c>
      <c r="AB223" s="140">
        <v>0</v>
      </c>
      <c r="AC223" s="140">
        <v>0</v>
      </c>
      <c r="AD223" s="140">
        <v>0</v>
      </c>
      <c r="AE223" s="140">
        <v>10</v>
      </c>
      <c r="AF223" s="140"/>
      <c r="AG223" s="138">
        <f t="shared" si="32"/>
        <v>10</v>
      </c>
    </row>
    <row r="224" spans="1:34" ht="18.75" x14ac:dyDescent="0.25">
      <c r="A224" s="351" t="s">
        <v>4</v>
      </c>
      <c r="B224" s="265">
        <f t="shared" ref="B224:AF224" si="35">SUM(B225:B227)</f>
        <v>2</v>
      </c>
      <c r="C224" s="8">
        <f t="shared" si="35"/>
        <v>9</v>
      </c>
      <c r="D224" s="8">
        <f t="shared" si="35"/>
        <v>11</v>
      </c>
      <c r="E224" s="8">
        <f t="shared" si="35"/>
        <v>9</v>
      </c>
      <c r="F224" s="8">
        <f t="shared" si="35"/>
        <v>10</v>
      </c>
      <c r="G224" s="391">
        <f t="shared" si="35"/>
        <v>3</v>
      </c>
      <c r="H224" s="8">
        <f t="shared" si="35"/>
        <v>2</v>
      </c>
      <c r="I224" s="8">
        <f t="shared" si="35"/>
        <v>8</v>
      </c>
      <c r="J224" s="8">
        <f t="shared" si="35"/>
        <v>10</v>
      </c>
      <c r="K224" s="8">
        <f t="shared" si="35"/>
        <v>12</v>
      </c>
      <c r="L224" s="8">
        <f t="shared" si="35"/>
        <v>10</v>
      </c>
      <c r="M224" s="8">
        <f t="shared" si="35"/>
        <v>6</v>
      </c>
      <c r="N224" s="8">
        <f t="shared" si="35"/>
        <v>3</v>
      </c>
      <c r="O224" s="8">
        <f t="shared" si="35"/>
        <v>3</v>
      </c>
      <c r="P224" s="8">
        <f t="shared" si="35"/>
        <v>9</v>
      </c>
      <c r="Q224" s="8">
        <f t="shared" si="35"/>
        <v>7</v>
      </c>
      <c r="R224" s="8">
        <f t="shared" si="35"/>
        <v>8</v>
      </c>
      <c r="S224" s="8">
        <f t="shared" si="35"/>
        <v>12</v>
      </c>
      <c r="T224" s="8">
        <f t="shared" si="35"/>
        <v>5</v>
      </c>
      <c r="U224" s="8">
        <f t="shared" si="35"/>
        <v>3</v>
      </c>
      <c r="V224" s="8">
        <f t="shared" si="35"/>
        <v>6</v>
      </c>
      <c r="W224" s="8">
        <f t="shared" si="35"/>
        <v>9</v>
      </c>
      <c r="X224" s="8">
        <f t="shared" si="35"/>
        <v>6</v>
      </c>
      <c r="Y224" s="8">
        <f t="shared" si="35"/>
        <v>8</v>
      </c>
      <c r="Z224" s="8">
        <f t="shared" si="35"/>
        <v>12</v>
      </c>
      <c r="AA224" s="8">
        <f t="shared" si="35"/>
        <v>12</v>
      </c>
      <c r="AB224" s="8">
        <f t="shared" si="35"/>
        <v>6</v>
      </c>
      <c r="AC224" s="8">
        <f t="shared" si="35"/>
        <v>1</v>
      </c>
      <c r="AD224" s="8">
        <f t="shared" si="35"/>
        <v>11</v>
      </c>
      <c r="AE224" s="8">
        <f t="shared" si="35"/>
        <v>9</v>
      </c>
      <c r="AF224" s="8">
        <f t="shared" si="35"/>
        <v>0</v>
      </c>
      <c r="AG224" s="7">
        <f t="shared" ref="AG224:AG227" si="36">SUM(B224:AF224)</f>
        <v>222</v>
      </c>
      <c r="AH224" s="406" t="s">
        <v>3</v>
      </c>
    </row>
    <row r="225" spans="1:34" ht="18.75" x14ac:dyDescent="0.25">
      <c r="A225" s="352" t="s">
        <v>2</v>
      </c>
      <c r="B225" s="5">
        <v>1</v>
      </c>
      <c r="C225" s="3">
        <v>3</v>
      </c>
      <c r="D225" s="3">
        <v>6</v>
      </c>
      <c r="E225" s="3">
        <v>6</v>
      </c>
      <c r="F225" s="3">
        <v>7</v>
      </c>
      <c r="G225" s="397">
        <v>0</v>
      </c>
      <c r="H225" s="3">
        <v>0</v>
      </c>
      <c r="I225" s="3">
        <v>5</v>
      </c>
      <c r="J225" s="3">
        <v>6</v>
      </c>
      <c r="K225" s="3">
        <v>7</v>
      </c>
      <c r="L225" s="3">
        <v>7</v>
      </c>
      <c r="M225" s="3">
        <v>5</v>
      </c>
      <c r="N225" s="5">
        <v>1</v>
      </c>
      <c r="O225" s="3">
        <v>0</v>
      </c>
      <c r="P225" s="3">
        <v>4</v>
      </c>
      <c r="Q225" s="3">
        <v>5</v>
      </c>
      <c r="R225" s="3">
        <v>5</v>
      </c>
      <c r="S225" s="3">
        <v>4</v>
      </c>
      <c r="T225" s="3">
        <v>2</v>
      </c>
      <c r="U225" s="3">
        <v>2</v>
      </c>
      <c r="V225" s="3">
        <v>3</v>
      </c>
      <c r="W225" s="3">
        <v>8</v>
      </c>
      <c r="X225" s="3">
        <v>2</v>
      </c>
      <c r="Y225" s="3">
        <v>6</v>
      </c>
      <c r="Z225" s="4">
        <v>8</v>
      </c>
      <c r="AA225" s="3">
        <v>4</v>
      </c>
      <c r="AB225" s="3">
        <v>2</v>
      </c>
      <c r="AC225" s="3">
        <v>1</v>
      </c>
      <c r="AD225" s="3">
        <v>7</v>
      </c>
      <c r="AE225" s="3">
        <v>7</v>
      </c>
      <c r="AF225" s="2"/>
      <c r="AG225" s="1">
        <f t="shared" si="36"/>
        <v>124</v>
      </c>
      <c r="AH225" s="407"/>
    </row>
    <row r="226" spans="1:34" ht="18.75" x14ac:dyDescent="0.25">
      <c r="A226" s="352" t="s">
        <v>1</v>
      </c>
      <c r="B226" s="5">
        <v>1</v>
      </c>
      <c r="C226" s="3">
        <v>6</v>
      </c>
      <c r="D226" s="3">
        <v>5</v>
      </c>
      <c r="E226" s="3">
        <v>3</v>
      </c>
      <c r="F226" s="3">
        <v>3</v>
      </c>
      <c r="G226" s="397">
        <v>3</v>
      </c>
      <c r="H226" s="3">
        <v>2</v>
      </c>
      <c r="I226" s="3">
        <v>3</v>
      </c>
      <c r="J226" s="3">
        <v>4</v>
      </c>
      <c r="K226" s="3">
        <v>5</v>
      </c>
      <c r="L226" s="3">
        <v>3</v>
      </c>
      <c r="M226" s="3">
        <v>1</v>
      </c>
      <c r="N226" s="5">
        <v>2</v>
      </c>
      <c r="O226" s="3">
        <v>3</v>
      </c>
      <c r="P226" s="3">
        <v>5</v>
      </c>
      <c r="Q226" s="3">
        <v>2</v>
      </c>
      <c r="R226" s="3">
        <v>3</v>
      </c>
      <c r="S226" s="3">
        <v>8</v>
      </c>
      <c r="T226" s="3">
        <v>3</v>
      </c>
      <c r="U226" s="3">
        <v>1</v>
      </c>
      <c r="V226" s="3">
        <v>3</v>
      </c>
      <c r="W226" s="3">
        <v>1</v>
      </c>
      <c r="X226" s="3">
        <v>4</v>
      </c>
      <c r="Y226" s="3">
        <v>2</v>
      </c>
      <c r="Z226" s="4">
        <v>4</v>
      </c>
      <c r="AA226" s="3">
        <v>8</v>
      </c>
      <c r="AB226" s="3">
        <v>4</v>
      </c>
      <c r="AC226" s="3">
        <v>0</v>
      </c>
      <c r="AD226" s="3">
        <v>4</v>
      </c>
      <c r="AE226" s="3">
        <v>2</v>
      </c>
      <c r="AF226" s="2"/>
      <c r="AG226" s="1">
        <f t="shared" si="36"/>
        <v>98</v>
      </c>
      <c r="AH226" s="407"/>
    </row>
    <row r="227" spans="1:34" ht="19.5" thickBot="1" x14ac:dyDescent="0.3">
      <c r="A227" s="353" t="s">
        <v>0</v>
      </c>
      <c r="B227" s="297"/>
      <c r="C227" s="240"/>
      <c r="D227" s="240"/>
      <c r="E227" s="240"/>
      <c r="F227" s="240"/>
      <c r="G227" s="398"/>
      <c r="H227" s="240"/>
      <c r="I227" s="240"/>
      <c r="J227" s="240"/>
      <c r="K227" s="241"/>
      <c r="L227" s="241"/>
      <c r="M227" s="241"/>
      <c r="N227" s="242"/>
      <c r="O227" s="243"/>
      <c r="P227" s="243"/>
      <c r="Q227" s="243"/>
      <c r="R227" s="243"/>
      <c r="S227" s="243"/>
      <c r="T227" s="243"/>
      <c r="U227" s="243"/>
      <c r="V227" s="243"/>
      <c r="W227" s="243"/>
      <c r="X227" s="243"/>
      <c r="Y227" s="243"/>
      <c r="Z227" s="243"/>
      <c r="AA227" s="243"/>
      <c r="AB227" s="243"/>
      <c r="AC227" s="243"/>
      <c r="AD227" s="243"/>
      <c r="AE227" s="243"/>
      <c r="AF227" s="244"/>
      <c r="AG227" s="10">
        <f t="shared" si="36"/>
        <v>0</v>
      </c>
      <c r="AH227" s="408"/>
    </row>
    <row r="247" ht="18.75" customHeight="1" x14ac:dyDescent="0.25"/>
    <row r="248" ht="18.75" customHeight="1" x14ac:dyDescent="0.25"/>
    <row r="249" ht="18.75" customHeight="1" x14ac:dyDescent="0.25"/>
    <row r="250" ht="18.75" customHeight="1" x14ac:dyDescent="0.25"/>
    <row r="251" ht="18.75" customHeight="1" x14ac:dyDescent="0.25"/>
    <row r="252" ht="18.75" customHeight="1" x14ac:dyDescent="0.25"/>
    <row r="253" ht="18.75" customHeight="1" x14ac:dyDescent="0.25"/>
    <row r="254" ht="18.75" customHeight="1" x14ac:dyDescent="0.25"/>
    <row r="255" ht="18.75" customHeight="1" x14ac:dyDescent="0.25"/>
    <row r="256" ht="18.75" customHeight="1" x14ac:dyDescent="0.25"/>
    <row r="257" ht="18.75" customHeight="1" x14ac:dyDescent="0.25"/>
    <row r="258" ht="19.5" customHeight="1" x14ac:dyDescent="0.25"/>
    <row r="260" ht="18.75" customHeight="1" x14ac:dyDescent="0.25"/>
    <row r="263" ht="18.75" customHeight="1" x14ac:dyDescent="0.25"/>
  </sheetData>
  <dataConsolidate link="1"/>
  <mergeCells count="3">
    <mergeCell ref="A1:AG1"/>
    <mergeCell ref="AI84:AI86"/>
    <mergeCell ref="AH224:AH227"/>
  </mergeCells>
  <conditionalFormatting sqref="B29:AF52">
    <cfRule type="cellIs" dxfId="19" priority="6" operator="lessThan">
      <formula>0</formula>
    </cfRule>
  </conditionalFormatting>
  <conditionalFormatting sqref="D54:D77">
    <cfRule type="cellIs" dxfId="18" priority="2" operator="lessThan">
      <formula>0</formula>
    </cfRule>
  </conditionalFormatting>
  <conditionalFormatting sqref="G54:G77">
    <cfRule type="cellIs" dxfId="17" priority="1" operator="lessThan">
      <formula>0</formula>
    </cfRule>
  </conditionalFormatting>
  <conditionalFormatting sqref="AH81">
    <cfRule type="cellIs" dxfId="16" priority="4" operator="equal">
      <formula>"*"</formula>
    </cfRule>
  </conditionalFormatting>
  <conditionalFormatting sqref="AH84 AH87">
    <cfRule type="cellIs" dxfId="15" priority="5" operator="equal">
      <formula>"*"</formula>
    </cfRule>
  </conditionalFormatting>
  <conditionalFormatting sqref="AH93">
    <cfRule type="cellIs" dxfId="14" priority="10" operator="equal">
      <formula>"*"</formula>
    </cfRule>
  </conditionalFormatting>
  <conditionalFormatting sqref="AH130">
    <cfRule type="cellIs" dxfId="13" priority="8" operator="equal">
      <formula>"*"</formula>
    </cfRule>
  </conditionalFormatting>
  <conditionalFormatting sqref="AH144:AH145">
    <cfRule type="cellIs" dxfId="12" priority="9" operator="equal">
      <formula>"*"</formula>
    </cfRule>
  </conditionalFormatting>
  <conditionalFormatting sqref="AH182">
    <cfRule type="cellIs" dxfId="11" priority="7" operator="equal">
      <formula>"*"</formula>
    </cfRule>
  </conditionalFormatting>
  <conditionalFormatting sqref="AH209">
    <cfRule type="cellIs" dxfId="10" priority="3" operator="equal">
      <formula>"X"</formula>
    </cfRule>
  </conditionalFormatting>
  <dataValidations disablePrompts="1" count="1">
    <dataValidation type="whole" allowBlank="1" showInputMessage="1" showErrorMessage="1" errorTitle="ERROR" error="Por favor ingrese solo Números" sqref="A98:A99 A101:A115" xr:uid="{47BA138E-A9C1-4112-8B7B-D81D2BD5D482}">
      <formula1>0</formula1>
      <formula2>1000000000</formula2>
    </dataValidation>
  </dataValidations>
  <pageMargins left="0.7" right="0.7" top="0.75" bottom="0.75" header="0.3" footer="0.3"/>
  <pageSetup orientation="portrait" horizontalDpi="300" verticalDpi="300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A2E72-4821-4B94-9845-796BF234F9C9}">
  <dimension ref="A1:AI263"/>
  <sheetViews>
    <sheetView zoomScale="80" zoomScaleNormal="80" workbookViewId="0">
      <pane xSplit="1" ySplit="3" topLeftCell="B20" activePane="bottomRight" state="frozen"/>
      <selection activeCell="AG3" sqref="AG3"/>
      <selection pane="topRight" activeCell="AG3" sqref="AG3"/>
      <selection pane="bottomLeft" activeCell="AG3" sqref="AG3"/>
      <selection pane="bottomRight" activeCell="J5" sqref="J5"/>
    </sheetView>
  </sheetViews>
  <sheetFormatPr baseColWidth="10" defaultRowHeight="15" x14ac:dyDescent="0.25"/>
  <cols>
    <col min="1" max="1" width="34.7109375" customWidth="1"/>
    <col min="2" max="13" width="8.28515625" customWidth="1"/>
    <col min="14" max="14" width="10.140625" customWidth="1"/>
    <col min="15" max="27" width="8.28515625" customWidth="1"/>
    <col min="28" max="28" width="9.7109375" customWidth="1"/>
    <col min="29" max="32" width="8.28515625" customWidth="1"/>
    <col min="33" max="33" width="11.140625" customWidth="1"/>
    <col min="34" max="34" width="12.42578125" customWidth="1"/>
  </cols>
  <sheetData>
    <row r="1" spans="1:33" ht="21.75" thickBot="1" x14ac:dyDescent="0.3">
      <c r="A1" s="400"/>
      <c r="B1" s="401"/>
      <c r="C1" s="401"/>
      <c r="D1" s="401"/>
      <c r="E1" s="401"/>
      <c r="F1" s="401"/>
      <c r="G1" s="401"/>
      <c r="H1" s="401"/>
      <c r="I1" s="401"/>
      <c r="J1" s="401"/>
      <c r="K1" s="401"/>
      <c r="L1" s="401"/>
      <c r="M1" s="401"/>
      <c r="N1" s="401"/>
      <c r="O1" s="401"/>
      <c r="P1" s="401"/>
      <c r="Q1" s="401"/>
      <c r="R1" s="401"/>
      <c r="S1" s="401"/>
      <c r="T1" s="401"/>
      <c r="U1" s="401"/>
      <c r="V1" s="401"/>
      <c r="W1" s="401"/>
      <c r="X1" s="401"/>
      <c r="Y1" s="401"/>
      <c r="Z1" s="401"/>
      <c r="AA1" s="401"/>
      <c r="AB1" s="401"/>
      <c r="AC1" s="401"/>
      <c r="AD1" s="401"/>
      <c r="AE1" s="401"/>
      <c r="AF1" s="401"/>
      <c r="AG1" s="402"/>
    </row>
    <row r="2" spans="1:33" ht="21.75" thickBot="1" x14ac:dyDescent="0.3">
      <c r="A2" s="298" t="s">
        <v>163</v>
      </c>
      <c r="B2" s="246">
        <v>1</v>
      </c>
      <c r="C2" s="215">
        <f t="shared" ref="C2:AA2" si="0">+B2+1</f>
        <v>2</v>
      </c>
      <c r="D2" s="215">
        <f t="shared" si="0"/>
        <v>3</v>
      </c>
      <c r="E2" s="217">
        <f t="shared" si="0"/>
        <v>4</v>
      </c>
      <c r="F2" s="217">
        <f t="shared" si="0"/>
        <v>5</v>
      </c>
      <c r="G2" s="215">
        <f t="shared" si="0"/>
        <v>6</v>
      </c>
      <c r="H2" s="215">
        <f t="shared" si="0"/>
        <v>7</v>
      </c>
      <c r="I2" s="217">
        <f t="shared" si="0"/>
        <v>8</v>
      </c>
      <c r="J2" s="215">
        <f t="shared" si="0"/>
        <v>9</v>
      </c>
      <c r="K2" s="215">
        <f t="shared" si="0"/>
        <v>10</v>
      </c>
      <c r="L2" s="217">
        <f t="shared" si="0"/>
        <v>11</v>
      </c>
      <c r="M2" s="217">
        <f t="shared" si="0"/>
        <v>12</v>
      </c>
      <c r="N2" s="215">
        <f t="shared" si="0"/>
        <v>13</v>
      </c>
      <c r="O2" s="215">
        <f t="shared" si="0"/>
        <v>14</v>
      </c>
      <c r="P2" s="215">
        <f t="shared" si="0"/>
        <v>15</v>
      </c>
      <c r="Q2" s="215">
        <f t="shared" si="0"/>
        <v>16</v>
      </c>
      <c r="R2" s="215">
        <f t="shared" si="0"/>
        <v>17</v>
      </c>
      <c r="S2" s="217">
        <f t="shared" si="0"/>
        <v>18</v>
      </c>
      <c r="T2" s="217">
        <f t="shared" si="0"/>
        <v>19</v>
      </c>
      <c r="U2" s="215">
        <f t="shared" si="0"/>
        <v>20</v>
      </c>
      <c r="V2" s="215">
        <f t="shared" si="0"/>
        <v>21</v>
      </c>
      <c r="W2" s="215">
        <f t="shared" si="0"/>
        <v>22</v>
      </c>
      <c r="X2" s="215">
        <f t="shared" si="0"/>
        <v>23</v>
      </c>
      <c r="Y2" s="215">
        <f t="shared" si="0"/>
        <v>24</v>
      </c>
      <c r="Z2" s="217">
        <f t="shared" si="0"/>
        <v>25</v>
      </c>
      <c r="AA2" s="217">
        <f t="shared" si="0"/>
        <v>26</v>
      </c>
      <c r="AB2" s="215">
        <v>27</v>
      </c>
      <c r="AC2" s="215">
        <f>+AB2+1</f>
        <v>28</v>
      </c>
      <c r="AD2" s="215">
        <v>29</v>
      </c>
      <c r="AE2" s="215">
        <v>30</v>
      </c>
      <c r="AF2" s="215">
        <v>31</v>
      </c>
      <c r="AG2" s="214" t="s">
        <v>148</v>
      </c>
    </row>
    <row r="3" spans="1:33" ht="19.5" thickBot="1" x14ac:dyDescent="0.3">
      <c r="A3" s="299" t="s">
        <v>147</v>
      </c>
      <c r="B3" s="247">
        <f t="shared" ref="B3:AF3" si="1">SUM(B4:B27)</f>
        <v>164</v>
      </c>
      <c r="C3" s="120">
        <f t="shared" si="1"/>
        <v>153</v>
      </c>
      <c r="D3" s="120">
        <f t="shared" si="1"/>
        <v>153</v>
      </c>
      <c r="E3" s="120">
        <f t="shared" si="1"/>
        <v>168</v>
      </c>
      <c r="F3" s="120">
        <f t="shared" si="1"/>
        <v>152</v>
      </c>
      <c r="G3" s="120">
        <f t="shared" si="1"/>
        <v>182</v>
      </c>
      <c r="H3" s="120">
        <f t="shared" si="1"/>
        <v>172</v>
      </c>
      <c r="I3" s="120">
        <f t="shared" si="1"/>
        <v>185</v>
      </c>
      <c r="J3" s="120">
        <f t="shared" si="1"/>
        <v>0</v>
      </c>
      <c r="K3" s="120">
        <f t="shared" si="1"/>
        <v>0</v>
      </c>
      <c r="L3" s="120">
        <f t="shared" si="1"/>
        <v>0</v>
      </c>
      <c r="M3" s="120">
        <f t="shared" si="1"/>
        <v>0</v>
      </c>
      <c r="N3" s="120">
        <f t="shared" si="1"/>
        <v>0</v>
      </c>
      <c r="O3" s="120">
        <f t="shared" si="1"/>
        <v>0</v>
      </c>
      <c r="P3" s="120">
        <f t="shared" si="1"/>
        <v>0</v>
      </c>
      <c r="Q3" s="120">
        <f t="shared" si="1"/>
        <v>0</v>
      </c>
      <c r="R3" s="120">
        <f t="shared" si="1"/>
        <v>0</v>
      </c>
      <c r="S3" s="120">
        <f t="shared" si="1"/>
        <v>0</v>
      </c>
      <c r="T3" s="120">
        <f t="shared" si="1"/>
        <v>0</v>
      </c>
      <c r="U3" s="120">
        <f t="shared" si="1"/>
        <v>0</v>
      </c>
      <c r="V3" s="120">
        <f t="shared" si="1"/>
        <v>0</v>
      </c>
      <c r="W3" s="120">
        <f t="shared" si="1"/>
        <v>0</v>
      </c>
      <c r="X3" s="120">
        <f t="shared" si="1"/>
        <v>0</v>
      </c>
      <c r="Y3" s="120">
        <f t="shared" si="1"/>
        <v>0</v>
      </c>
      <c r="Z3" s="120">
        <f t="shared" si="1"/>
        <v>0</v>
      </c>
      <c r="AA3" s="120">
        <f t="shared" si="1"/>
        <v>0</v>
      </c>
      <c r="AB3" s="120">
        <f t="shared" si="1"/>
        <v>0</v>
      </c>
      <c r="AC3" s="120">
        <f t="shared" si="1"/>
        <v>0</v>
      </c>
      <c r="AD3" s="120">
        <f t="shared" si="1"/>
        <v>0</v>
      </c>
      <c r="AE3" s="120">
        <f t="shared" si="1"/>
        <v>0</v>
      </c>
      <c r="AF3" s="120">
        <f t="shared" si="1"/>
        <v>0</v>
      </c>
      <c r="AG3" s="118">
        <f t="shared" ref="AG3:AG66" si="2">SUM(B3:AF3)</f>
        <v>1329</v>
      </c>
    </row>
    <row r="4" spans="1:33" ht="18.75" x14ac:dyDescent="0.25">
      <c r="A4" s="300" t="s">
        <v>144</v>
      </c>
      <c r="B4" s="248"/>
      <c r="C4" s="199">
        <v>1</v>
      </c>
      <c r="D4" s="199">
        <v>6</v>
      </c>
      <c r="E4" s="199">
        <v>4</v>
      </c>
      <c r="F4" s="199">
        <v>5</v>
      </c>
      <c r="G4" s="199">
        <v>1</v>
      </c>
      <c r="H4" s="199">
        <v>4</v>
      </c>
      <c r="I4" s="199">
        <v>6</v>
      </c>
      <c r="J4" s="199"/>
      <c r="K4" s="199"/>
      <c r="L4" s="199"/>
      <c r="M4" s="199"/>
      <c r="N4" s="199"/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199"/>
      <c r="AF4" s="206"/>
      <c r="AG4" s="134">
        <f t="shared" si="2"/>
        <v>27</v>
      </c>
    </row>
    <row r="5" spans="1:33" ht="18.75" x14ac:dyDescent="0.25">
      <c r="A5" s="301" t="s">
        <v>143</v>
      </c>
      <c r="B5" s="249">
        <v>5</v>
      </c>
      <c r="C5" s="162">
        <v>6</v>
      </c>
      <c r="D5" s="162">
        <v>1</v>
      </c>
      <c r="E5" s="162">
        <v>9</v>
      </c>
      <c r="F5" s="162">
        <v>4</v>
      </c>
      <c r="G5" s="162">
        <v>4</v>
      </c>
      <c r="H5" s="162">
        <v>5</v>
      </c>
      <c r="I5" s="162">
        <v>10</v>
      </c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162"/>
      <c r="X5" s="162"/>
      <c r="Y5" s="162"/>
      <c r="Z5" s="162"/>
      <c r="AA5" s="162"/>
      <c r="AB5" s="162"/>
      <c r="AC5" s="162"/>
      <c r="AD5" s="162"/>
      <c r="AE5" s="162"/>
      <c r="AF5" s="161"/>
      <c r="AG5" s="64">
        <f t="shared" si="2"/>
        <v>44</v>
      </c>
    </row>
    <row r="6" spans="1:33" ht="18.75" x14ac:dyDescent="0.25">
      <c r="A6" s="301" t="s">
        <v>142</v>
      </c>
      <c r="B6" s="249">
        <v>9</v>
      </c>
      <c r="C6" s="162">
        <v>2</v>
      </c>
      <c r="D6" s="162">
        <v>1</v>
      </c>
      <c r="E6" s="162">
        <v>11</v>
      </c>
      <c r="F6" s="162">
        <v>5</v>
      </c>
      <c r="G6" s="162">
        <v>3</v>
      </c>
      <c r="H6" s="162">
        <v>2</v>
      </c>
      <c r="I6" s="162">
        <v>10</v>
      </c>
      <c r="J6" s="162"/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  <c r="AA6" s="162"/>
      <c r="AB6" s="162"/>
      <c r="AC6" s="162"/>
      <c r="AD6" s="162"/>
      <c r="AE6" s="162"/>
      <c r="AF6" s="161"/>
      <c r="AG6" s="64">
        <f t="shared" si="2"/>
        <v>43</v>
      </c>
    </row>
    <row r="7" spans="1:33" ht="18.75" x14ac:dyDescent="0.25">
      <c r="A7" s="301" t="s">
        <v>141</v>
      </c>
      <c r="B7" s="249">
        <v>7</v>
      </c>
      <c r="C7" s="162">
        <v>4</v>
      </c>
      <c r="D7" s="162">
        <v>4</v>
      </c>
      <c r="E7" s="162">
        <v>15</v>
      </c>
      <c r="F7" s="162">
        <v>9</v>
      </c>
      <c r="G7" s="162">
        <v>2</v>
      </c>
      <c r="H7" s="162">
        <v>3</v>
      </c>
      <c r="I7" s="162">
        <v>17</v>
      </c>
      <c r="J7" s="162"/>
      <c r="K7" s="162"/>
      <c r="L7" s="162"/>
      <c r="M7" s="162"/>
      <c r="N7" s="162"/>
      <c r="O7" s="162"/>
      <c r="P7" s="162"/>
      <c r="Q7" s="162"/>
      <c r="R7" s="162"/>
      <c r="S7" s="162"/>
      <c r="T7" s="162"/>
      <c r="U7" s="162"/>
      <c r="V7" s="162"/>
      <c r="W7" s="162"/>
      <c r="X7" s="162"/>
      <c r="Y7" s="162"/>
      <c r="Z7" s="162"/>
      <c r="AA7" s="162"/>
      <c r="AB7" s="162"/>
      <c r="AC7" s="162"/>
      <c r="AD7" s="162"/>
      <c r="AE7" s="162"/>
      <c r="AF7" s="161"/>
      <c r="AG7" s="64">
        <f t="shared" si="2"/>
        <v>61</v>
      </c>
    </row>
    <row r="8" spans="1:33" ht="18.75" x14ac:dyDescent="0.25">
      <c r="A8" s="301" t="s">
        <v>140</v>
      </c>
      <c r="B8" s="249"/>
      <c r="C8" s="162">
        <v>7</v>
      </c>
      <c r="D8" s="162">
        <v>3</v>
      </c>
      <c r="E8" s="162">
        <v>10</v>
      </c>
      <c r="F8" s="162">
        <v>8</v>
      </c>
      <c r="G8" s="162">
        <v>4</v>
      </c>
      <c r="H8" s="162">
        <v>1</v>
      </c>
      <c r="I8" s="162">
        <v>7</v>
      </c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  <c r="X8" s="162"/>
      <c r="Y8" s="162"/>
      <c r="Z8" s="162"/>
      <c r="AA8" s="162"/>
      <c r="AB8" s="162"/>
      <c r="AC8" s="162"/>
      <c r="AD8" s="162"/>
      <c r="AE8" s="162"/>
      <c r="AF8" s="161"/>
      <c r="AG8" s="64">
        <f t="shared" si="2"/>
        <v>40</v>
      </c>
    </row>
    <row r="9" spans="1:33" ht="18.75" x14ac:dyDescent="0.25">
      <c r="A9" s="301" t="s">
        <v>139</v>
      </c>
      <c r="B9" s="249">
        <v>4</v>
      </c>
      <c r="C9" s="162">
        <v>3</v>
      </c>
      <c r="D9" s="162">
        <v>2</v>
      </c>
      <c r="E9" s="162">
        <v>9</v>
      </c>
      <c r="F9" s="162">
        <v>10</v>
      </c>
      <c r="G9" s="162">
        <v>6</v>
      </c>
      <c r="H9" s="162">
        <v>1</v>
      </c>
      <c r="I9" s="162">
        <v>7</v>
      </c>
      <c r="J9" s="162"/>
      <c r="K9" s="162"/>
      <c r="L9" s="162"/>
      <c r="M9" s="162"/>
      <c r="N9" s="162"/>
      <c r="O9" s="162"/>
      <c r="P9" s="162"/>
      <c r="Q9" s="162"/>
      <c r="R9" s="162"/>
      <c r="S9" s="162"/>
      <c r="T9" s="162"/>
      <c r="U9" s="162"/>
      <c r="V9" s="162"/>
      <c r="W9" s="162"/>
      <c r="X9" s="162"/>
      <c r="Y9" s="162"/>
      <c r="Z9" s="162"/>
      <c r="AA9" s="162"/>
      <c r="AB9" s="162"/>
      <c r="AC9" s="162"/>
      <c r="AD9" s="162"/>
      <c r="AE9" s="162"/>
      <c r="AF9" s="161"/>
      <c r="AG9" s="64">
        <f t="shared" si="2"/>
        <v>42</v>
      </c>
    </row>
    <row r="10" spans="1:33" ht="18.75" x14ac:dyDescent="0.25">
      <c r="A10" s="301" t="s">
        <v>138</v>
      </c>
      <c r="B10" s="249">
        <v>5</v>
      </c>
      <c r="C10" s="162">
        <v>3</v>
      </c>
      <c r="D10" s="162">
        <v>1</v>
      </c>
      <c r="E10" s="162">
        <v>7</v>
      </c>
      <c r="F10" s="162">
        <v>7</v>
      </c>
      <c r="G10" s="162">
        <v>5</v>
      </c>
      <c r="H10" s="162"/>
      <c r="I10" s="162">
        <v>9</v>
      </c>
      <c r="J10" s="162"/>
      <c r="K10" s="162"/>
      <c r="L10" s="162"/>
      <c r="M10" s="162"/>
      <c r="N10" s="162"/>
      <c r="O10" s="162"/>
      <c r="P10" s="162"/>
      <c r="Q10" s="162"/>
      <c r="R10" s="162"/>
      <c r="S10" s="162"/>
      <c r="T10" s="162"/>
      <c r="U10" s="162"/>
      <c r="V10" s="162"/>
      <c r="W10" s="162"/>
      <c r="X10" s="162"/>
      <c r="Y10" s="162"/>
      <c r="Z10" s="162"/>
      <c r="AA10" s="162"/>
      <c r="AB10" s="162"/>
      <c r="AC10" s="162"/>
      <c r="AD10" s="162"/>
      <c r="AE10" s="162"/>
      <c r="AF10" s="161"/>
      <c r="AG10" s="64">
        <f t="shared" si="2"/>
        <v>37</v>
      </c>
    </row>
    <row r="11" spans="1:33" ht="18.75" x14ac:dyDescent="0.25">
      <c r="A11" s="301" t="s">
        <v>137</v>
      </c>
      <c r="B11" s="249">
        <v>4</v>
      </c>
      <c r="C11" s="162">
        <v>6</v>
      </c>
      <c r="D11" s="162">
        <v>4</v>
      </c>
      <c r="E11" s="162">
        <v>14</v>
      </c>
      <c r="F11" s="162">
        <v>7</v>
      </c>
      <c r="G11" s="162">
        <v>6</v>
      </c>
      <c r="H11" s="162">
        <v>4</v>
      </c>
      <c r="I11" s="162">
        <v>10</v>
      </c>
      <c r="J11" s="162"/>
      <c r="K11" s="162"/>
      <c r="L11" s="162"/>
      <c r="M11" s="162"/>
      <c r="N11" s="162"/>
      <c r="O11" s="162"/>
      <c r="P11" s="162"/>
      <c r="Q11" s="162"/>
      <c r="R11" s="162"/>
      <c r="S11" s="162"/>
      <c r="T11" s="162"/>
      <c r="U11" s="162"/>
      <c r="V11" s="162"/>
      <c r="W11" s="162"/>
      <c r="X11" s="162"/>
      <c r="Y11" s="162"/>
      <c r="Z11" s="162"/>
      <c r="AA11" s="162"/>
      <c r="AB11" s="162"/>
      <c r="AC11" s="162"/>
      <c r="AD11" s="162"/>
      <c r="AE11" s="162"/>
      <c r="AF11" s="161"/>
      <c r="AG11" s="64">
        <f t="shared" si="2"/>
        <v>55</v>
      </c>
    </row>
    <row r="12" spans="1:33" ht="18.75" x14ac:dyDescent="0.25">
      <c r="A12" s="301" t="s">
        <v>136</v>
      </c>
      <c r="B12" s="249">
        <v>8</v>
      </c>
      <c r="C12" s="162">
        <v>5</v>
      </c>
      <c r="D12" s="162">
        <v>5</v>
      </c>
      <c r="E12" s="162">
        <v>13</v>
      </c>
      <c r="F12" s="162">
        <v>11</v>
      </c>
      <c r="G12" s="162">
        <v>8</v>
      </c>
      <c r="H12" s="162">
        <v>2</v>
      </c>
      <c r="I12" s="162">
        <v>11</v>
      </c>
      <c r="J12" s="162"/>
      <c r="K12" s="162"/>
      <c r="L12" s="162"/>
      <c r="M12" s="162"/>
      <c r="N12" s="162"/>
      <c r="O12" s="162"/>
      <c r="P12" s="162"/>
      <c r="Q12" s="162"/>
      <c r="R12" s="162"/>
      <c r="S12" s="162"/>
      <c r="T12" s="162"/>
      <c r="U12" s="162"/>
      <c r="V12" s="162"/>
      <c r="W12" s="162"/>
      <c r="X12" s="162"/>
      <c r="Y12" s="162"/>
      <c r="Z12" s="162"/>
      <c r="AA12" s="162"/>
      <c r="AB12" s="162"/>
      <c r="AC12" s="162"/>
      <c r="AD12" s="162"/>
      <c r="AE12" s="162"/>
      <c r="AF12" s="161"/>
      <c r="AG12" s="64">
        <f t="shared" si="2"/>
        <v>63</v>
      </c>
    </row>
    <row r="13" spans="1:33" ht="18.75" x14ac:dyDescent="0.25">
      <c r="A13" s="301" t="s">
        <v>135</v>
      </c>
      <c r="B13" s="249">
        <v>47</v>
      </c>
      <c r="C13" s="162">
        <v>35</v>
      </c>
      <c r="D13" s="162">
        <v>35</v>
      </c>
      <c r="E13" s="162">
        <v>10</v>
      </c>
      <c r="F13" s="162">
        <v>13</v>
      </c>
      <c r="G13" s="162">
        <v>48</v>
      </c>
      <c r="H13" s="162">
        <v>41</v>
      </c>
      <c r="I13" s="162">
        <v>18</v>
      </c>
      <c r="J13" s="162"/>
      <c r="K13" s="162"/>
      <c r="L13" s="162"/>
      <c r="M13" s="162"/>
      <c r="N13" s="162"/>
      <c r="O13" s="162"/>
      <c r="P13" s="162"/>
      <c r="Q13" s="162"/>
      <c r="R13" s="162"/>
      <c r="S13" s="162"/>
      <c r="T13" s="162"/>
      <c r="U13" s="162"/>
      <c r="V13" s="162"/>
      <c r="W13" s="162"/>
      <c r="X13" s="162"/>
      <c r="Y13" s="162"/>
      <c r="Z13" s="162"/>
      <c r="AA13" s="162"/>
      <c r="AB13" s="162"/>
      <c r="AC13" s="162"/>
      <c r="AD13" s="162"/>
      <c r="AE13" s="162"/>
      <c r="AF13" s="161"/>
      <c r="AG13" s="64">
        <f t="shared" si="2"/>
        <v>247</v>
      </c>
    </row>
    <row r="14" spans="1:33" ht="18.75" x14ac:dyDescent="0.25">
      <c r="A14" s="301" t="s">
        <v>134</v>
      </c>
      <c r="B14" s="249">
        <v>15</v>
      </c>
      <c r="C14" s="162">
        <v>20</v>
      </c>
      <c r="D14" s="162">
        <v>19</v>
      </c>
      <c r="E14" s="162">
        <v>11</v>
      </c>
      <c r="F14" s="162">
        <v>6</v>
      </c>
      <c r="G14" s="162">
        <v>13</v>
      </c>
      <c r="H14" s="162">
        <v>18</v>
      </c>
      <c r="I14" s="162">
        <v>12</v>
      </c>
      <c r="J14" s="162"/>
      <c r="K14" s="162"/>
      <c r="L14" s="162"/>
      <c r="M14" s="162"/>
      <c r="N14" s="162"/>
      <c r="O14" s="162"/>
      <c r="P14" s="162"/>
      <c r="Q14" s="162"/>
      <c r="R14" s="162"/>
      <c r="S14" s="162"/>
      <c r="T14" s="162"/>
      <c r="U14" s="162"/>
      <c r="V14" s="162"/>
      <c r="W14" s="162"/>
      <c r="X14" s="162"/>
      <c r="Y14" s="162"/>
      <c r="Z14" s="162"/>
      <c r="AA14" s="162"/>
      <c r="AB14" s="162"/>
      <c r="AC14" s="162"/>
      <c r="AD14" s="162"/>
      <c r="AE14" s="162"/>
      <c r="AF14" s="161"/>
      <c r="AG14" s="64">
        <f t="shared" si="2"/>
        <v>114</v>
      </c>
    </row>
    <row r="15" spans="1:33" ht="18.75" x14ac:dyDescent="0.25">
      <c r="A15" s="301" t="s">
        <v>133</v>
      </c>
      <c r="B15" s="249">
        <v>7</v>
      </c>
      <c r="C15" s="162">
        <v>16</v>
      </c>
      <c r="D15" s="162">
        <v>12</v>
      </c>
      <c r="E15" s="162">
        <v>7</v>
      </c>
      <c r="F15" s="162">
        <v>10</v>
      </c>
      <c r="G15" s="162">
        <v>19</v>
      </c>
      <c r="H15" s="162">
        <v>16</v>
      </c>
      <c r="I15" s="162">
        <v>9</v>
      </c>
      <c r="J15" s="162"/>
      <c r="K15" s="162"/>
      <c r="L15" s="162"/>
      <c r="M15" s="162"/>
      <c r="N15" s="162"/>
      <c r="O15" s="162"/>
      <c r="P15" s="162"/>
      <c r="Q15" s="162"/>
      <c r="R15" s="162"/>
      <c r="S15" s="162"/>
      <c r="T15" s="162"/>
      <c r="U15" s="162"/>
      <c r="V15" s="162"/>
      <c r="W15" s="162"/>
      <c r="X15" s="162"/>
      <c r="Y15" s="162"/>
      <c r="Z15" s="162"/>
      <c r="AA15" s="162"/>
      <c r="AB15" s="162"/>
      <c r="AC15" s="162"/>
      <c r="AD15" s="162"/>
      <c r="AE15" s="162"/>
      <c r="AF15" s="161"/>
      <c r="AG15" s="64">
        <f t="shared" si="2"/>
        <v>96</v>
      </c>
    </row>
    <row r="16" spans="1:33" ht="18.75" x14ac:dyDescent="0.25">
      <c r="A16" s="301" t="s">
        <v>132</v>
      </c>
      <c r="B16" s="249">
        <v>14</v>
      </c>
      <c r="C16" s="162">
        <v>7</v>
      </c>
      <c r="D16" s="162">
        <v>8</v>
      </c>
      <c r="E16" s="162">
        <v>5</v>
      </c>
      <c r="F16" s="162">
        <v>11</v>
      </c>
      <c r="G16" s="162">
        <v>11</v>
      </c>
      <c r="H16" s="162">
        <v>19</v>
      </c>
      <c r="I16" s="162">
        <v>15</v>
      </c>
      <c r="J16" s="162"/>
      <c r="K16" s="162"/>
      <c r="L16" s="162"/>
      <c r="M16" s="162"/>
      <c r="N16" s="162"/>
      <c r="O16" s="162"/>
      <c r="P16" s="162"/>
      <c r="Q16" s="162"/>
      <c r="R16" s="162"/>
      <c r="S16" s="162"/>
      <c r="T16" s="162"/>
      <c r="U16" s="162"/>
      <c r="V16" s="162"/>
      <c r="W16" s="162"/>
      <c r="X16" s="162"/>
      <c r="Y16" s="162"/>
      <c r="Z16" s="162"/>
      <c r="AA16" s="162"/>
      <c r="AB16" s="162"/>
      <c r="AC16" s="162"/>
      <c r="AD16" s="162"/>
      <c r="AE16" s="162"/>
      <c r="AF16" s="161"/>
      <c r="AG16" s="64">
        <f t="shared" si="2"/>
        <v>90</v>
      </c>
    </row>
    <row r="17" spans="1:33" ht="18.75" x14ac:dyDescent="0.25">
      <c r="A17" s="301" t="s">
        <v>131</v>
      </c>
      <c r="B17" s="249">
        <v>7</v>
      </c>
      <c r="C17" s="162">
        <v>12</v>
      </c>
      <c r="D17" s="162">
        <v>13</v>
      </c>
      <c r="E17" s="162">
        <v>18</v>
      </c>
      <c r="F17" s="162">
        <v>12</v>
      </c>
      <c r="G17" s="162">
        <v>12</v>
      </c>
      <c r="H17" s="162">
        <v>17</v>
      </c>
      <c r="I17" s="162">
        <v>14</v>
      </c>
      <c r="J17" s="162"/>
      <c r="K17" s="162"/>
      <c r="L17" s="162"/>
      <c r="M17" s="162"/>
      <c r="N17" s="162"/>
      <c r="O17" s="162"/>
      <c r="P17" s="162"/>
      <c r="Q17" s="162"/>
      <c r="R17" s="162"/>
      <c r="S17" s="162"/>
      <c r="T17" s="162"/>
      <c r="U17" s="162"/>
      <c r="V17" s="162"/>
      <c r="W17" s="162"/>
      <c r="X17" s="162"/>
      <c r="Y17" s="162"/>
      <c r="Z17" s="162"/>
      <c r="AA17" s="162"/>
      <c r="AB17" s="162"/>
      <c r="AC17" s="162"/>
      <c r="AD17" s="162"/>
      <c r="AE17" s="162"/>
      <c r="AF17" s="161"/>
      <c r="AG17" s="64">
        <f t="shared" si="2"/>
        <v>105</v>
      </c>
    </row>
    <row r="18" spans="1:33" ht="18.75" x14ac:dyDescent="0.25">
      <c r="A18" s="301" t="s">
        <v>130</v>
      </c>
      <c r="B18" s="249">
        <v>6</v>
      </c>
      <c r="C18" s="162">
        <v>17</v>
      </c>
      <c r="D18" s="162">
        <v>18</v>
      </c>
      <c r="E18" s="162">
        <v>5</v>
      </c>
      <c r="F18" s="162">
        <v>10</v>
      </c>
      <c r="G18" s="162">
        <v>13</v>
      </c>
      <c r="H18" s="162">
        <v>14</v>
      </c>
      <c r="I18" s="162">
        <v>13</v>
      </c>
      <c r="J18" s="162"/>
      <c r="K18" s="162"/>
      <c r="L18" s="162"/>
      <c r="M18" s="162"/>
      <c r="N18" s="162"/>
      <c r="O18" s="162"/>
      <c r="P18" s="162"/>
      <c r="Q18" s="162"/>
      <c r="R18" s="162"/>
      <c r="S18" s="162"/>
      <c r="T18" s="162"/>
      <c r="U18" s="162"/>
      <c r="V18" s="162"/>
      <c r="W18" s="162"/>
      <c r="X18" s="162"/>
      <c r="Y18" s="162"/>
      <c r="Z18" s="162"/>
      <c r="AA18" s="162"/>
      <c r="AB18" s="162"/>
      <c r="AC18" s="162"/>
      <c r="AD18" s="162"/>
      <c r="AE18" s="162"/>
      <c r="AF18" s="161"/>
      <c r="AG18" s="64">
        <f t="shared" si="2"/>
        <v>96</v>
      </c>
    </row>
    <row r="19" spans="1:33" ht="18.75" x14ac:dyDescent="0.25">
      <c r="A19" s="301" t="s">
        <v>129</v>
      </c>
      <c r="B19" s="249">
        <v>12</v>
      </c>
      <c r="C19" s="162">
        <v>5</v>
      </c>
      <c r="D19" s="162">
        <v>9</v>
      </c>
      <c r="E19" s="162">
        <v>5</v>
      </c>
      <c r="F19" s="162">
        <v>10</v>
      </c>
      <c r="G19" s="162">
        <v>8</v>
      </c>
      <c r="H19" s="162">
        <v>11</v>
      </c>
      <c r="I19" s="162">
        <v>6</v>
      </c>
      <c r="J19" s="162"/>
      <c r="K19" s="162"/>
      <c r="L19" s="162"/>
      <c r="M19" s="162"/>
      <c r="N19" s="162"/>
      <c r="O19" s="162"/>
      <c r="P19" s="162"/>
      <c r="Q19" s="162"/>
      <c r="R19" s="162"/>
      <c r="S19" s="162"/>
      <c r="T19" s="162"/>
      <c r="U19" s="162"/>
      <c r="V19" s="162"/>
      <c r="W19" s="162"/>
      <c r="X19" s="162"/>
      <c r="Y19" s="162"/>
      <c r="Z19" s="162"/>
      <c r="AA19" s="162"/>
      <c r="AB19" s="162"/>
      <c r="AC19" s="162"/>
      <c r="AD19" s="162"/>
      <c r="AE19" s="162"/>
      <c r="AF19" s="161"/>
      <c r="AG19" s="64">
        <f t="shared" si="2"/>
        <v>66</v>
      </c>
    </row>
    <row r="20" spans="1:33" ht="18.75" x14ac:dyDescent="0.25">
      <c r="A20" s="301" t="s">
        <v>128</v>
      </c>
      <c r="B20" s="249">
        <v>4</v>
      </c>
      <c r="C20" s="162">
        <v>1</v>
      </c>
      <c r="D20" s="162">
        <v>2</v>
      </c>
      <c r="E20" s="162">
        <v>2</v>
      </c>
      <c r="F20" s="162">
        <v>1</v>
      </c>
      <c r="G20" s="162">
        <v>8</v>
      </c>
      <c r="H20" s="162">
        <v>4</v>
      </c>
      <c r="I20" s="162">
        <v>5</v>
      </c>
      <c r="J20" s="162"/>
      <c r="K20" s="162"/>
      <c r="L20" s="162"/>
      <c r="M20" s="162"/>
      <c r="N20" s="162"/>
      <c r="O20" s="162"/>
      <c r="P20" s="162"/>
      <c r="Q20" s="162"/>
      <c r="R20" s="162"/>
      <c r="S20" s="162"/>
      <c r="T20" s="162"/>
      <c r="U20" s="162"/>
      <c r="V20" s="162"/>
      <c r="W20" s="162"/>
      <c r="X20" s="162"/>
      <c r="Y20" s="162"/>
      <c r="Z20" s="162"/>
      <c r="AA20" s="162"/>
      <c r="AB20" s="162"/>
      <c r="AC20" s="162"/>
      <c r="AD20" s="162"/>
      <c r="AE20" s="162"/>
      <c r="AF20" s="161"/>
      <c r="AG20" s="64">
        <f t="shared" si="2"/>
        <v>27</v>
      </c>
    </row>
    <row r="21" spans="1:33" ht="18.75" x14ac:dyDescent="0.25">
      <c r="A21" s="301" t="s">
        <v>127</v>
      </c>
      <c r="B21" s="249">
        <v>2</v>
      </c>
      <c r="C21" s="162">
        <v>3</v>
      </c>
      <c r="D21" s="162">
        <v>2</v>
      </c>
      <c r="E21" s="162">
        <v>5</v>
      </c>
      <c r="F21" s="162">
        <v>3</v>
      </c>
      <c r="G21" s="162">
        <v>4</v>
      </c>
      <c r="H21" s="162">
        <v>5</v>
      </c>
      <c r="I21" s="162">
        <v>1</v>
      </c>
      <c r="J21" s="162"/>
      <c r="K21" s="162"/>
      <c r="L21" s="162"/>
      <c r="M21" s="162"/>
      <c r="N21" s="162"/>
      <c r="O21" s="162"/>
      <c r="P21" s="162"/>
      <c r="Q21" s="162"/>
      <c r="R21" s="162"/>
      <c r="S21" s="162"/>
      <c r="T21" s="162"/>
      <c r="U21" s="162"/>
      <c r="V21" s="162"/>
      <c r="W21" s="162"/>
      <c r="X21" s="162"/>
      <c r="Y21" s="162"/>
      <c r="Z21" s="162"/>
      <c r="AA21" s="162"/>
      <c r="AB21" s="162"/>
      <c r="AC21" s="162"/>
      <c r="AD21" s="162"/>
      <c r="AE21" s="162"/>
      <c r="AF21" s="161"/>
      <c r="AG21" s="64">
        <f t="shared" si="2"/>
        <v>25</v>
      </c>
    </row>
    <row r="22" spans="1:33" ht="18.75" x14ac:dyDescent="0.25">
      <c r="A22" s="301" t="s">
        <v>126</v>
      </c>
      <c r="B22" s="249">
        <v>1</v>
      </c>
      <c r="C22" s="162"/>
      <c r="D22" s="162">
        <v>3</v>
      </c>
      <c r="E22" s="162">
        <v>4</v>
      </c>
      <c r="F22" s="162">
        <v>3</v>
      </c>
      <c r="G22" s="162">
        <v>4</v>
      </c>
      <c r="H22" s="162">
        <v>2</v>
      </c>
      <c r="I22" s="162">
        <v>3</v>
      </c>
      <c r="J22" s="162"/>
      <c r="K22" s="162"/>
      <c r="L22" s="162"/>
      <c r="M22" s="162"/>
      <c r="N22" s="162"/>
      <c r="O22" s="162"/>
      <c r="P22" s="162"/>
      <c r="Q22" s="162"/>
      <c r="R22" s="162"/>
      <c r="S22" s="162"/>
      <c r="T22" s="162"/>
      <c r="U22" s="162"/>
      <c r="V22" s="162"/>
      <c r="W22" s="162"/>
      <c r="X22" s="162"/>
      <c r="Y22" s="162"/>
      <c r="Z22" s="162"/>
      <c r="AA22" s="162"/>
      <c r="AB22" s="162"/>
      <c r="AC22" s="162"/>
      <c r="AD22" s="162"/>
      <c r="AE22" s="162"/>
      <c r="AF22" s="161"/>
      <c r="AG22" s="64">
        <f t="shared" si="2"/>
        <v>20</v>
      </c>
    </row>
    <row r="23" spans="1:33" ht="18.75" x14ac:dyDescent="0.25">
      <c r="A23" s="301" t="s">
        <v>125</v>
      </c>
      <c r="B23" s="249">
        <v>1</v>
      </c>
      <c r="C23" s="162"/>
      <c r="D23" s="162">
        <v>1</v>
      </c>
      <c r="E23" s="162">
        <v>2</v>
      </c>
      <c r="F23" s="162">
        <v>2</v>
      </c>
      <c r="G23" s="162">
        <v>2</v>
      </c>
      <c r="H23" s="162">
        <v>1</v>
      </c>
      <c r="I23" s="162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62"/>
      <c r="U23" s="162"/>
      <c r="V23" s="162"/>
      <c r="W23" s="162"/>
      <c r="X23" s="162"/>
      <c r="Y23" s="162"/>
      <c r="Z23" s="162"/>
      <c r="AA23" s="162"/>
      <c r="AB23" s="162"/>
      <c r="AC23" s="162"/>
      <c r="AD23" s="162"/>
      <c r="AE23" s="162"/>
      <c r="AF23" s="161"/>
      <c r="AG23" s="64">
        <f t="shared" si="2"/>
        <v>9</v>
      </c>
    </row>
    <row r="24" spans="1:33" ht="18.75" x14ac:dyDescent="0.25">
      <c r="A24" s="301" t="s">
        <v>124</v>
      </c>
      <c r="B24" s="249">
        <v>1</v>
      </c>
      <c r="C24" s="162"/>
      <c r="D24" s="162"/>
      <c r="E24" s="162">
        <v>1</v>
      </c>
      <c r="F24" s="162">
        <v>2</v>
      </c>
      <c r="G24" s="162"/>
      <c r="H24" s="162">
        <v>2</v>
      </c>
      <c r="I24" s="162">
        <v>1</v>
      </c>
      <c r="J24" s="162"/>
      <c r="K24" s="162"/>
      <c r="L24" s="162"/>
      <c r="M24" s="162"/>
      <c r="N24" s="162"/>
      <c r="O24" s="162"/>
      <c r="P24" s="162"/>
      <c r="Q24" s="162"/>
      <c r="R24" s="162"/>
      <c r="S24" s="162"/>
      <c r="T24" s="162"/>
      <c r="U24" s="162"/>
      <c r="V24" s="162"/>
      <c r="W24" s="162"/>
      <c r="X24" s="162"/>
      <c r="Y24" s="162"/>
      <c r="Z24" s="162"/>
      <c r="AA24" s="162"/>
      <c r="AB24" s="162"/>
      <c r="AC24" s="162"/>
      <c r="AD24" s="162"/>
      <c r="AE24" s="162"/>
      <c r="AF24" s="161"/>
      <c r="AG24" s="64">
        <f t="shared" si="2"/>
        <v>7</v>
      </c>
    </row>
    <row r="25" spans="1:33" ht="18.75" x14ac:dyDescent="0.25">
      <c r="A25" s="301" t="s">
        <v>123</v>
      </c>
      <c r="B25" s="249">
        <v>4</v>
      </c>
      <c r="C25" s="162"/>
      <c r="D25" s="162"/>
      <c r="E25" s="162">
        <v>1</v>
      </c>
      <c r="F25" s="162">
        <v>1</v>
      </c>
      <c r="G25" s="162">
        <v>1</v>
      </c>
      <c r="H25" s="162"/>
      <c r="I25" s="162">
        <v>1</v>
      </c>
      <c r="J25" s="162"/>
      <c r="K25" s="162"/>
      <c r="L25" s="162"/>
      <c r="M25" s="162"/>
      <c r="N25" s="162"/>
      <c r="O25" s="162"/>
      <c r="P25" s="162"/>
      <c r="Q25" s="162"/>
      <c r="R25" s="162"/>
      <c r="S25" s="162"/>
      <c r="T25" s="162"/>
      <c r="U25" s="162"/>
      <c r="V25" s="162"/>
      <c r="W25" s="162"/>
      <c r="X25" s="162"/>
      <c r="Y25" s="162"/>
      <c r="Z25" s="162"/>
      <c r="AA25" s="162"/>
      <c r="AB25" s="162"/>
      <c r="AC25" s="162"/>
      <c r="AD25" s="162"/>
      <c r="AE25" s="162"/>
      <c r="AF25" s="161"/>
      <c r="AG25" s="64">
        <f t="shared" si="2"/>
        <v>8</v>
      </c>
    </row>
    <row r="26" spans="1:33" ht="18.75" x14ac:dyDescent="0.25">
      <c r="A26" s="301" t="s">
        <v>122</v>
      </c>
      <c r="B26" s="249">
        <v>1</v>
      </c>
      <c r="C26" s="162"/>
      <c r="D26" s="162">
        <v>1</v>
      </c>
      <c r="E26" s="162"/>
      <c r="F26" s="162">
        <v>1</v>
      </c>
      <c r="G26" s="162"/>
      <c r="H26" s="162"/>
      <c r="I26" s="162"/>
      <c r="J26" s="162"/>
      <c r="K26" s="162"/>
      <c r="L26" s="162"/>
      <c r="M26" s="162"/>
      <c r="N26" s="162"/>
      <c r="O26" s="162"/>
      <c r="P26" s="162"/>
      <c r="Q26" s="162"/>
      <c r="R26" s="162"/>
      <c r="S26" s="162"/>
      <c r="T26" s="162"/>
      <c r="U26" s="162"/>
      <c r="V26" s="162"/>
      <c r="W26" s="162"/>
      <c r="X26" s="162"/>
      <c r="Y26" s="162"/>
      <c r="Z26" s="162"/>
      <c r="AA26" s="162"/>
      <c r="AB26" s="162"/>
      <c r="AC26" s="162"/>
      <c r="AD26" s="162"/>
      <c r="AE26" s="162"/>
      <c r="AF26" s="161"/>
      <c r="AG26" s="64">
        <f t="shared" si="2"/>
        <v>3</v>
      </c>
    </row>
    <row r="27" spans="1:33" ht="19.5" thickBot="1" x14ac:dyDescent="0.3">
      <c r="A27" s="302" t="s">
        <v>121</v>
      </c>
      <c r="B27" s="250"/>
      <c r="C27" s="212"/>
      <c r="D27" s="212">
        <v>3</v>
      </c>
      <c r="E27" s="212"/>
      <c r="F27" s="212">
        <v>1</v>
      </c>
      <c r="G27" s="212"/>
      <c r="H27" s="212"/>
      <c r="I27" s="212"/>
      <c r="J27" s="212"/>
      <c r="K27" s="212"/>
      <c r="L27" s="212"/>
      <c r="M27" s="212"/>
      <c r="N27" s="212"/>
      <c r="O27" s="212"/>
      <c r="P27" s="212"/>
      <c r="Q27" s="212"/>
      <c r="R27" s="212"/>
      <c r="S27" s="212"/>
      <c r="T27" s="212"/>
      <c r="U27" s="212"/>
      <c r="V27" s="212"/>
      <c r="W27" s="212"/>
      <c r="X27" s="212"/>
      <c r="Y27" s="212"/>
      <c r="Z27" s="212"/>
      <c r="AA27" s="212"/>
      <c r="AB27" s="212"/>
      <c r="AC27" s="212"/>
      <c r="AD27" s="212"/>
      <c r="AE27" s="212"/>
      <c r="AF27" s="211"/>
      <c r="AG27" s="64">
        <f t="shared" si="2"/>
        <v>4</v>
      </c>
    </row>
    <row r="28" spans="1:33" ht="18.75" x14ac:dyDescent="0.25">
      <c r="A28" s="303" t="s">
        <v>146</v>
      </c>
      <c r="B28" s="251">
        <f t="shared" ref="B28:AF28" si="3">SUM(B29:B52)</f>
        <v>155</v>
      </c>
      <c r="C28" s="209">
        <f t="shared" si="3"/>
        <v>150</v>
      </c>
      <c r="D28" s="209">
        <f t="shared" si="3"/>
        <v>152</v>
      </c>
      <c r="E28" s="209">
        <f t="shared" si="3"/>
        <v>167</v>
      </c>
      <c r="F28" s="209">
        <f t="shared" si="3"/>
        <v>150</v>
      </c>
      <c r="G28" s="209">
        <f t="shared" si="3"/>
        <v>174</v>
      </c>
      <c r="H28" s="209">
        <f t="shared" si="3"/>
        <v>166</v>
      </c>
      <c r="I28" s="209">
        <f t="shared" si="3"/>
        <v>182</v>
      </c>
      <c r="J28" s="209">
        <f t="shared" si="3"/>
        <v>0</v>
      </c>
      <c r="K28" s="209">
        <f t="shared" si="3"/>
        <v>0</v>
      </c>
      <c r="L28" s="209">
        <f t="shared" si="3"/>
        <v>0</v>
      </c>
      <c r="M28" s="209">
        <f t="shared" si="3"/>
        <v>0</v>
      </c>
      <c r="N28" s="209">
        <f t="shared" si="3"/>
        <v>0</v>
      </c>
      <c r="O28" s="209">
        <f t="shared" si="3"/>
        <v>0</v>
      </c>
      <c r="P28" s="209">
        <f t="shared" si="3"/>
        <v>0</v>
      </c>
      <c r="Q28" s="209">
        <f t="shared" si="3"/>
        <v>0</v>
      </c>
      <c r="R28" s="209">
        <f t="shared" si="3"/>
        <v>0</v>
      </c>
      <c r="S28" s="209">
        <f t="shared" si="3"/>
        <v>0</v>
      </c>
      <c r="T28" s="209">
        <f t="shared" si="3"/>
        <v>0</v>
      </c>
      <c r="U28" s="209">
        <f t="shared" si="3"/>
        <v>0</v>
      </c>
      <c r="V28" s="209">
        <f t="shared" si="3"/>
        <v>0</v>
      </c>
      <c r="W28" s="209">
        <f t="shared" si="3"/>
        <v>0</v>
      </c>
      <c r="X28" s="209">
        <f t="shared" si="3"/>
        <v>0</v>
      </c>
      <c r="Y28" s="209">
        <f t="shared" si="3"/>
        <v>0</v>
      </c>
      <c r="Z28" s="209">
        <f t="shared" si="3"/>
        <v>0</v>
      </c>
      <c r="AA28" s="209">
        <f t="shared" si="3"/>
        <v>0</v>
      </c>
      <c r="AB28" s="209">
        <f t="shared" si="3"/>
        <v>0</v>
      </c>
      <c r="AC28" s="209">
        <f t="shared" si="3"/>
        <v>0</v>
      </c>
      <c r="AD28" s="209">
        <f t="shared" si="3"/>
        <v>0</v>
      </c>
      <c r="AE28" s="209">
        <f t="shared" si="3"/>
        <v>0</v>
      </c>
      <c r="AF28" s="209">
        <f t="shared" si="3"/>
        <v>0</v>
      </c>
      <c r="AG28" s="164">
        <f t="shared" si="2"/>
        <v>1296</v>
      </c>
    </row>
    <row r="29" spans="1:33" ht="18.75" x14ac:dyDescent="0.25">
      <c r="A29" s="301" t="s">
        <v>144</v>
      </c>
      <c r="B29" s="249"/>
      <c r="C29" s="162">
        <v>1</v>
      </c>
      <c r="D29" s="162">
        <v>4</v>
      </c>
      <c r="E29" s="162">
        <v>2</v>
      </c>
      <c r="F29" s="162">
        <v>1</v>
      </c>
      <c r="G29" s="162"/>
      <c r="H29" s="162">
        <v>3</v>
      </c>
      <c r="I29" s="162">
        <v>1</v>
      </c>
      <c r="J29" s="162"/>
      <c r="K29" s="162"/>
      <c r="L29" s="162"/>
      <c r="M29" s="162"/>
      <c r="N29" s="162"/>
      <c r="O29" s="162"/>
      <c r="P29" s="162"/>
      <c r="Q29" s="162"/>
      <c r="R29" s="162"/>
      <c r="S29" s="162"/>
      <c r="T29" s="162"/>
      <c r="U29" s="162"/>
      <c r="V29" s="162"/>
      <c r="W29" s="162"/>
      <c r="X29" s="162"/>
      <c r="Y29" s="162"/>
      <c r="Z29" s="162"/>
      <c r="AA29" s="162"/>
      <c r="AB29" s="162"/>
      <c r="AC29" s="162"/>
      <c r="AD29" s="162"/>
      <c r="AE29" s="162"/>
      <c r="AF29" s="161"/>
      <c r="AG29" s="64">
        <f t="shared" si="2"/>
        <v>12</v>
      </c>
    </row>
    <row r="30" spans="1:33" ht="18.75" x14ac:dyDescent="0.25">
      <c r="A30" s="301" t="s">
        <v>143</v>
      </c>
      <c r="B30" s="249">
        <v>3</v>
      </c>
      <c r="C30" s="162">
        <v>3</v>
      </c>
      <c r="D30" s="162">
        <v>5</v>
      </c>
      <c r="E30" s="162">
        <v>6</v>
      </c>
      <c r="F30" s="162">
        <v>8</v>
      </c>
      <c r="G30" s="162">
        <v>4</v>
      </c>
      <c r="H30" s="162">
        <v>4</v>
      </c>
      <c r="I30" s="162">
        <v>9</v>
      </c>
      <c r="J30" s="162"/>
      <c r="K30" s="162"/>
      <c r="L30" s="162"/>
      <c r="M30" s="162"/>
      <c r="N30" s="162"/>
      <c r="O30" s="162"/>
      <c r="P30" s="162"/>
      <c r="Q30" s="162"/>
      <c r="R30" s="162"/>
      <c r="S30" s="162"/>
      <c r="T30" s="162"/>
      <c r="U30" s="162"/>
      <c r="V30" s="162"/>
      <c r="W30" s="162"/>
      <c r="X30" s="162"/>
      <c r="Y30" s="162"/>
      <c r="Z30" s="162"/>
      <c r="AA30" s="162"/>
      <c r="AB30" s="162"/>
      <c r="AC30" s="162"/>
      <c r="AD30" s="162"/>
      <c r="AE30" s="162"/>
      <c r="AF30" s="161"/>
      <c r="AG30" s="64">
        <f t="shared" si="2"/>
        <v>42</v>
      </c>
    </row>
    <row r="31" spans="1:33" ht="18.75" x14ac:dyDescent="0.25">
      <c r="A31" s="301" t="s">
        <v>142</v>
      </c>
      <c r="B31" s="249">
        <v>5</v>
      </c>
      <c r="C31" s="162">
        <v>4</v>
      </c>
      <c r="D31" s="162">
        <v>1</v>
      </c>
      <c r="E31" s="162">
        <v>9</v>
      </c>
      <c r="F31" s="162">
        <v>5</v>
      </c>
      <c r="G31" s="162">
        <v>3</v>
      </c>
      <c r="H31" s="162">
        <v>3</v>
      </c>
      <c r="I31" s="162">
        <v>11</v>
      </c>
      <c r="J31" s="162"/>
      <c r="K31" s="162"/>
      <c r="L31" s="162"/>
      <c r="M31" s="162"/>
      <c r="N31" s="162"/>
      <c r="O31" s="162"/>
      <c r="P31" s="162"/>
      <c r="Q31" s="162"/>
      <c r="R31" s="162"/>
      <c r="S31" s="162"/>
      <c r="T31" s="162"/>
      <c r="U31" s="162"/>
      <c r="V31" s="162"/>
      <c r="W31" s="162"/>
      <c r="X31" s="162"/>
      <c r="Y31" s="162"/>
      <c r="Z31" s="162"/>
      <c r="AA31" s="162"/>
      <c r="AB31" s="162"/>
      <c r="AC31" s="162"/>
      <c r="AD31" s="162"/>
      <c r="AE31" s="162"/>
      <c r="AF31" s="161"/>
      <c r="AG31" s="64">
        <f t="shared" si="2"/>
        <v>41</v>
      </c>
    </row>
    <row r="32" spans="1:33" ht="18.75" x14ac:dyDescent="0.25">
      <c r="A32" s="301" t="s">
        <v>141</v>
      </c>
      <c r="B32" s="249">
        <v>5</v>
      </c>
      <c r="C32" s="162">
        <v>3</v>
      </c>
      <c r="D32" s="162">
        <v>1</v>
      </c>
      <c r="E32" s="162">
        <v>15</v>
      </c>
      <c r="F32" s="162">
        <v>6</v>
      </c>
      <c r="G32" s="162">
        <v>3</v>
      </c>
      <c r="H32" s="162">
        <v>2</v>
      </c>
      <c r="I32" s="162">
        <v>7</v>
      </c>
      <c r="J32" s="162"/>
      <c r="K32" s="162"/>
      <c r="L32" s="162"/>
      <c r="M32" s="162"/>
      <c r="N32" s="162"/>
      <c r="O32" s="162"/>
      <c r="P32" s="162"/>
      <c r="Q32" s="162"/>
      <c r="R32" s="162"/>
      <c r="S32" s="162"/>
      <c r="T32" s="162"/>
      <c r="U32" s="162"/>
      <c r="V32" s="162"/>
      <c r="W32" s="162"/>
      <c r="X32" s="162"/>
      <c r="Y32" s="162"/>
      <c r="Z32" s="162"/>
      <c r="AA32" s="162"/>
      <c r="AB32" s="162"/>
      <c r="AC32" s="162"/>
      <c r="AD32" s="162"/>
      <c r="AE32" s="162"/>
      <c r="AF32" s="161"/>
      <c r="AG32" s="64">
        <f t="shared" si="2"/>
        <v>42</v>
      </c>
    </row>
    <row r="33" spans="1:33" ht="18.75" x14ac:dyDescent="0.25">
      <c r="A33" s="301" t="s">
        <v>140</v>
      </c>
      <c r="B33" s="249">
        <v>1</v>
      </c>
      <c r="C33" s="162">
        <v>4</v>
      </c>
      <c r="D33" s="162">
        <v>4</v>
      </c>
      <c r="E33" s="162">
        <v>12</v>
      </c>
      <c r="F33" s="162">
        <v>8</v>
      </c>
      <c r="G33" s="162">
        <v>3</v>
      </c>
      <c r="H33" s="162">
        <v>2</v>
      </c>
      <c r="I33" s="162">
        <v>17</v>
      </c>
      <c r="J33" s="162"/>
      <c r="K33" s="162"/>
      <c r="L33" s="162"/>
      <c r="M33" s="162"/>
      <c r="N33" s="162"/>
      <c r="O33" s="162"/>
      <c r="P33" s="162"/>
      <c r="Q33" s="162"/>
      <c r="R33" s="162"/>
      <c r="S33" s="162"/>
      <c r="T33" s="162"/>
      <c r="U33" s="162"/>
      <c r="V33" s="162"/>
      <c r="W33" s="162"/>
      <c r="X33" s="162"/>
      <c r="Y33" s="162"/>
      <c r="Z33" s="162"/>
      <c r="AA33" s="162"/>
      <c r="AB33" s="162"/>
      <c r="AC33" s="162"/>
      <c r="AD33" s="162"/>
      <c r="AE33" s="162"/>
      <c r="AF33" s="161"/>
      <c r="AG33" s="64">
        <f t="shared" si="2"/>
        <v>51</v>
      </c>
    </row>
    <row r="34" spans="1:33" ht="18.75" x14ac:dyDescent="0.25">
      <c r="A34" s="301" t="s">
        <v>139</v>
      </c>
      <c r="B34" s="249">
        <v>7</v>
      </c>
      <c r="C34" s="162">
        <v>3</v>
      </c>
      <c r="D34" s="162">
        <v>4</v>
      </c>
      <c r="E34" s="162">
        <v>10</v>
      </c>
      <c r="F34" s="162">
        <v>6</v>
      </c>
      <c r="G34" s="162">
        <v>6</v>
      </c>
      <c r="H34" s="162">
        <v>1</v>
      </c>
      <c r="I34" s="162">
        <v>6</v>
      </c>
      <c r="J34" s="162"/>
      <c r="K34" s="162"/>
      <c r="L34" s="162"/>
      <c r="M34" s="162"/>
      <c r="N34" s="162"/>
      <c r="O34" s="162"/>
      <c r="P34" s="162"/>
      <c r="Q34" s="162"/>
      <c r="R34" s="162"/>
      <c r="S34" s="162"/>
      <c r="T34" s="162"/>
      <c r="U34" s="162"/>
      <c r="V34" s="162"/>
      <c r="W34" s="162"/>
      <c r="X34" s="162"/>
      <c r="Y34" s="162"/>
      <c r="Z34" s="162"/>
      <c r="AA34" s="162"/>
      <c r="AB34" s="162"/>
      <c r="AC34" s="162"/>
      <c r="AD34" s="162"/>
      <c r="AE34" s="162"/>
      <c r="AF34" s="161"/>
      <c r="AG34" s="64">
        <f t="shared" si="2"/>
        <v>43</v>
      </c>
    </row>
    <row r="35" spans="1:33" ht="18.75" x14ac:dyDescent="0.25">
      <c r="A35" s="301" t="s">
        <v>138</v>
      </c>
      <c r="B35" s="249">
        <v>4</v>
      </c>
      <c r="C35" s="162">
        <v>5</v>
      </c>
      <c r="D35" s="162">
        <v>1</v>
      </c>
      <c r="E35" s="162">
        <v>7</v>
      </c>
      <c r="F35" s="162">
        <v>8</v>
      </c>
      <c r="G35" s="162">
        <v>1</v>
      </c>
      <c r="H35" s="162">
        <v>1</v>
      </c>
      <c r="I35" s="162">
        <v>11</v>
      </c>
      <c r="J35" s="162"/>
      <c r="K35" s="162"/>
      <c r="L35" s="162"/>
      <c r="M35" s="162"/>
      <c r="N35" s="162"/>
      <c r="O35" s="162"/>
      <c r="P35" s="162"/>
      <c r="Q35" s="162"/>
      <c r="R35" s="162"/>
      <c r="S35" s="162"/>
      <c r="T35" s="162"/>
      <c r="U35" s="162"/>
      <c r="V35" s="162"/>
      <c r="W35" s="162"/>
      <c r="X35" s="162"/>
      <c r="Y35" s="162"/>
      <c r="Z35" s="162"/>
      <c r="AA35" s="162"/>
      <c r="AB35" s="162"/>
      <c r="AC35" s="162"/>
      <c r="AD35" s="162"/>
      <c r="AE35" s="162"/>
      <c r="AF35" s="161"/>
      <c r="AG35" s="64">
        <f t="shared" si="2"/>
        <v>38</v>
      </c>
    </row>
    <row r="36" spans="1:33" ht="18.75" x14ac:dyDescent="0.25">
      <c r="A36" s="301" t="s">
        <v>137</v>
      </c>
      <c r="B36" s="249">
        <v>4</v>
      </c>
      <c r="C36" s="162">
        <v>2</v>
      </c>
      <c r="D36" s="162">
        <v>3</v>
      </c>
      <c r="E36" s="162">
        <v>15</v>
      </c>
      <c r="F36" s="162">
        <v>9</v>
      </c>
      <c r="G36" s="162">
        <v>7</v>
      </c>
      <c r="H36" s="162"/>
      <c r="I36" s="162">
        <v>8</v>
      </c>
      <c r="J36" s="162"/>
      <c r="K36" s="162"/>
      <c r="L36" s="162"/>
      <c r="M36" s="162"/>
      <c r="N36" s="162"/>
      <c r="O36" s="162"/>
      <c r="P36" s="162"/>
      <c r="Q36" s="162"/>
      <c r="R36" s="162"/>
      <c r="S36" s="162"/>
      <c r="T36" s="162"/>
      <c r="U36" s="162"/>
      <c r="V36" s="162"/>
      <c r="W36" s="162"/>
      <c r="X36" s="162"/>
      <c r="Y36" s="162"/>
      <c r="Z36" s="162"/>
      <c r="AA36" s="162"/>
      <c r="AB36" s="162"/>
      <c r="AC36" s="162"/>
      <c r="AD36" s="162"/>
      <c r="AE36" s="162"/>
      <c r="AF36" s="161"/>
      <c r="AG36" s="64">
        <f t="shared" si="2"/>
        <v>48</v>
      </c>
    </row>
    <row r="37" spans="1:33" ht="18.75" x14ac:dyDescent="0.25">
      <c r="A37" s="301" t="s">
        <v>136</v>
      </c>
      <c r="B37" s="249">
        <v>4</v>
      </c>
      <c r="C37" s="162">
        <v>6</v>
      </c>
      <c r="D37" s="162">
        <v>2</v>
      </c>
      <c r="E37" s="162">
        <v>12</v>
      </c>
      <c r="F37" s="162">
        <v>7</v>
      </c>
      <c r="G37" s="162">
        <v>5</v>
      </c>
      <c r="H37" s="162">
        <v>4</v>
      </c>
      <c r="I37" s="162">
        <v>11</v>
      </c>
      <c r="J37" s="162"/>
      <c r="K37" s="162"/>
      <c r="L37" s="162"/>
      <c r="M37" s="162"/>
      <c r="N37" s="162"/>
      <c r="O37" s="162"/>
      <c r="P37" s="162"/>
      <c r="Q37" s="162"/>
      <c r="R37" s="162"/>
      <c r="S37" s="162"/>
      <c r="T37" s="162"/>
      <c r="U37" s="162"/>
      <c r="V37" s="162"/>
      <c r="W37" s="162"/>
      <c r="X37" s="162"/>
      <c r="Y37" s="162"/>
      <c r="Z37" s="162"/>
      <c r="AA37" s="162"/>
      <c r="AB37" s="162"/>
      <c r="AC37" s="162"/>
      <c r="AD37" s="162"/>
      <c r="AE37" s="162"/>
      <c r="AF37" s="161"/>
      <c r="AG37" s="64">
        <f t="shared" si="2"/>
        <v>51</v>
      </c>
    </row>
    <row r="38" spans="1:33" ht="18.75" x14ac:dyDescent="0.25">
      <c r="A38" s="301" t="s">
        <v>135</v>
      </c>
      <c r="B38" s="249">
        <v>4</v>
      </c>
      <c r="C38" s="162">
        <v>10</v>
      </c>
      <c r="D38" s="162">
        <v>11</v>
      </c>
      <c r="E38" s="162">
        <v>10</v>
      </c>
      <c r="F38" s="162">
        <v>15</v>
      </c>
      <c r="G38" s="162">
        <v>6</v>
      </c>
      <c r="H38" s="162">
        <v>10</v>
      </c>
      <c r="I38" s="162">
        <v>16</v>
      </c>
      <c r="J38" s="162"/>
      <c r="K38" s="162"/>
      <c r="L38" s="162"/>
      <c r="M38" s="162"/>
      <c r="N38" s="162"/>
      <c r="O38" s="162"/>
      <c r="P38" s="162"/>
      <c r="Q38" s="162"/>
      <c r="R38" s="162"/>
      <c r="S38" s="162"/>
      <c r="T38" s="162"/>
      <c r="U38" s="162"/>
      <c r="V38" s="162"/>
      <c r="W38" s="162"/>
      <c r="X38" s="162"/>
      <c r="Y38" s="162"/>
      <c r="Z38" s="162"/>
      <c r="AA38" s="162"/>
      <c r="AB38" s="162"/>
      <c r="AC38" s="162"/>
      <c r="AD38" s="162"/>
      <c r="AE38" s="162"/>
      <c r="AF38" s="161"/>
      <c r="AG38" s="64">
        <f t="shared" si="2"/>
        <v>82</v>
      </c>
    </row>
    <row r="39" spans="1:33" ht="18.75" x14ac:dyDescent="0.25">
      <c r="A39" s="301" t="s">
        <v>134</v>
      </c>
      <c r="B39" s="249">
        <v>15</v>
      </c>
      <c r="C39" s="162">
        <v>24</v>
      </c>
      <c r="D39" s="162">
        <v>26</v>
      </c>
      <c r="E39" s="162">
        <v>11</v>
      </c>
      <c r="F39" s="162">
        <v>7</v>
      </c>
      <c r="G39" s="162">
        <v>24</v>
      </c>
      <c r="H39" s="162">
        <v>23</v>
      </c>
      <c r="I39" s="162">
        <v>15</v>
      </c>
      <c r="J39" s="162"/>
      <c r="K39" s="162"/>
      <c r="L39" s="162"/>
      <c r="M39" s="162"/>
      <c r="N39" s="162"/>
      <c r="O39" s="162"/>
      <c r="P39" s="162"/>
      <c r="Q39" s="162"/>
      <c r="R39" s="162"/>
      <c r="S39" s="162"/>
      <c r="T39" s="162"/>
      <c r="U39" s="162"/>
      <c r="V39" s="162"/>
      <c r="W39" s="162"/>
      <c r="X39" s="162"/>
      <c r="Y39" s="162"/>
      <c r="Z39" s="162"/>
      <c r="AA39" s="162"/>
      <c r="AB39" s="162"/>
      <c r="AC39" s="162"/>
      <c r="AD39" s="162"/>
      <c r="AE39" s="162"/>
      <c r="AF39" s="161"/>
      <c r="AG39" s="64">
        <f t="shared" si="2"/>
        <v>145</v>
      </c>
    </row>
    <row r="40" spans="1:33" ht="18.75" x14ac:dyDescent="0.25">
      <c r="A40" s="301" t="s">
        <v>133</v>
      </c>
      <c r="B40" s="249">
        <v>22</v>
      </c>
      <c r="C40" s="162">
        <v>24</v>
      </c>
      <c r="D40" s="162">
        <v>25</v>
      </c>
      <c r="E40" s="162">
        <v>9</v>
      </c>
      <c r="F40" s="162">
        <v>9</v>
      </c>
      <c r="G40" s="162">
        <v>22</v>
      </c>
      <c r="H40" s="162">
        <v>23</v>
      </c>
      <c r="I40" s="162">
        <v>7</v>
      </c>
      <c r="J40" s="162"/>
      <c r="K40" s="162"/>
      <c r="L40" s="162"/>
      <c r="M40" s="162"/>
      <c r="N40" s="162"/>
      <c r="O40" s="162"/>
      <c r="P40" s="162"/>
      <c r="Q40" s="162"/>
      <c r="R40" s="162"/>
      <c r="S40" s="162"/>
      <c r="T40" s="162"/>
      <c r="U40" s="162"/>
      <c r="V40" s="162"/>
      <c r="W40" s="162"/>
      <c r="X40" s="162"/>
      <c r="Y40" s="162"/>
      <c r="Z40" s="162"/>
      <c r="AA40" s="162"/>
      <c r="AB40" s="162"/>
      <c r="AC40" s="162"/>
      <c r="AD40" s="162"/>
      <c r="AE40" s="162"/>
      <c r="AF40" s="161"/>
      <c r="AG40" s="64">
        <f t="shared" si="2"/>
        <v>141</v>
      </c>
    </row>
    <row r="41" spans="1:33" ht="18.75" x14ac:dyDescent="0.25">
      <c r="A41" s="301" t="s">
        <v>132</v>
      </c>
      <c r="B41" s="249">
        <v>23</v>
      </c>
      <c r="C41" s="162">
        <v>18</v>
      </c>
      <c r="D41" s="162">
        <v>11</v>
      </c>
      <c r="E41" s="162">
        <v>2</v>
      </c>
      <c r="F41" s="162">
        <v>13</v>
      </c>
      <c r="G41" s="162">
        <v>18</v>
      </c>
      <c r="H41" s="162">
        <v>20</v>
      </c>
      <c r="I41" s="162">
        <v>13</v>
      </c>
      <c r="J41" s="162"/>
      <c r="K41" s="162"/>
      <c r="L41" s="162"/>
      <c r="M41" s="162"/>
      <c r="N41" s="162"/>
      <c r="O41" s="162"/>
      <c r="P41" s="162"/>
      <c r="Q41" s="162"/>
      <c r="R41" s="162"/>
      <c r="S41" s="162"/>
      <c r="T41" s="162"/>
      <c r="U41" s="162"/>
      <c r="V41" s="162"/>
      <c r="W41" s="162"/>
      <c r="X41" s="162"/>
      <c r="Y41" s="162"/>
      <c r="Z41" s="162"/>
      <c r="AA41" s="162"/>
      <c r="AB41" s="162"/>
      <c r="AC41" s="162"/>
      <c r="AD41" s="162"/>
      <c r="AE41" s="162"/>
      <c r="AF41" s="161"/>
      <c r="AG41" s="64">
        <f t="shared" si="2"/>
        <v>118</v>
      </c>
    </row>
    <row r="42" spans="1:33" ht="18.75" x14ac:dyDescent="0.25">
      <c r="A42" s="301" t="s">
        <v>131</v>
      </c>
      <c r="B42" s="249">
        <v>14</v>
      </c>
      <c r="C42" s="162">
        <v>12</v>
      </c>
      <c r="D42" s="162">
        <v>13</v>
      </c>
      <c r="E42" s="162">
        <v>9</v>
      </c>
      <c r="F42" s="162">
        <v>10</v>
      </c>
      <c r="G42" s="162">
        <v>20</v>
      </c>
      <c r="H42" s="162">
        <v>21</v>
      </c>
      <c r="I42" s="162">
        <v>14</v>
      </c>
      <c r="J42" s="162"/>
      <c r="K42" s="162"/>
      <c r="L42" s="162"/>
      <c r="M42" s="162"/>
      <c r="N42" s="162"/>
      <c r="O42" s="162"/>
      <c r="P42" s="162"/>
      <c r="Q42" s="162"/>
      <c r="R42" s="162"/>
      <c r="S42" s="162"/>
      <c r="T42" s="162"/>
      <c r="U42" s="162"/>
      <c r="V42" s="162"/>
      <c r="W42" s="162"/>
      <c r="X42" s="162"/>
      <c r="Y42" s="162"/>
      <c r="Z42" s="162"/>
      <c r="AA42" s="162"/>
      <c r="AB42" s="162"/>
      <c r="AC42" s="162"/>
      <c r="AD42" s="162"/>
      <c r="AE42" s="162"/>
      <c r="AF42" s="161"/>
      <c r="AG42" s="64">
        <f t="shared" si="2"/>
        <v>113</v>
      </c>
    </row>
    <row r="43" spans="1:33" ht="18.75" x14ac:dyDescent="0.25">
      <c r="A43" s="301" t="s">
        <v>130</v>
      </c>
      <c r="B43" s="249">
        <v>13</v>
      </c>
      <c r="C43" s="162">
        <v>11</v>
      </c>
      <c r="D43" s="162">
        <v>5</v>
      </c>
      <c r="E43" s="162">
        <v>14</v>
      </c>
      <c r="F43" s="162">
        <v>10</v>
      </c>
      <c r="G43" s="162">
        <v>21</v>
      </c>
      <c r="H43" s="162">
        <v>18</v>
      </c>
      <c r="I43" s="162">
        <v>11</v>
      </c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Y43" s="162"/>
      <c r="Z43" s="162"/>
      <c r="AA43" s="162"/>
      <c r="AB43" s="162"/>
      <c r="AC43" s="162"/>
      <c r="AD43" s="162"/>
      <c r="AE43" s="162"/>
      <c r="AF43" s="161"/>
      <c r="AG43" s="64">
        <f t="shared" si="2"/>
        <v>103</v>
      </c>
    </row>
    <row r="44" spans="1:33" ht="18.75" x14ac:dyDescent="0.25">
      <c r="A44" s="301" t="s">
        <v>129</v>
      </c>
      <c r="B44" s="249">
        <v>8</v>
      </c>
      <c r="C44" s="162">
        <v>11</v>
      </c>
      <c r="D44" s="162">
        <v>15</v>
      </c>
      <c r="E44" s="162">
        <v>8</v>
      </c>
      <c r="F44" s="162">
        <v>12</v>
      </c>
      <c r="G44" s="162">
        <v>10</v>
      </c>
      <c r="H44" s="162">
        <v>12</v>
      </c>
      <c r="I44" s="162">
        <v>12</v>
      </c>
      <c r="J44" s="162"/>
      <c r="K44" s="162"/>
      <c r="L44" s="162"/>
      <c r="M44" s="162"/>
      <c r="N44" s="162"/>
      <c r="O44" s="162"/>
      <c r="P44" s="162"/>
      <c r="Q44" s="162"/>
      <c r="R44" s="162"/>
      <c r="S44" s="162"/>
      <c r="T44" s="162"/>
      <c r="U44" s="162"/>
      <c r="V44" s="162"/>
      <c r="W44" s="162"/>
      <c r="X44" s="162"/>
      <c r="Y44" s="162"/>
      <c r="Z44" s="162"/>
      <c r="AA44" s="162"/>
      <c r="AB44" s="162"/>
      <c r="AC44" s="162"/>
      <c r="AD44" s="162"/>
      <c r="AE44" s="162"/>
      <c r="AF44" s="161"/>
      <c r="AG44" s="64">
        <f t="shared" si="2"/>
        <v>88</v>
      </c>
    </row>
    <row r="45" spans="1:33" ht="18.75" x14ac:dyDescent="0.25">
      <c r="A45" s="301" t="s">
        <v>128</v>
      </c>
      <c r="B45" s="249">
        <v>9</v>
      </c>
      <c r="C45" s="162">
        <v>5</v>
      </c>
      <c r="D45" s="162">
        <v>11</v>
      </c>
      <c r="E45" s="162">
        <v>3</v>
      </c>
      <c r="F45" s="162">
        <v>4</v>
      </c>
      <c r="G45" s="162">
        <v>6</v>
      </c>
      <c r="H45" s="162">
        <v>6</v>
      </c>
      <c r="I45" s="162">
        <v>4</v>
      </c>
      <c r="J45" s="162"/>
      <c r="K45" s="162"/>
      <c r="L45" s="162"/>
      <c r="M45" s="162"/>
      <c r="N45" s="162"/>
      <c r="O45" s="162"/>
      <c r="P45" s="162"/>
      <c r="Q45" s="162"/>
      <c r="R45" s="162"/>
      <c r="S45" s="162"/>
      <c r="T45" s="162"/>
      <c r="U45" s="162"/>
      <c r="V45" s="162"/>
      <c r="W45" s="162"/>
      <c r="X45" s="162"/>
      <c r="Y45" s="162"/>
      <c r="Z45" s="162"/>
      <c r="AA45" s="162"/>
      <c r="AB45" s="162"/>
      <c r="AC45" s="162"/>
      <c r="AD45" s="162"/>
      <c r="AE45" s="162"/>
      <c r="AF45" s="161"/>
      <c r="AG45" s="64">
        <f t="shared" si="2"/>
        <v>48</v>
      </c>
    </row>
    <row r="46" spans="1:33" ht="18.75" x14ac:dyDescent="0.25">
      <c r="A46" s="301" t="s">
        <v>127</v>
      </c>
      <c r="B46" s="249">
        <v>5</v>
      </c>
      <c r="C46" s="162">
        <v>4</v>
      </c>
      <c r="D46" s="162">
        <v>3</v>
      </c>
      <c r="E46" s="162">
        <v>5</v>
      </c>
      <c r="F46" s="162">
        <v>1</v>
      </c>
      <c r="G46" s="162">
        <v>5</v>
      </c>
      <c r="H46" s="162">
        <v>5</v>
      </c>
      <c r="I46" s="162">
        <v>4</v>
      </c>
      <c r="J46" s="162"/>
      <c r="K46" s="162"/>
      <c r="L46" s="162"/>
      <c r="M46" s="162"/>
      <c r="N46" s="162"/>
      <c r="O46" s="162"/>
      <c r="P46" s="162"/>
      <c r="Q46" s="162"/>
      <c r="R46" s="162"/>
      <c r="S46" s="162"/>
      <c r="T46" s="162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1"/>
      <c r="AG46" s="64">
        <f t="shared" si="2"/>
        <v>32</v>
      </c>
    </row>
    <row r="47" spans="1:33" ht="18.75" x14ac:dyDescent="0.25">
      <c r="A47" s="301" t="s">
        <v>126</v>
      </c>
      <c r="B47" s="249">
        <v>2</v>
      </c>
      <c r="C47" s="162"/>
      <c r="D47" s="162">
        <v>3</v>
      </c>
      <c r="E47" s="162">
        <v>3</v>
      </c>
      <c r="F47" s="162">
        <v>3</v>
      </c>
      <c r="G47" s="162">
        <v>5</v>
      </c>
      <c r="H47" s="162">
        <v>4</v>
      </c>
      <c r="I47" s="162"/>
      <c r="J47" s="162"/>
      <c r="K47" s="162"/>
      <c r="L47" s="162"/>
      <c r="M47" s="162"/>
      <c r="N47" s="162"/>
      <c r="O47" s="162"/>
      <c r="P47" s="162"/>
      <c r="Q47" s="162"/>
      <c r="R47" s="162"/>
      <c r="S47" s="162"/>
      <c r="T47" s="162"/>
      <c r="U47" s="162"/>
      <c r="V47" s="162"/>
      <c r="W47" s="162"/>
      <c r="X47" s="162"/>
      <c r="Y47" s="162"/>
      <c r="Z47" s="162"/>
      <c r="AA47" s="162"/>
      <c r="AB47" s="162"/>
      <c r="AC47" s="162"/>
      <c r="AD47" s="162"/>
      <c r="AE47" s="162"/>
      <c r="AF47" s="161"/>
      <c r="AG47" s="64">
        <f t="shared" si="2"/>
        <v>20</v>
      </c>
    </row>
    <row r="48" spans="1:33" ht="18.75" x14ac:dyDescent="0.25">
      <c r="A48" s="301" t="s">
        <v>125</v>
      </c>
      <c r="B48" s="249">
        <v>1</v>
      </c>
      <c r="C48" s="162"/>
      <c r="D48" s="162">
        <v>2</v>
      </c>
      <c r="E48" s="162">
        <v>1</v>
      </c>
      <c r="F48" s="162">
        <v>3</v>
      </c>
      <c r="G48" s="162">
        <v>4</v>
      </c>
      <c r="H48" s="162">
        <v>2</v>
      </c>
      <c r="I48" s="162">
        <v>3</v>
      </c>
      <c r="J48" s="162"/>
      <c r="K48" s="162"/>
      <c r="L48" s="162"/>
      <c r="M48" s="162"/>
      <c r="N48" s="162"/>
      <c r="O48" s="162"/>
      <c r="P48" s="162"/>
      <c r="Q48" s="162"/>
      <c r="R48" s="162"/>
      <c r="S48" s="162"/>
      <c r="T48" s="162"/>
      <c r="U48" s="162"/>
      <c r="V48" s="162"/>
      <c r="W48" s="162"/>
      <c r="X48" s="162"/>
      <c r="Y48" s="162"/>
      <c r="Z48" s="162"/>
      <c r="AA48" s="162"/>
      <c r="AB48" s="162"/>
      <c r="AC48" s="162"/>
      <c r="AD48" s="162"/>
      <c r="AE48" s="162"/>
      <c r="AF48" s="161"/>
      <c r="AG48" s="64">
        <f t="shared" si="2"/>
        <v>16</v>
      </c>
    </row>
    <row r="49" spans="1:33" ht="18.75" x14ac:dyDescent="0.25">
      <c r="A49" s="301" t="s">
        <v>124</v>
      </c>
      <c r="B49" s="249">
        <v>1</v>
      </c>
      <c r="C49" s="162"/>
      <c r="D49" s="162"/>
      <c r="E49" s="162">
        <v>2</v>
      </c>
      <c r="F49" s="162">
        <v>2</v>
      </c>
      <c r="G49" s="162"/>
      <c r="H49" s="162">
        <v>2</v>
      </c>
      <c r="I49" s="162">
        <v>1</v>
      </c>
      <c r="J49" s="162"/>
      <c r="K49" s="162"/>
      <c r="L49" s="162"/>
      <c r="M49" s="162"/>
      <c r="N49" s="162"/>
      <c r="O49" s="162"/>
      <c r="P49" s="162"/>
      <c r="Q49" s="162"/>
      <c r="R49" s="162"/>
      <c r="S49" s="162"/>
      <c r="T49" s="162"/>
      <c r="U49" s="162"/>
      <c r="V49" s="162"/>
      <c r="W49" s="162"/>
      <c r="X49" s="162"/>
      <c r="Y49" s="162"/>
      <c r="Z49" s="162"/>
      <c r="AA49" s="162"/>
      <c r="AB49" s="162"/>
      <c r="AC49" s="162"/>
      <c r="AD49" s="162"/>
      <c r="AE49" s="162"/>
      <c r="AF49" s="161"/>
      <c r="AG49" s="64">
        <f t="shared" si="2"/>
        <v>8</v>
      </c>
    </row>
    <row r="50" spans="1:33" ht="18.75" x14ac:dyDescent="0.25">
      <c r="A50" s="301" t="s">
        <v>123</v>
      </c>
      <c r="B50" s="249">
        <v>4</v>
      </c>
      <c r="C50" s="162"/>
      <c r="D50" s="162"/>
      <c r="E50" s="162">
        <v>1</v>
      </c>
      <c r="F50" s="162"/>
      <c r="G50" s="162"/>
      <c r="H50" s="162"/>
      <c r="I50" s="162"/>
      <c r="J50" s="162"/>
      <c r="K50" s="162"/>
      <c r="L50" s="162"/>
      <c r="M50" s="162"/>
      <c r="N50" s="162"/>
      <c r="O50" s="162"/>
      <c r="P50" s="162"/>
      <c r="Q50" s="162"/>
      <c r="R50" s="162"/>
      <c r="S50" s="162"/>
      <c r="T50" s="162"/>
      <c r="U50" s="162"/>
      <c r="V50" s="162"/>
      <c r="W50" s="162"/>
      <c r="X50" s="162"/>
      <c r="Y50" s="162"/>
      <c r="Z50" s="162"/>
      <c r="AA50" s="162"/>
      <c r="AB50" s="162"/>
      <c r="AC50" s="162"/>
      <c r="AD50" s="162"/>
      <c r="AE50" s="162"/>
      <c r="AF50" s="161"/>
      <c r="AG50" s="64">
        <f t="shared" si="2"/>
        <v>5</v>
      </c>
    </row>
    <row r="51" spans="1:33" ht="18.75" x14ac:dyDescent="0.25">
      <c r="A51" s="301" t="s">
        <v>122</v>
      </c>
      <c r="B51" s="249"/>
      <c r="C51" s="162"/>
      <c r="D51" s="162">
        <v>1</v>
      </c>
      <c r="E51" s="162">
        <v>1</v>
      </c>
      <c r="F51" s="162">
        <v>2</v>
      </c>
      <c r="G51" s="162">
        <v>1</v>
      </c>
      <c r="H51" s="162"/>
      <c r="I51" s="162">
        <v>1</v>
      </c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162"/>
      <c r="Z51" s="162"/>
      <c r="AA51" s="162"/>
      <c r="AB51" s="162"/>
      <c r="AC51" s="162"/>
      <c r="AD51" s="162"/>
      <c r="AE51" s="162"/>
      <c r="AF51" s="161"/>
      <c r="AG51" s="64">
        <f t="shared" si="2"/>
        <v>6</v>
      </c>
    </row>
    <row r="52" spans="1:33" ht="19.5" thickBot="1" x14ac:dyDescent="0.3">
      <c r="A52" s="304" t="s">
        <v>121</v>
      </c>
      <c r="B52" s="252">
        <v>1</v>
      </c>
      <c r="C52" s="181"/>
      <c r="D52" s="181">
        <v>1</v>
      </c>
      <c r="E52" s="181"/>
      <c r="F52" s="181">
        <v>1</v>
      </c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0"/>
      <c r="AG52" s="160">
        <f t="shared" si="2"/>
        <v>3</v>
      </c>
    </row>
    <row r="53" spans="1:33" ht="19.5" thickBot="1" x14ac:dyDescent="0.3">
      <c r="A53" s="299" t="s">
        <v>145</v>
      </c>
      <c r="B53" s="247">
        <f t="shared" ref="B53:AF53" si="4">SUM(B54:B77)</f>
        <v>9</v>
      </c>
      <c r="C53" s="120">
        <f t="shared" si="4"/>
        <v>3</v>
      </c>
      <c r="D53" s="120">
        <f t="shared" si="4"/>
        <v>1</v>
      </c>
      <c r="E53" s="120">
        <f t="shared" si="4"/>
        <v>1</v>
      </c>
      <c r="F53" s="120">
        <f t="shared" si="4"/>
        <v>2</v>
      </c>
      <c r="G53" s="120">
        <f t="shared" si="4"/>
        <v>8</v>
      </c>
      <c r="H53" s="120">
        <f t="shared" si="4"/>
        <v>6</v>
      </c>
      <c r="I53" s="120">
        <f t="shared" si="4"/>
        <v>3</v>
      </c>
      <c r="J53" s="120">
        <f t="shared" si="4"/>
        <v>0</v>
      </c>
      <c r="K53" s="120">
        <f t="shared" si="4"/>
        <v>0</v>
      </c>
      <c r="L53" s="120">
        <f t="shared" si="4"/>
        <v>0</v>
      </c>
      <c r="M53" s="120">
        <f t="shared" si="4"/>
        <v>0</v>
      </c>
      <c r="N53" s="120">
        <f t="shared" si="4"/>
        <v>0</v>
      </c>
      <c r="O53" s="120">
        <f t="shared" si="4"/>
        <v>0</v>
      </c>
      <c r="P53" s="120">
        <f t="shared" si="4"/>
        <v>0</v>
      </c>
      <c r="Q53" s="120">
        <f t="shared" si="4"/>
        <v>0</v>
      </c>
      <c r="R53" s="120">
        <f t="shared" si="4"/>
        <v>0</v>
      </c>
      <c r="S53" s="120">
        <f t="shared" si="4"/>
        <v>0</v>
      </c>
      <c r="T53" s="120">
        <f t="shared" si="4"/>
        <v>0</v>
      </c>
      <c r="U53" s="120">
        <f t="shared" si="4"/>
        <v>0</v>
      </c>
      <c r="V53" s="120">
        <f t="shared" si="4"/>
        <v>0</v>
      </c>
      <c r="W53" s="120">
        <f t="shared" si="4"/>
        <v>0</v>
      </c>
      <c r="X53" s="120">
        <f t="shared" si="4"/>
        <v>0</v>
      </c>
      <c r="Y53" s="120">
        <f t="shared" si="4"/>
        <v>0</v>
      </c>
      <c r="Z53" s="120">
        <f t="shared" si="4"/>
        <v>0</v>
      </c>
      <c r="AA53" s="120">
        <f t="shared" si="4"/>
        <v>0</v>
      </c>
      <c r="AB53" s="120">
        <f t="shared" si="4"/>
        <v>0</v>
      </c>
      <c r="AC53" s="120">
        <f t="shared" si="4"/>
        <v>0</v>
      </c>
      <c r="AD53" s="120">
        <f t="shared" si="4"/>
        <v>0</v>
      </c>
      <c r="AE53" s="120">
        <f t="shared" si="4"/>
        <v>0</v>
      </c>
      <c r="AF53" s="120">
        <f t="shared" si="4"/>
        <v>0</v>
      </c>
      <c r="AG53" s="157">
        <f t="shared" si="2"/>
        <v>33</v>
      </c>
    </row>
    <row r="54" spans="1:33" ht="18.75" x14ac:dyDescent="0.25">
      <c r="A54" s="300" t="s">
        <v>144</v>
      </c>
      <c r="B54" s="248"/>
      <c r="C54" s="199"/>
      <c r="D54" s="162"/>
      <c r="E54" s="199"/>
      <c r="F54" s="199"/>
      <c r="G54" s="162"/>
      <c r="H54" s="199"/>
      <c r="I54" s="199"/>
      <c r="J54" s="199"/>
      <c r="K54" s="199"/>
      <c r="L54" s="199"/>
      <c r="M54" s="199"/>
      <c r="N54" s="199"/>
      <c r="O54" s="199"/>
      <c r="P54" s="199"/>
      <c r="Q54" s="199"/>
      <c r="R54" s="199"/>
      <c r="S54" s="199"/>
      <c r="T54" s="199"/>
      <c r="U54" s="199"/>
      <c r="V54" s="199"/>
      <c r="W54" s="199"/>
      <c r="X54" s="199"/>
      <c r="Y54" s="199"/>
      <c r="Z54" s="199"/>
      <c r="AA54" s="199"/>
      <c r="AB54" s="199"/>
      <c r="AC54" s="199"/>
      <c r="AD54" s="199"/>
      <c r="AE54" s="199"/>
      <c r="AF54" s="206"/>
      <c r="AG54" s="134">
        <f t="shared" si="2"/>
        <v>0</v>
      </c>
    </row>
    <row r="55" spans="1:33" ht="18.75" x14ac:dyDescent="0.25">
      <c r="A55" s="301" t="s">
        <v>143</v>
      </c>
      <c r="B55" s="249"/>
      <c r="C55" s="162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Y55" s="162"/>
      <c r="Z55" s="162"/>
      <c r="AA55" s="162"/>
      <c r="AB55" s="162"/>
      <c r="AC55" s="162"/>
      <c r="AD55" s="162"/>
      <c r="AE55" s="162"/>
      <c r="AF55" s="161"/>
      <c r="AG55" s="64">
        <f t="shared" si="2"/>
        <v>0</v>
      </c>
    </row>
    <row r="56" spans="1:33" ht="18.75" x14ac:dyDescent="0.25">
      <c r="A56" s="301" t="s">
        <v>142</v>
      </c>
      <c r="B56" s="249">
        <v>1</v>
      </c>
      <c r="C56" s="162"/>
      <c r="D56" s="162"/>
      <c r="E56" s="162">
        <v>1</v>
      </c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Y56" s="162"/>
      <c r="Z56" s="162"/>
      <c r="AA56" s="162"/>
      <c r="AB56" s="162"/>
      <c r="AC56" s="162"/>
      <c r="AD56" s="162"/>
      <c r="AE56" s="162"/>
      <c r="AF56" s="161"/>
      <c r="AG56" s="64">
        <f t="shared" si="2"/>
        <v>2</v>
      </c>
    </row>
    <row r="57" spans="1:33" ht="18.75" x14ac:dyDescent="0.25">
      <c r="A57" s="301" t="s">
        <v>141</v>
      </c>
      <c r="B57" s="249"/>
      <c r="C57" s="162"/>
      <c r="D57" s="162"/>
      <c r="E57" s="162"/>
      <c r="F57" s="162"/>
      <c r="G57" s="162"/>
      <c r="H57" s="162"/>
      <c r="I57" s="162">
        <v>1</v>
      </c>
      <c r="J57" s="162"/>
      <c r="K57" s="162"/>
      <c r="L57" s="162"/>
      <c r="M57" s="162"/>
      <c r="N57" s="162"/>
      <c r="O57" s="162"/>
      <c r="P57" s="162"/>
      <c r="Q57" s="162"/>
      <c r="R57" s="162"/>
      <c r="S57" s="162"/>
      <c r="T57" s="162"/>
      <c r="U57" s="162"/>
      <c r="V57" s="162"/>
      <c r="W57" s="162"/>
      <c r="X57" s="162"/>
      <c r="Y57" s="162"/>
      <c r="Z57" s="162"/>
      <c r="AA57" s="162"/>
      <c r="AB57" s="162"/>
      <c r="AC57" s="162"/>
      <c r="AD57" s="162"/>
      <c r="AE57" s="162"/>
      <c r="AF57" s="161"/>
      <c r="AG57" s="64">
        <f t="shared" si="2"/>
        <v>1</v>
      </c>
    </row>
    <row r="58" spans="1:33" ht="18.75" x14ac:dyDescent="0.25">
      <c r="A58" s="301" t="s">
        <v>140</v>
      </c>
      <c r="B58" s="249"/>
      <c r="C58" s="162">
        <v>1</v>
      </c>
      <c r="D58" s="162"/>
      <c r="E58" s="162"/>
      <c r="F58" s="162"/>
      <c r="G58" s="162"/>
      <c r="H58" s="162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Y58" s="162"/>
      <c r="Z58" s="162"/>
      <c r="AA58" s="162"/>
      <c r="AB58" s="162"/>
      <c r="AC58" s="162"/>
      <c r="AD58" s="162"/>
      <c r="AE58" s="162"/>
      <c r="AF58" s="161"/>
      <c r="AG58" s="64">
        <f t="shared" si="2"/>
        <v>1</v>
      </c>
    </row>
    <row r="59" spans="1:33" ht="18.75" x14ac:dyDescent="0.25">
      <c r="A59" s="301" t="s">
        <v>139</v>
      </c>
      <c r="B59" s="249"/>
      <c r="C59" s="162"/>
      <c r="D59" s="162"/>
      <c r="E59" s="162"/>
      <c r="F59" s="162">
        <v>1</v>
      </c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Y59" s="162"/>
      <c r="Z59" s="162"/>
      <c r="AA59" s="162"/>
      <c r="AB59" s="162"/>
      <c r="AC59" s="162"/>
      <c r="AD59" s="162"/>
      <c r="AE59" s="162"/>
      <c r="AF59" s="161"/>
      <c r="AG59" s="64">
        <f t="shared" si="2"/>
        <v>1</v>
      </c>
    </row>
    <row r="60" spans="1:33" ht="18.75" x14ac:dyDescent="0.25">
      <c r="A60" s="301" t="s">
        <v>138</v>
      </c>
      <c r="B60" s="249">
        <v>1</v>
      </c>
      <c r="C60" s="162"/>
      <c r="D60" s="162"/>
      <c r="E60" s="162"/>
      <c r="F60" s="162"/>
      <c r="G60" s="162"/>
      <c r="H60" s="162"/>
      <c r="I60" s="162"/>
      <c r="J60" s="162"/>
      <c r="K60" s="162"/>
      <c r="L60" s="162"/>
      <c r="M60" s="162"/>
      <c r="N60" s="162"/>
      <c r="O60" s="162"/>
      <c r="P60" s="162"/>
      <c r="Q60" s="162"/>
      <c r="R60" s="162"/>
      <c r="S60" s="162"/>
      <c r="T60" s="162"/>
      <c r="U60" s="162"/>
      <c r="V60" s="162"/>
      <c r="W60" s="162"/>
      <c r="X60" s="162"/>
      <c r="Y60" s="162"/>
      <c r="Z60" s="162"/>
      <c r="AA60" s="162"/>
      <c r="AB60" s="162"/>
      <c r="AC60" s="162"/>
      <c r="AD60" s="162"/>
      <c r="AE60" s="162"/>
      <c r="AF60" s="161"/>
      <c r="AG60" s="64">
        <f t="shared" si="2"/>
        <v>1</v>
      </c>
    </row>
    <row r="61" spans="1:33" ht="18.75" x14ac:dyDescent="0.25">
      <c r="A61" s="301" t="s">
        <v>137</v>
      </c>
      <c r="B61" s="249"/>
      <c r="C61" s="162"/>
      <c r="D61" s="162"/>
      <c r="E61" s="162"/>
      <c r="F61" s="162"/>
      <c r="G61" s="162"/>
      <c r="H61" s="162"/>
      <c r="I61" s="162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Y61" s="162"/>
      <c r="Z61" s="162"/>
      <c r="AA61" s="162"/>
      <c r="AB61" s="162"/>
      <c r="AC61" s="162"/>
      <c r="AD61" s="162"/>
      <c r="AE61" s="162"/>
      <c r="AF61" s="161"/>
      <c r="AG61" s="64">
        <f t="shared" si="2"/>
        <v>0</v>
      </c>
    </row>
    <row r="62" spans="1:33" ht="18.75" x14ac:dyDescent="0.25">
      <c r="A62" s="301" t="s">
        <v>136</v>
      </c>
      <c r="B62" s="249"/>
      <c r="C62" s="162"/>
      <c r="D62" s="162"/>
      <c r="E62" s="162"/>
      <c r="F62" s="162"/>
      <c r="G62" s="162"/>
      <c r="H62" s="162">
        <v>1</v>
      </c>
      <c r="I62" s="162"/>
      <c r="J62" s="162"/>
      <c r="K62" s="162"/>
      <c r="L62" s="162"/>
      <c r="M62" s="162"/>
      <c r="N62" s="162"/>
      <c r="O62" s="162"/>
      <c r="P62" s="162"/>
      <c r="Q62" s="162"/>
      <c r="R62" s="162"/>
      <c r="S62" s="162"/>
      <c r="T62" s="162"/>
      <c r="U62" s="162"/>
      <c r="V62" s="162"/>
      <c r="W62" s="162"/>
      <c r="X62" s="162"/>
      <c r="Y62" s="162"/>
      <c r="Z62" s="162"/>
      <c r="AA62" s="162"/>
      <c r="AB62" s="162"/>
      <c r="AC62" s="162"/>
      <c r="AD62" s="162"/>
      <c r="AE62" s="162"/>
      <c r="AF62" s="161"/>
      <c r="AG62" s="64">
        <f t="shared" si="2"/>
        <v>1</v>
      </c>
    </row>
    <row r="63" spans="1:33" ht="18.75" x14ac:dyDescent="0.25">
      <c r="A63" s="301" t="s">
        <v>135</v>
      </c>
      <c r="B63" s="249"/>
      <c r="C63" s="162"/>
      <c r="D63" s="162"/>
      <c r="E63" s="162"/>
      <c r="F63" s="162"/>
      <c r="G63" s="162"/>
      <c r="H63" s="162">
        <v>1</v>
      </c>
      <c r="I63" s="162"/>
      <c r="J63" s="162"/>
      <c r="K63" s="162"/>
      <c r="L63" s="162"/>
      <c r="M63" s="162"/>
      <c r="N63" s="162"/>
      <c r="O63" s="162"/>
      <c r="P63" s="162"/>
      <c r="Q63" s="162"/>
      <c r="R63" s="162"/>
      <c r="S63" s="162"/>
      <c r="T63" s="162"/>
      <c r="U63" s="162"/>
      <c r="V63" s="162"/>
      <c r="W63" s="162"/>
      <c r="X63" s="162"/>
      <c r="Y63" s="162"/>
      <c r="Z63" s="162"/>
      <c r="AA63" s="162"/>
      <c r="AB63" s="162"/>
      <c r="AC63" s="162"/>
      <c r="AD63" s="162"/>
      <c r="AE63" s="162"/>
      <c r="AF63" s="161"/>
      <c r="AG63" s="64">
        <f t="shared" si="2"/>
        <v>1</v>
      </c>
    </row>
    <row r="64" spans="1:33" ht="18.75" x14ac:dyDescent="0.25">
      <c r="A64" s="301" t="s">
        <v>134</v>
      </c>
      <c r="B64" s="249"/>
      <c r="C64" s="162"/>
      <c r="D64" s="162">
        <v>1</v>
      </c>
      <c r="E64" s="162"/>
      <c r="F64" s="162"/>
      <c r="G64" s="162">
        <v>2</v>
      </c>
      <c r="H64" s="162">
        <v>1</v>
      </c>
      <c r="I64" s="162"/>
      <c r="J64" s="162"/>
      <c r="K64" s="162"/>
      <c r="L64" s="162"/>
      <c r="M64" s="162"/>
      <c r="N64" s="162"/>
      <c r="O64" s="162"/>
      <c r="P64" s="162"/>
      <c r="Q64" s="162"/>
      <c r="R64" s="162"/>
      <c r="S64" s="162"/>
      <c r="T64" s="162"/>
      <c r="U64" s="162"/>
      <c r="V64" s="162"/>
      <c r="W64" s="162"/>
      <c r="X64" s="162"/>
      <c r="Y64" s="162"/>
      <c r="Z64" s="162"/>
      <c r="AA64" s="162"/>
      <c r="AB64" s="162"/>
      <c r="AC64" s="162"/>
      <c r="AD64" s="162"/>
      <c r="AE64" s="162"/>
      <c r="AF64" s="161"/>
      <c r="AG64" s="64">
        <f t="shared" si="2"/>
        <v>4</v>
      </c>
    </row>
    <row r="65" spans="1:33" ht="18.75" x14ac:dyDescent="0.25">
      <c r="A65" s="301" t="s">
        <v>133</v>
      </c>
      <c r="B65" s="249">
        <v>2</v>
      </c>
      <c r="C65" s="162"/>
      <c r="D65" s="162"/>
      <c r="E65" s="162"/>
      <c r="F65" s="162"/>
      <c r="G65" s="162"/>
      <c r="H65" s="162">
        <v>1</v>
      </c>
      <c r="I65" s="162"/>
      <c r="J65" s="162"/>
      <c r="K65" s="162"/>
      <c r="L65" s="162"/>
      <c r="M65" s="162"/>
      <c r="N65" s="162"/>
      <c r="O65" s="162"/>
      <c r="P65" s="162"/>
      <c r="Q65" s="162"/>
      <c r="R65" s="162"/>
      <c r="S65" s="162"/>
      <c r="T65" s="162"/>
      <c r="U65" s="162"/>
      <c r="V65" s="162"/>
      <c r="W65" s="162"/>
      <c r="X65" s="162"/>
      <c r="Y65" s="162"/>
      <c r="Z65" s="162"/>
      <c r="AA65" s="162"/>
      <c r="AB65" s="162"/>
      <c r="AC65" s="162"/>
      <c r="AD65" s="162"/>
      <c r="AE65" s="162"/>
      <c r="AF65" s="161"/>
      <c r="AG65" s="64">
        <f t="shared" si="2"/>
        <v>3</v>
      </c>
    </row>
    <row r="66" spans="1:33" ht="18.75" x14ac:dyDescent="0.25">
      <c r="A66" s="301" t="s">
        <v>132</v>
      </c>
      <c r="B66" s="249">
        <v>1</v>
      </c>
      <c r="C66" s="162"/>
      <c r="D66" s="162"/>
      <c r="E66" s="162"/>
      <c r="F66" s="162"/>
      <c r="G66" s="162">
        <v>2</v>
      </c>
      <c r="H66" s="162"/>
      <c r="I66" s="162"/>
      <c r="J66" s="162"/>
      <c r="K66" s="162"/>
      <c r="L66" s="162"/>
      <c r="M66" s="162"/>
      <c r="N66" s="162"/>
      <c r="O66" s="162"/>
      <c r="P66" s="162"/>
      <c r="Q66" s="162"/>
      <c r="R66" s="162"/>
      <c r="S66" s="162"/>
      <c r="T66" s="162"/>
      <c r="U66" s="162"/>
      <c r="V66" s="162"/>
      <c r="W66" s="162"/>
      <c r="X66" s="162"/>
      <c r="Y66" s="162"/>
      <c r="Z66" s="162"/>
      <c r="AA66" s="162"/>
      <c r="AB66" s="162"/>
      <c r="AC66" s="162"/>
      <c r="AD66" s="162"/>
      <c r="AE66" s="162"/>
      <c r="AF66" s="161"/>
      <c r="AG66" s="64">
        <f t="shared" si="2"/>
        <v>3</v>
      </c>
    </row>
    <row r="67" spans="1:33" ht="18.75" x14ac:dyDescent="0.25">
      <c r="A67" s="301" t="s">
        <v>131</v>
      </c>
      <c r="B67" s="249">
        <v>3</v>
      </c>
      <c r="C67" s="162">
        <v>1</v>
      </c>
      <c r="D67" s="162"/>
      <c r="E67" s="162"/>
      <c r="F67" s="162"/>
      <c r="G67" s="162">
        <v>2</v>
      </c>
      <c r="H67" s="162"/>
      <c r="I67" s="162">
        <v>1</v>
      </c>
      <c r="J67" s="162"/>
      <c r="K67" s="162"/>
      <c r="L67" s="162"/>
      <c r="M67" s="162"/>
      <c r="N67" s="162"/>
      <c r="O67" s="162"/>
      <c r="P67" s="162"/>
      <c r="Q67" s="162"/>
      <c r="R67" s="162"/>
      <c r="S67" s="162"/>
      <c r="T67" s="162"/>
      <c r="U67" s="162"/>
      <c r="V67" s="162"/>
      <c r="W67" s="162"/>
      <c r="X67" s="162"/>
      <c r="Y67" s="162"/>
      <c r="Z67" s="162"/>
      <c r="AA67" s="162"/>
      <c r="AB67" s="162"/>
      <c r="AC67" s="162"/>
      <c r="AD67" s="162"/>
      <c r="AE67" s="162"/>
      <c r="AF67" s="161"/>
      <c r="AG67" s="64">
        <f t="shared" ref="AG67:AG98" si="5">SUM(B67:AF67)</f>
        <v>7</v>
      </c>
    </row>
    <row r="68" spans="1:33" ht="18.75" x14ac:dyDescent="0.25">
      <c r="A68" s="301" t="s">
        <v>130</v>
      </c>
      <c r="B68" s="249">
        <v>1</v>
      </c>
      <c r="C68" s="162"/>
      <c r="D68" s="162"/>
      <c r="E68" s="162"/>
      <c r="F68" s="162"/>
      <c r="G68" s="162"/>
      <c r="H68" s="162"/>
      <c r="I68" s="162"/>
      <c r="J68" s="162"/>
      <c r="K68" s="162"/>
      <c r="L68" s="162"/>
      <c r="M68" s="162"/>
      <c r="N68" s="162"/>
      <c r="O68" s="162"/>
      <c r="P68" s="162"/>
      <c r="Q68" s="162"/>
      <c r="R68" s="162"/>
      <c r="S68" s="162"/>
      <c r="T68" s="162"/>
      <c r="U68" s="162"/>
      <c r="V68" s="162"/>
      <c r="W68" s="162"/>
      <c r="X68" s="162"/>
      <c r="Y68" s="162"/>
      <c r="Z68" s="162"/>
      <c r="AA68" s="162"/>
      <c r="AB68" s="162"/>
      <c r="AC68" s="162"/>
      <c r="AD68" s="162"/>
      <c r="AE68" s="162"/>
      <c r="AF68" s="161"/>
      <c r="AG68" s="64">
        <f t="shared" si="5"/>
        <v>1</v>
      </c>
    </row>
    <row r="69" spans="1:33" ht="18.75" x14ac:dyDescent="0.25">
      <c r="A69" s="301" t="s">
        <v>129</v>
      </c>
      <c r="B69" s="249"/>
      <c r="C69" s="162">
        <v>1</v>
      </c>
      <c r="D69" s="162"/>
      <c r="E69" s="162"/>
      <c r="F69" s="162"/>
      <c r="G69" s="162"/>
      <c r="H69" s="162"/>
      <c r="I69" s="162"/>
      <c r="J69" s="162"/>
      <c r="K69" s="162"/>
      <c r="L69" s="162"/>
      <c r="M69" s="162"/>
      <c r="N69" s="162"/>
      <c r="O69" s="162"/>
      <c r="P69" s="162"/>
      <c r="Q69" s="162"/>
      <c r="R69" s="162"/>
      <c r="S69" s="162"/>
      <c r="T69" s="162"/>
      <c r="U69" s="162"/>
      <c r="V69" s="162"/>
      <c r="W69" s="162"/>
      <c r="X69" s="162"/>
      <c r="Y69" s="162"/>
      <c r="Z69" s="162"/>
      <c r="AA69" s="162"/>
      <c r="AB69" s="162"/>
      <c r="AC69" s="162"/>
      <c r="AD69" s="162"/>
      <c r="AE69" s="162"/>
      <c r="AF69" s="161"/>
      <c r="AG69" s="64">
        <f t="shared" si="5"/>
        <v>1</v>
      </c>
    </row>
    <row r="70" spans="1:33" ht="18.75" x14ac:dyDescent="0.25">
      <c r="A70" s="301" t="s">
        <v>128</v>
      </c>
      <c r="B70" s="248"/>
      <c r="C70" s="199"/>
      <c r="D70" s="162"/>
      <c r="E70" s="199"/>
      <c r="F70" s="199"/>
      <c r="G70" s="162">
        <v>1</v>
      </c>
      <c r="H70" s="199"/>
      <c r="I70" s="162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199"/>
      <c r="W70" s="199"/>
      <c r="X70" s="199"/>
      <c r="Y70" s="199"/>
      <c r="Z70" s="199"/>
      <c r="AA70" s="199"/>
      <c r="AB70" s="199"/>
      <c r="AC70" s="199"/>
      <c r="AD70" s="199"/>
      <c r="AE70" s="199"/>
      <c r="AF70" s="206"/>
      <c r="AG70" s="64">
        <f t="shared" si="5"/>
        <v>1</v>
      </c>
    </row>
    <row r="71" spans="1:33" ht="18.75" x14ac:dyDescent="0.25">
      <c r="A71" s="301" t="s">
        <v>127</v>
      </c>
      <c r="B71" s="248"/>
      <c r="C71" s="199"/>
      <c r="D71" s="162"/>
      <c r="E71" s="199"/>
      <c r="F71" s="199">
        <v>1</v>
      </c>
      <c r="G71" s="162">
        <v>1</v>
      </c>
      <c r="H71" s="199">
        <v>2</v>
      </c>
      <c r="I71" s="162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9"/>
      <c r="X71" s="199"/>
      <c r="Y71" s="199"/>
      <c r="Z71" s="199"/>
      <c r="AA71" s="199"/>
      <c r="AB71" s="199"/>
      <c r="AC71" s="199"/>
      <c r="AD71" s="199"/>
      <c r="AE71" s="199"/>
      <c r="AF71" s="206"/>
      <c r="AG71" s="64">
        <f t="shared" si="5"/>
        <v>4</v>
      </c>
    </row>
    <row r="72" spans="1:33" ht="18.75" x14ac:dyDescent="0.25">
      <c r="A72" s="301" t="s">
        <v>126</v>
      </c>
      <c r="B72" s="248"/>
      <c r="C72" s="199"/>
      <c r="D72" s="162"/>
      <c r="E72" s="199"/>
      <c r="F72" s="199"/>
      <c r="G72" s="162"/>
      <c r="H72" s="199"/>
      <c r="I72" s="162">
        <v>1</v>
      </c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199"/>
      <c r="X72" s="199"/>
      <c r="Y72" s="199"/>
      <c r="Z72" s="199"/>
      <c r="AA72" s="199"/>
      <c r="AB72" s="199"/>
      <c r="AC72" s="199"/>
      <c r="AD72" s="199"/>
      <c r="AE72" s="199"/>
      <c r="AF72" s="206"/>
      <c r="AG72" s="64">
        <f t="shared" si="5"/>
        <v>1</v>
      </c>
    </row>
    <row r="73" spans="1:33" ht="18.75" x14ac:dyDescent="0.25">
      <c r="A73" s="301" t="s">
        <v>125</v>
      </c>
      <c r="B73" s="248"/>
      <c r="C73" s="199"/>
      <c r="D73" s="162"/>
      <c r="E73" s="199"/>
      <c r="F73" s="199"/>
      <c r="G73" s="162"/>
      <c r="H73" s="199"/>
      <c r="I73" s="162"/>
      <c r="J73" s="199"/>
      <c r="K73" s="199"/>
      <c r="L73" s="199"/>
      <c r="M73" s="199"/>
      <c r="N73" s="199"/>
      <c r="O73" s="199"/>
      <c r="P73" s="199"/>
      <c r="Q73" s="199"/>
      <c r="R73" s="199"/>
      <c r="S73" s="199"/>
      <c r="T73" s="199"/>
      <c r="U73" s="199"/>
      <c r="V73" s="199"/>
      <c r="W73" s="199"/>
      <c r="X73" s="199"/>
      <c r="Y73" s="199"/>
      <c r="Z73" s="199"/>
      <c r="AA73" s="199"/>
      <c r="AB73" s="199"/>
      <c r="AC73" s="199"/>
      <c r="AD73" s="199"/>
      <c r="AE73" s="199"/>
      <c r="AF73" s="206"/>
      <c r="AG73" s="64">
        <f t="shared" si="5"/>
        <v>0</v>
      </c>
    </row>
    <row r="74" spans="1:33" ht="18.75" x14ac:dyDescent="0.25">
      <c r="A74" s="301" t="s">
        <v>124</v>
      </c>
      <c r="B74" s="248"/>
      <c r="C74" s="199"/>
      <c r="D74" s="162"/>
      <c r="E74" s="199"/>
      <c r="F74" s="199"/>
      <c r="G74" s="162"/>
      <c r="H74" s="199"/>
      <c r="I74" s="162"/>
      <c r="J74" s="199"/>
      <c r="K74" s="199"/>
      <c r="L74" s="199"/>
      <c r="M74" s="199"/>
      <c r="N74" s="199"/>
      <c r="O74" s="199"/>
      <c r="P74" s="199"/>
      <c r="Q74" s="199"/>
      <c r="R74" s="199"/>
      <c r="S74" s="199"/>
      <c r="T74" s="199"/>
      <c r="U74" s="199"/>
      <c r="V74" s="199"/>
      <c r="W74" s="199"/>
      <c r="X74" s="199"/>
      <c r="Y74" s="199"/>
      <c r="Z74" s="199"/>
      <c r="AA74" s="199"/>
      <c r="AB74" s="199"/>
      <c r="AC74" s="199"/>
      <c r="AD74" s="199"/>
      <c r="AE74" s="199"/>
      <c r="AF74" s="206"/>
      <c r="AG74" s="64">
        <f t="shared" si="5"/>
        <v>0</v>
      </c>
    </row>
    <row r="75" spans="1:33" ht="18.75" x14ac:dyDescent="0.25">
      <c r="A75" s="301" t="s">
        <v>123</v>
      </c>
      <c r="B75" s="248"/>
      <c r="C75" s="199"/>
      <c r="D75" s="162"/>
      <c r="E75" s="199"/>
      <c r="F75" s="199"/>
      <c r="G75" s="162"/>
      <c r="H75" s="199"/>
      <c r="I75" s="162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9"/>
      <c r="Y75" s="199"/>
      <c r="Z75" s="199"/>
      <c r="AA75" s="199"/>
      <c r="AB75" s="199"/>
      <c r="AC75" s="199"/>
      <c r="AD75" s="199"/>
      <c r="AE75" s="199"/>
      <c r="AF75" s="206"/>
      <c r="AG75" s="64">
        <f t="shared" si="5"/>
        <v>0</v>
      </c>
    </row>
    <row r="76" spans="1:33" ht="18.75" x14ac:dyDescent="0.25">
      <c r="A76" s="301" t="s">
        <v>122</v>
      </c>
      <c r="B76" s="248"/>
      <c r="C76" s="199"/>
      <c r="D76" s="162"/>
      <c r="E76" s="199"/>
      <c r="F76" s="199"/>
      <c r="G76" s="162"/>
      <c r="H76" s="199"/>
      <c r="I76" s="162"/>
      <c r="J76" s="199"/>
      <c r="K76" s="199"/>
      <c r="L76" s="199"/>
      <c r="M76" s="199"/>
      <c r="N76" s="199"/>
      <c r="O76" s="199"/>
      <c r="P76" s="199"/>
      <c r="Q76" s="199"/>
      <c r="R76" s="199"/>
      <c r="S76" s="199"/>
      <c r="T76" s="199"/>
      <c r="U76" s="199"/>
      <c r="V76" s="199"/>
      <c r="W76" s="199"/>
      <c r="X76" s="199"/>
      <c r="Y76" s="199"/>
      <c r="Z76" s="199"/>
      <c r="AA76" s="199"/>
      <c r="AB76" s="199"/>
      <c r="AC76" s="199"/>
      <c r="AD76" s="199"/>
      <c r="AE76" s="199"/>
      <c r="AF76" s="206"/>
      <c r="AG76" s="64">
        <f t="shared" si="5"/>
        <v>0</v>
      </c>
    </row>
    <row r="77" spans="1:33" ht="19.5" thickBot="1" x14ac:dyDescent="0.3">
      <c r="A77" s="305" t="s">
        <v>121</v>
      </c>
      <c r="B77" s="253"/>
      <c r="C77" s="184"/>
      <c r="D77" s="181"/>
      <c r="E77" s="184"/>
      <c r="F77" s="184"/>
      <c r="G77" s="181"/>
      <c r="H77" s="184"/>
      <c r="I77" s="181"/>
      <c r="J77" s="184"/>
      <c r="K77" s="184"/>
      <c r="L77" s="184"/>
      <c r="M77" s="184"/>
      <c r="N77" s="184"/>
      <c r="O77" s="184"/>
      <c r="P77" s="184"/>
      <c r="Q77" s="184"/>
      <c r="R77" s="184"/>
      <c r="S77" s="184"/>
      <c r="T77" s="184"/>
      <c r="U77" s="184"/>
      <c r="V77" s="184"/>
      <c r="W77" s="184"/>
      <c r="X77" s="184"/>
      <c r="Y77" s="184"/>
      <c r="Z77" s="184"/>
      <c r="AA77" s="184"/>
      <c r="AB77" s="184"/>
      <c r="AC77" s="184"/>
      <c r="AD77" s="184"/>
      <c r="AE77" s="184"/>
      <c r="AF77" s="183"/>
      <c r="AG77" s="160">
        <f t="shared" si="5"/>
        <v>0</v>
      </c>
    </row>
    <row r="78" spans="1:33" ht="19.5" hidden="1" customHeight="1" thickBot="1" x14ac:dyDescent="0.3">
      <c r="A78" s="306" t="s">
        <v>120</v>
      </c>
      <c r="B78" s="254">
        <f t="shared" ref="B78:AF78" si="6">SUM(B79:B80)</f>
        <v>164</v>
      </c>
      <c r="C78" s="204">
        <f t="shared" si="6"/>
        <v>153</v>
      </c>
      <c r="D78" s="204">
        <f t="shared" si="6"/>
        <v>153</v>
      </c>
      <c r="E78" s="201">
        <f t="shared" si="6"/>
        <v>168</v>
      </c>
      <c r="F78" s="201">
        <f t="shared" si="6"/>
        <v>152</v>
      </c>
      <c r="G78" s="201">
        <f t="shared" si="6"/>
        <v>182</v>
      </c>
      <c r="H78" s="201">
        <f t="shared" si="6"/>
        <v>172</v>
      </c>
      <c r="I78" s="201">
        <f t="shared" si="6"/>
        <v>185</v>
      </c>
      <c r="J78" s="201">
        <f t="shared" si="6"/>
        <v>0</v>
      </c>
      <c r="K78" s="201">
        <f t="shared" si="6"/>
        <v>0</v>
      </c>
      <c r="L78" s="201">
        <f t="shared" si="6"/>
        <v>0</v>
      </c>
      <c r="M78" s="201">
        <f t="shared" si="6"/>
        <v>0</v>
      </c>
      <c r="N78" s="201">
        <f t="shared" si="6"/>
        <v>0</v>
      </c>
      <c r="O78" s="201">
        <f t="shared" si="6"/>
        <v>0</v>
      </c>
      <c r="P78" s="201">
        <f t="shared" si="6"/>
        <v>0</v>
      </c>
      <c r="Q78" s="201">
        <f t="shared" si="6"/>
        <v>0</v>
      </c>
      <c r="R78" s="201">
        <f t="shared" si="6"/>
        <v>0</v>
      </c>
      <c r="S78" s="201">
        <f t="shared" si="6"/>
        <v>0</v>
      </c>
      <c r="T78" s="201">
        <f t="shared" si="6"/>
        <v>0</v>
      </c>
      <c r="U78" s="201">
        <f t="shared" si="6"/>
        <v>0</v>
      </c>
      <c r="V78" s="201">
        <f t="shared" si="6"/>
        <v>0</v>
      </c>
      <c r="W78" s="201">
        <f t="shared" si="6"/>
        <v>0</v>
      </c>
      <c r="X78" s="201">
        <f t="shared" si="6"/>
        <v>0</v>
      </c>
      <c r="Y78" s="201">
        <f t="shared" si="6"/>
        <v>0</v>
      </c>
      <c r="Z78" s="201">
        <f t="shared" si="6"/>
        <v>0</v>
      </c>
      <c r="AA78" s="201">
        <f t="shared" si="6"/>
        <v>0</v>
      </c>
      <c r="AB78" s="201">
        <f t="shared" si="6"/>
        <v>0</v>
      </c>
      <c r="AC78" s="201">
        <f t="shared" si="6"/>
        <v>0</v>
      </c>
      <c r="AD78" s="201">
        <f t="shared" si="6"/>
        <v>0</v>
      </c>
      <c r="AE78" s="201">
        <f t="shared" si="6"/>
        <v>0</v>
      </c>
      <c r="AF78" s="203">
        <f t="shared" si="6"/>
        <v>0</v>
      </c>
      <c r="AG78" s="157">
        <f t="shared" si="5"/>
        <v>1329</v>
      </c>
    </row>
    <row r="79" spans="1:33" ht="19.5" hidden="1" customHeight="1" thickBot="1" x14ac:dyDescent="0.3">
      <c r="A79" s="307" t="s">
        <v>118</v>
      </c>
      <c r="B79" s="248">
        <f t="shared" ref="B79:AF79" si="7">SUM(B4:B27)-B80</f>
        <v>164</v>
      </c>
      <c r="C79" s="199">
        <f t="shared" si="7"/>
        <v>153</v>
      </c>
      <c r="D79" s="199">
        <f t="shared" si="7"/>
        <v>153</v>
      </c>
      <c r="E79" s="199">
        <f t="shared" si="7"/>
        <v>168</v>
      </c>
      <c r="F79" s="199">
        <f t="shared" si="7"/>
        <v>86</v>
      </c>
      <c r="G79" s="199">
        <f t="shared" si="7"/>
        <v>143</v>
      </c>
      <c r="H79" s="199">
        <f t="shared" si="7"/>
        <v>150</v>
      </c>
      <c r="I79" s="199">
        <f t="shared" si="7"/>
        <v>185</v>
      </c>
      <c r="J79" s="199">
        <f t="shared" si="7"/>
        <v>0</v>
      </c>
      <c r="K79" s="199">
        <f t="shared" si="7"/>
        <v>0</v>
      </c>
      <c r="L79" s="199">
        <f t="shared" si="7"/>
        <v>0</v>
      </c>
      <c r="M79" s="199">
        <f t="shared" si="7"/>
        <v>0</v>
      </c>
      <c r="N79" s="199">
        <f t="shared" si="7"/>
        <v>0</v>
      </c>
      <c r="O79" s="199">
        <f t="shared" si="7"/>
        <v>0</v>
      </c>
      <c r="P79" s="199">
        <f t="shared" si="7"/>
        <v>0</v>
      </c>
      <c r="Q79" s="199">
        <f t="shared" si="7"/>
        <v>0</v>
      </c>
      <c r="R79" s="199">
        <f t="shared" si="7"/>
        <v>0</v>
      </c>
      <c r="S79" s="199">
        <f t="shared" si="7"/>
        <v>0</v>
      </c>
      <c r="T79" s="199">
        <f t="shared" si="7"/>
        <v>0</v>
      </c>
      <c r="U79" s="199">
        <f t="shared" si="7"/>
        <v>0</v>
      </c>
      <c r="V79" s="199">
        <f t="shared" si="7"/>
        <v>0</v>
      </c>
      <c r="W79" s="199">
        <f t="shared" si="7"/>
        <v>0</v>
      </c>
      <c r="X79" s="199">
        <f t="shared" si="7"/>
        <v>0</v>
      </c>
      <c r="Y79" s="199">
        <f t="shared" si="7"/>
        <v>0</v>
      </c>
      <c r="Z79" s="199">
        <f t="shared" si="7"/>
        <v>0</v>
      </c>
      <c r="AA79" s="199">
        <f t="shared" si="7"/>
        <v>0</v>
      </c>
      <c r="AB79" s="199">
        <f t="shared" si="7"/>
        <v>0</v>
      </c>
      <c r="AC79" s="199">
        <f t="shared" si="7"/>
        <v>0</v>
      </c>
      <c r="AD79" s="199">
        <f t="shared" si="7"/>
        <v>0</v>
      </c>
      <c r="AE79" s="199">
        <f t="shared" si="7"/>
        <v>0</v>
      </c>
      <c r="AF79" s="199">
        <f t="shared" si="7"/>
        <v>0</v>
      </c>
      <c r="AG79" s="134">
        <f t="shared" si="5"/>
        <v>1202</v>
      </c>
    </row>
    <row r="80" spans="1:33" ht="19.5" hidden="1" customHeight="1" thickBot="1" x14ac:dyDescent="0.3">
      <c r="A80" s="308" t="s">
        <v>119</v>
      </c>
      <c r="B80" s="255"/>
      <c r="C80" s="169"/>
      <c r="D80" s="181">
        <v>0</v>
      </c>
      <c r="E80" s="181">
        <v>0</v>
      </c>
      <c r="F80" s="181">
        <f>SUM(F4:F12)</f>
        <v>66</v>
      </c>
      <c r="G80" s="181">
        <f>SUM(G4:G12)</f>
        <v>39</v>
      </c>
      <c r="H80" s="181">
        <f>SUM(H4:H12)</f>
        <v>22</v>
      </c>
      <c r="I80" s="169"/>
      <c r="J80" s="169"/>
      <c r="K80" s="181">
        <v>0</v>
      </c>
      <c r="L80" s="181">
        <v>0</v>
      </c>
      <c r="M80" s="181">
        <f>SUM(M4:M12)</f>
        <v>0</v>
      </c>
      <c r="N80" s="181">
        <f>SUM(N4:N12)</f>
        <v>0</v>
      </c>
      <c r="O80" s="181">
        <f>SUM(O4:O12)</f>
        <v>0</v>
      </c>
      <c r="P80" s="169"/>
      <c r="Q80" s="169"/>
      <c r="R80" s="181">
        <f>SUM(R4:R12)</f>
        <v>0</v>
      </c>
      <c r="S80" s="181">
        <f>SUM(S4:S12)</f>
        <v>0</v>
      </c>
      <c r="T80" s="181">
        <f>SUM(T4:T12)</f>
        <v>0</v>
      </c>
      <c r="U80" s="181">
        <f>SUM(U4:U12)</f>
        <v>0</v>
      </c>
      <c r="V80" s="181">
        <f>SUM(V4:V12)</f>
        <v>0</v>
      </c>
      <c r="W80" s="169"/>
      <c r="X80" s="169"/>
      <c r="Y80" s="181">
        <f>SUM(Y4:Y12)</f>
        <v>0</v>
      </c>
      <c r="Z80" s="169"/>
      <c r="AA80" s="181">
        <f>SUM(AA4:AA12)</f>
        <v>0</v>
      </c>
      <c r="AB80" s="181">
        <f>SUM(AB4:AB12)</f>
        <v>0</v>
      </c>
      <c r="AC80" s="181">
        <f>SUM(AC4:AC12)</f>
        <v>0</v>
      </c>
      <c r="AD80" s="169"/>
      <c r="AE80" s="169"/>
      <c r="AF80" s="181">
        <f>SUM(AF4:AF12)</f>
        <v>0</v>
      </c>
      <c r="AG80" s="160">
        <f t="shared" si="5"/>
        <v>127</v>
      </c>
    </row>
    <row r="81" spans="1:35" ht="19.5" thickBot="1" x14ac:dyDescent="0.3">
      <c r="A81" s="306" t="s">
        <v>84</v>
      </c>
      <c r="B81" s="256">
        <f t="shared" ref="B81:AF81" si="8">SUM(B82:B83)</f>
        <v>9</v>
      </c>
      <c r="C81" s="201">
        <f t="shared" si="8"/>
        <v>3</v>
      </c>
      <c r="D81" s="201">
        <f t="shared" si="8"/>
        <v>1</v>
      </c>
      <c r="E81" s="201">
        <f t="shared" si="8"/>
        <v>1</v>
      </c>
      <c r="F81" s="201">
        <f t="shared" si="8"/>
        <v>2</v>
      </c>
      <c r="G81" s="201">
        <f t="shared" si="8"/>
        <v>8</v>
      </c>
      <c r="H81" s="201">
        <f t="shared" si="8"/>
        <v>6</v>
      </c>
      <c r="I81" s="201">
        <f t="shared" si="8"/>
        <v>3</v>
      </c>
      <c r="J81" s="201">
        <f t="shared" si="8"/>
        <v>0</v>
      </c>
      <c r="K81" s="201">
        <f t="shared" si="8"/>
        <v>0</v>
      </c>
      <c r="L81" s="201">
        <f t="shared" si="8"/>
        <v>0</v>
      </c>
      <c r="M81" s="201">
        <f t="shared" si="8"/>
        <v>0</v>
      </c>
      <c r="N81" s="201">
        <f t="shared" si="8"/>
        <v>0</v>
      </c>
      <c r="O81" s="201">
        <f t="shared" si="8"/>
        <v>0</v>
      </c>
      <c r="P81" s="201">
        <f t="shared" si="8"/>
        <v>0</v>
      </c>
      <c r="Q81" s="201">
        <f t="shared" si="8"/>
        <v>0</v>
      </c>
      <c r="R81" s="201">
        <f t="shared" si="8"/>
        <v>0</v>
      </c>
      <c r="S81" s="201">
        <f t="shared" si="8"/>
        <v>0</v>
      </c>
      <c r="T81" s="201">
        <f t="shared" si="8"/>
        <v>0</v>
      </c>
      <c r="U81" s="201">
        <f t="shared" si="8"/>
        <v>0</v>
      </c>
      <c r="V81" s="201">
        <f t="shared" si="8"/>
        <v>0</v>
      </c>
      <c r="W81" s="201">
        <f t="shared" si="8"/>
        <v>0</v>
      </c>
      <c r="X81" s="201">
        <f t="shared" si="8"/>
        <v>0</v>
      </c>
      <c r="Y81" s="201">
        <f t="shared" si="8"/>
        <v>0</v>
      </c>
      <c r="Z81" s="201">
        <f t="shared" si="8"/>
        <v>0</v>
      </c>
      <c r="AA81" s="201">
        <f t="shared" si="8"/>
        <v>0</v>
      </c>
      <c r="AB81" s="201">
        <f t="shared" si="8"/>
        <v>0</v>
      </c>
      <c r="AC81" s="201">
        <f t="shared" si="8"/>
        <v>0</v>
      </c>
      <c r="AD81" s="201">
        <f t="shared" si="8"/>
        <v>0</v>
      </c>
      <c r="AE81" s="201">
        <f t="shared" si="8"/>
        <v>0</v>
      </c>
      <c r="AF81" s="201">
        <f t="shared" si="8"/>
        <v>0</v>
      </c>
      <c r="AG81" s="157">
        <f t="shared" si="5"/>
        <v>33</v>
      </c>
      <c r="AH81" s="53" t="str">
        <f>IF(AG81&lt;&gt;AG53,"*","")</f>
        <v/>
      </c>
    </row>
    <row r="82" spans="1:35" ht="18.75" x14ac:dyDescent="0.25">
      <c r="A82" s="307" t="s">
        <v>119</v>
      </c>
      <c r="B82" s="248">
        <f t="shared" ref="B82:AF82" si="9">SUM(B54:B62)</f>
        <v>2</v>
      </c>
      <c r="C82" s="199">
        <f t="shared" si="9"/>
        <v>1</v>
      </c>
      <c r="D82" s="199">
        <f t="shared" si="9"/>
        <v>0</v>
      </c>
      <c r="E82" s="218"/>
      <c r="F82" s="218"/>
      <c r="G82" s="199">
        <f t="shared" si="9"/>
        <v>0</v>
      </c>
      <c r="H82" s="199">
        <f t="shared" si="9"/>
        <v>1</v>
      </c>
      <c r="I82" s="218"/>
      <c r="J82" s="199">
        <f t="shared" si="9"/>
        <v>0</v>
      </c>
      <c r="K82" s="199">
        <f t="shared" si="9"/>
        <v>0</v>
      </c>
      <c r="L82" s="218"/>
      <c r="M82" s="218"/>
      <c r="N82" s="199">
        <f t="shared" si="9"/>
        <v>0</v>
      </c>
      <c r="O82" s="199">
        <f t="shared" si="9"/>
        <v>0</v>
      </c>
      <c r="P82" s="199">
        <f t="shared" si="9"/>
        <v>0</v>
      </c>
      <c r="Q82" s="199">
        <f t="shared" si="9"/>
        <v>0</v>
      </c>
      <c r="R82" s="199">
        <f t="shared" si="9"/>
        <v>0</v>
      </c>
      <c r="S82" s="218"/>
      <c r="T82" s="218"/>
      <c r="U82" s="199">
        <f t="shared" si="9"/>
        <v>0</v>
      </c>
      <c r="V82" s="199">
        <f t="shared" si="9"/>
        <v>0</v>
      </c>
      <c r="W82" s="199">
        <f t="shared" si="9"/>
        <v>0</v>
      </c>
      <c r="X82" s="199">
        <f t="shared" si="9"/>
        <v>0</v>
      </c>
      <c r="Y82" s="199">
        <f t="shared" si="9"/>
        <v>0</v>
      </c>
      <c r="Z82" s="218"/>
      <c r="AA82" s="218"/>
      <c r="AB82" s="199">
        <f t="shared" si="9"/>
        <v>0</v>
      </c>
      <c r="AC82" s="199">
        <f t="shared" si="9"/>
        <v>0</v>
      </c>
      <c r="AD82" s="199">
        <f t="shared" si="9"/>
        <v>0</v>
      </c>
      <c r="AE82" s="199">
        <f t="shared" si="9"/>
        <v>0</v>
      </c>
      <c r="AF82" s="199">
        <f t="shared" si="9"/>
        <v>0</v>
      </c>
      <c r="AG82" s="134">
        <f t="shared" si="5"/>
        <v>4</v>
      </c>
    </row>
    <row r="83" spans="1:35" ht="19.5" thickBot="1" x14ac:dyDescent="0.3">
      <c r="A83" s="308" t="s">
        <v>118</v>
      </c>
      <c r="B83" s="252">
        <f t="shared" ref="B83:AF83" si="10">SUM(B54:B77)-B82</f>
        <v>7</v>
      </c>
      <c r="C83" s="181">
        <f t="shared" si="10"/>
        <v>2</v>
      </c>
      <c r="D83" s="181">
        <f t="shared" si="10"/>
        <v>1</v>
      </c>
      <c r="E83" s="181">
        <f t="shared" si="10"/>
        <v>1</v>
      </c>
      <c r="F83" s="181">
        <f t="shared" si="10"/>
        <v>2</v>
      </c>
      <c r="G83" s="181">
        <f t="shared" si="10"/>
        <v>8</v>
      </c>
      <c r="H83" s="181">
        <f t="shared" si="10"/>
        <v>5</v>
      </c>
      <c r="I83" s="181">
        <f t="shared" si="10"/>
        <v>3</v>
      </c>
      <c r="J83" s="181">
        <f t="shared" si="10"/>
        <v>0</v>
      </c>
      <c r="K83" s="181">
        <f t="shared" si="10"/>
        <v>0</v>
      </c>
      <c r="L83" s="181">
        <f t="shared" si="10"/>
        <v>0</v>
      </c>
      <c r="M83" s="181">
        <f t="shared" si="10"/>
        <v>0</v>
      </c>
      <c r="N83" s="181">
        <f t="shared" si="10"/>
        <v>0</v>
      </c>
      <c r="O83" s="181">
        <f t="shared" si="10"/>
        <v>0</v>
      </c>
      <c r="P83" s="181">
        <f t="shared" si="10"/>
        <v>0</v>
      </c>
      <c r="Q83" s="181">
        <f t="shared" si="10"/>
        <v>0</v>
      </c>
      <c r="R83" s="181">
        <f t="shared" si="10"/>
        <v>0</v>
      </c>
      <c r="S83" s="181">
        <f t="shared" si="10"/>
        <v>0</v>
      </c>
      <c r="T83" s="181">
        <f t="shared" si="10"/>
        <v>0</v>
      </c>
      <c r="U83" s="181">
        <f t="shared" si="10"/>
        <v>0</v>
      </c>
      <c r="V83" s="181">
        <f t="shared" si="10"/>
        <v>0</v>
      </c>
      <c r="W83" s="181">
        <f t="shared" si="10"/>
        <v>0</v>
      </c>
      <c r="X83" s="181">
        <f t="shared" si="10"/>
        <v>0</v>
      </c>
      <c r="Y83" s="181">
        <f t="shared" si="10"/>
        <v>0</v>
      </c>
      <c r="Z83" s="181">
        <f t="shared" si="10"/>
        <v>0</v>
      </c>
      <c r="AA83" s="181">
        <f t="shared" si="10"/>
        <v>0</v>
      </c>
      <c r="AB83" s="181">
        <f t="shared" si="10"/>
        <v>0</v>
      </c>
      <c r="AC83" s="181">
        <f t="shared" si="10"/>
        <v>0</v>
      </c>
      <c r="AD83" s="181">
        <f t="shared" si="10"/>
        <v>0</v>
      </c>
      <c r="AE83" s="181">
        <f t="shared" si="10"/>
        <v>0</v>
      </c>
      <c r="AF83" s="181">
        <f t="shared" si="10"/>
        <v>0</v>
      </c>
      <c r="AG83" s="64">
        <f t="shared" si="5"/>
        <v>29</v>
      </c>
    </row>
    <row r="84" spans="1:35" ht="19.5" thickBot="1" x14ac:dyDescent="0.3">
      <c r="A84" s="309" t="s">
        <v>117</v>
      </c>
      <c r="B84" s="257">
        <f t="shared" ref="B84:AF84" si="11">SUM(B85:B86)</f>
        <v>9</v>
      </c>
      <c r="C84" s="158">
        <f t="shared" si="11"/>
        <v>3</v>
      </c>
      <c r="D84" s="158">
        <f t="shared" si="11"/>
        <v>1</v>
      </c>
      <c r="E84" s="158">
        <f t="shared" si="11"/>
        <v>1</v>
      </c>
      <c r="F84" s="158">
        <f t="shared" si="11"/>
        <v>2</v>
      </c>
      <c r="G84" s="158">
        <f t="shared" si="11"/>
        <v>8</v>
      </c>
      <c r="H84" s="158">
        <f t="shared" si="11"/>
        <v>6</v>
      </c>
      <c r="I84" s="158">
        <f t="shared" si="11"/>
        <v>3</v>
      </c>
      <c r="J84" s="158">
        <f t="shared" si="11"/>
        <v>0</v>
      </c>
      <c r="K84" s="158">
        <f t="shared" si="11"/>
        <v>0</v>
      </c>
      <c r="L84" s="158">
        <f t="shared" si="11"/>
        <v>0</v>
      </c>
      <c r="M84" s="158">
        <f t="shared" si="11"/>
        <v>0</v>
      </c>
      <c r="N84" s="158">
        <f t="shared" si="11"/>
        <v>0</v>
      </c>
      <c r="O84" s="158">
        <f t="shared" si="11"/>
        <v>0</v>
      </c>
      <c r="P84" s="158">
        <f t="shared" si="11"/>
        <v>0</v>
      </c>
      <c r="Q84" s="158">
        <f t="shared" si="11"/>
        <v>0</v>
      </c>
      <c r="R84" s="158">
        <f t="shared" si="11"/>
        <v>0</v>
      </c>
      <c r="S84" s="158">
        <f t="shared" si="11"/>
        <v>0</v>
      </c>
      <c r="T84" s="158">
        <f t="shared" si="11"/>
        <v>0</v>
      </c>
      <c r="U84" s="158">
        <f t="shared" si="11"/>
        <v>0</v>
      </c>
      <c r="V84" s="158">
        <f t="shared" si="11"/>
        <v>0</v>
      </c>
      <c r="W84" s="158">
        <f t="shared" si="11"/>
        <v>0</v>
      </c>
      <c r="X84" s="158">
        <f t="shared" si="11"/>
        <v>0</v>
      </c>
      <c r="Y84" s="158">
        <f t="shared" si="11"/>
        <v>0</v>
      </c>
      <c r="Z84" s="158">
        <f t="shared" si="11"/>
        <v>0</v>
      </c>
      <c r="AA84" s="158">
        <f t="shared" si="11"/>
        <v>0</v>
      </c>
      <c r="AB84" s="158">
        <f t="shared" si="11"/>
        <v>0</v>
      </c>
      <c r="AC84" s="158">
        <f t="shared" si="11"/>
        <v>0</v>
      </c>
      <c r="AD84" s="158">
        <f t="shared" si="11"/>
        <v>0</v>
      </c>
      <c r="AE84" s="158">
        <f t="shared" si="11"/>
        <v>0</v>
      </c>
      <c r="AF84" s="158">
        <f t="shared" si="11"/>
        <v>0</v>
      </c>
      <c r="AG84" s="197">
        <f t="shared" si="5"/>
        <v>33</v>
      </c>
      <c r="AH84" s="53" t="str">
        <f>IF(AG84&lt;&gt;AG82+AG83,"*","")</f>
        <v/>
      </c>
      <c r="AI84" s="403" t="s">
        <v>71</v>
      </c>
    </row>
    <row r="85" spans="1:35" ht="18.75" x14ac:dyDescent="0.25">
      <c r="A85" s="310" t="s">
        <v>116</v>
      </c>
      <c r="B85" s="258">
        <v>1</v>
      </c>
      <c r="C85" s="195">
        <v>0</v>
      </c>
      <c r="D85" s="195">
        <v>0</v>
      </c>
      <c r="E85" s="195">
        <v>0</v>
      </c>
      <c r="F85" s="195">
        <v>1</v>
      </c>
      <c r="G85" s="195">
        <v>0</v>
      </c>
      <c r="H85" s="195">
        <v>0</v>
      </c>
      <c r="I85" s="195">
        <v>0</v>
      </c>
      <c r="J85" s="195"/>
      <c r="K85" s="195"/>
      <c r="L85" s="195"/>
      <c r="M85" s="195"/>
      <c r="N85" s="195"/>
      <c r="O85" s="195"/>
      <c r="P85" s="195"/>
      <c r="Q85" s="195"/>
      <c r="R85" s="195"/>
      <c r="S85" s="195"/>
      <c r="T85" s="195"/>
      <c r="U85" s="195"/>
      <c r="V85" s="195"/>
      <c r="W85" s="195"/>
      <c r="X85" s="195"/>
      <c r="Y85" s="195"/>
      <c r="Z85" s="195"/>
      <c r="AA85" s="195"/>
      <c r="AB85" s="195"/>
      <c r="AC85" s="195"/>
      <c r="AD85" s="195"/>
      <c r="AE85" s="195"/>
      <c r="AF85" s="194"/>
      <c r="AG85" s="193">
        <f t="shared" si="5"/>
        <v>2</v>
      </c>
      <c r="AI85" s="404"/>
    </row>
    <row r="86" spans="1:35" ht="19.5" thickBot="1" x14ac:dyDescent="0.3">
      <c r="A86" s="311" t="s">
        <v>115</v>
      </c>
      <c r="B86" s="259">
        <v>8</v>
      </c>
      <c r="C86" s="191">
        <v>3</v>
      </c>
      <c r="D86" s="191">
        <v>1</v>
      </c>
      <c r="E86" s="191">
        <v>1</v>
      </c>
      <c r="F86" s="191">
        <v>1</v>
      </c>
      <c r="G86" s="191">
        <v>8</v>
      </c>
      <c r="H86" s="191">
        <v>6</v>
      </c>
      <c r="I86" s="191">
        <v>3</v>
      </c>
      <c r="J86" s="191"/>
      <c r="K86" s="191"/>
      <c r="L86" s="191"/>
      <c r="M86" s="191"/>
      <c r="N86" s="191"/>
      <c r="O86" s="191"/>
      <c r="P86" s="191"/>
      <c r="Q86" s="191"/>
      <c r="R86" s="191"/>
      <c r="S86" s="191"/>
      <c r="T86" s="191"/>
      <c r="U86" s="191"/>
      <c r="V86" s="191"/>
      <c r="W86" s="191"/>
      <c r="X86" s="191"/>
      <c r="Y86" s="191"/>
      <c r="Z86" s="191"/>
      <c r="AA86" s="191"/>
      <c r="AB86" s="191"/>
      <c r="AC86" s="191"/>
      <c r="AD86" s="191"/>
      <c r="AE86" s="191"/>
      <c r="AF86" s="190"/>
      <c r="AG86" s="189">
        <f t="shared" si="5"/>
        <v>31</v>
      </c>
      <c r="AI86" s="405"/>
    </row>
    <row r="87" spans="1:35" ht="19.5" thickBot="1" x14ac:dyDescent="0.3">
      <c r="A87" s="312" t="s">
        <v>114</v>
      </c>
      <c r="B87" s="260">
        <f t="shared" ref="B87:AF87" si="12">SUM(B88:B92)</f>
        <v>9</v>
      </c>
      <c r="C87" s="187">
        <f t="shared" si="12"/>
        <v>3</v>
      </c>
      <c r="D87" s="187">
        <f t="shared" si="12"/>
        <v>1</v>
      </c>
      <c r="E87" s="187">
        <f t="shared" si="12"/>
        <v>1</v>
      </c>
      <c r="F87" s="187">
        <f t="shared" si="12"/>
        <v>2</v>
      </c>
      <c r="G87" s="187">
        <f t="shared" si="12"/>
        <v>8</v>
      </c>
      <c r="H87" s="187">
        <f t="shared" si="12"/>
        <v>6</v>
      </c>
      <c r="I87" s="187">
        <f t="shared" si="12"/>
        <v>3</v>
      </c>
      <c r="J87" s="187">
        <f t="shared" si="12"/>
        <v>0</v>
      </c>
      <c r="K87" s="187">
        <f t="shared" si="12"/>
        <v>0</v>
      </c>
      <c r="L87" s="187">
        <f t="shared" si="12"/>
        <v>0</v>
      </c>
      <c r="M87" s="187">
        <f t="shared" si="12"/>
        <v>0</v>
      </c>
      <c r="N87" s="187">
        <f t="shared" si="12"/>
        <v>0</v>
      </c>
      <c r="O87" s="187">
        <f t="shared" si="12"/>
        <v>0</v>
      </c>
      <c r="P87" s="187">
        <f t="shared" si="12"/>
        <v>0</v>
      </c>
      <c r="Q87" s="187">
        <f t="shared" si="12"/>
        <v>0</v>
      </c>
      <c r="R87" s="187">
        <f t="shared" si="12"/>
        <v>0</v>
      </c>
      <c r="S87" s="187">
        <f t="shared" si="12"/>
        <v>0</v>
      </c>
      <c r="T87" s="187">
        <f t="shared" si="12"/>
        <v>0</v>
      </c>
      <c r="U87" s="187">
        <f t="shared" si="12"/>
        <v>0</v>
      </c>
      <c r="V87" s="187">
        <f t="shared" si="12"/>
        <v>0</v>
      </c>
      <c r="W87" s="187">
        <f t="shared" si="12"/>
        <v>0</v>
      </c>
      <c r="X87" s="187">
        <f t="shared" si="12"/>
        <v>0</v>
      </c>
      <c r="Y87" s="187">
        <f t="shared" si="12"/>
        <v>0</v>
      </c>
      <c r="Z87" s="187">
        <f t="shared" si="12"/>
        <v>0</v>
      </c>
      <c r="AA87" s="187">
        <f t="shared" si="12"/>
        <v>0</v>
      </c>
      <c r="AB87" s="187">
        <f t="shared" si="12"/>
        <v>0</v>
      </c>
      <c r="AC87" s="187">
        <f t="shared" si="12"/>
        <v>0</v>
      </c>
      <c r="AD87" s="187">
        <f t="shared" si="12"/>
        <v>0</v>
      </c>
      <c r="AE87" s="187">
        <f t="shared" si="12"/>
        <v>0</v>
      </c>
      <c r="AF87" s="187">
        <f t="shared" si="12"/>
        <v>0</v>
      </c>
      <c r="AG87" s="186">
        <f t="shared" si="5"/>
        <v>33</v>
      </c>
      <c r="AH87" s="185" t="str">
        <f>IF(AG87&lt;&gt;AG84,"*","")</f>
        <v/>
      </c>
    </row>
    <row r="88" spans="1:35" ht="18.75" x14ac:dyDescent="0.25">
      <c r="A88" s="313" t="s">
        <v>113</v>
      </c>
      <c r="B88" s="253">
        <v>2</v>
      </c>
      <c r="C88" s="184">
        <v>2</v>
      </c>
      <c r="D88" s="184">
        <v>1</v>
      </c>
      <c r="E88" s="184">
        <v>1</v>
      </c>
      <c r="F88" s="184">
        <v>1</v>
      </c>
      <c r="G88" s="184">
        <v>3</v>
      </c>
      <c r="H88" s="184">
        <v>2</v>
      </c>
      <c r="I88" s="184">
        <v>1</v>
      </c>
      <c r="J88" s="184"/>
      <c r="K88" s="184"/>
      <c r="L88" s="184"/>
      <c r="M88" s="184"/>
      <c r="N88" s="184"/>
      <c r="O88" s="184"/>
      <c r="P88" s="184"/>
      <c r="Q88" s="184"/>
      <c r="R88" s="184"/>
      <c r="S88" s="184"/>
      <c r="T88" s="184"/>
      <c r="U88" s="184"/>
      <c r="V88" s="184"/>
      <c r="W88" s="184"/>
      <c r="X88" s="184"/>
      <c r="Y88" s="184"/>
      <c r="Z88" s="184"/>
      <c r="AA88" s="184"/>
      <c r="AB88" s="184"/>
      <c r="AC88" s="184"/>
      <c r="AD88" s="184"/>
      <c r="AE88" s="184"/>
      <c r="AF88" s="183"/>
      <c r="AG88" s="134">
        <f t="shared" si="5"/>
        <v>13</v>
      </c>
    </row>
    <row r="89" spans="1:35" ht="18.75" x14ac:dyDescent="0.25">
      <c r="A89" s="314" t="s">
        <v>16</v>
      </c>
      <c r="B89" s="252"/>
      <c r="C89" s="181"/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  <c r="AA89" s="181"/>
      <c r="AB89" s="181"/>
      <c r="AC89" s="181"/>
      <c r="AD89" s="181"/>
      <c r="AE89" s="181"/>
      <c r="AF89" s="180"/>
      <c r="AG89" s="64">
        <f t="shared" si="5"/>
        <v>0</v>
      </c>
    </row>
    <row r="90" spans="1:35" ht="18.75" x14ac:dyDescent="0.25">
      <c r="A90" s="314" t="s">
        <v>15</v>
      </c>
      <c r="B90" s="252"/>
      <c r="C90" s="181"/>
      <c r="D90" s="181"/>
      <c r="E90" s="181"/>
      <c r="F90" s="181"/>
      <c r="G90" s="181"/>
      <c r="H90" s="181"/>
      <c r="I90" s="181"/>
      <c r="J90" s="181"/>
      <c r="K90" s="181"/>
      <c r="L90" s="181"/>
      <c r="M90" s="181"/>
      <c r="N90" s="181"/>
      <c r="O90" s="181"/>
      <c r="P90" s="181"/>
      <c r="Q90" s="181"/>
      <c r="R90" s="181"/>
      <c r="S90" s="181"/>
      <c r="T90" s="181"/>
      <c r="U90" s="181"/>
      <c r="V90" s="181"/>
      <c r="W90" s="181"/>
      <c r="X90" s="181"/>
      <c r="Y90" s="181"/>
      <c r="Z90" s="181"/>
      <c r="AA90" s="181"/>
      <c r="AB90" s="181"/>
      <c r="AC90" s="181"/>
      <c r="AD90" s="181"/>
      <c r="AE90" s="181"/>
      <c r="AF90" s="180"/>
      <c r="AG90" s="64">
        <f t="shared" si="5"/>
        <v>0</v>
      </c>
    </row>
    <row r="91" spans="1:35" ht="18.75" x14ac:dyDescent="0.25">
      <c r="A91" s="314" t="s">
        <v>14</v>
      </c>
      <c r="B91" s="252">
        <v>5</v>
      </c>
      <c r="C91" s="181"/>
      <c r="D91" s="181"/>
      <c r="E91" s="181"/>
      <c r="F91" s="181">
        <v>1</v>
      </c>
      <c r="G91" s="181">
        <v>3</v>
      </c>
      <c r="H91" s="181">
        <v>1</v>
      </c>
      <c r="I91" s="181">
        <v>2</v>
      </c>
      <c r="J91" s="181"/>
      <c r="K91" s="181"/>
      <c r="L91" s="181"/>
      <c r="M91" s="181"/>
      <c r="N91" s="181"/>
      <c r="O91" s="181"/>
      <c r="P91" s="181"/>
      <c r="Q91" s="181"/>
      <c r="R91" s="181"/>
      <c r="S91" s="181"/>
      <c r="T91" s="181"/>
      <c r="U91" s="181"/>
      <c r="V91" s="181"/>
      <c r="W91" s="181"/>
      <c r="X91" s="181"/>
      <c r="Y91" s="181"/>
      <c r="Z91" s="181"/>
      <c r="AA91" s="181"/>
      <c r="AB91" s="181"/>
      <c r="AC91" s="181"/>
      <c r="AD91" s="181"/>
      <c r="AE91" s="181"/>
      <c r="AF91" s="180"/>
      <c r="AG91" s="64">
        <f t="shared" si="5"/>
        <v>12</v>
      </c>
    </row>
    <row r="92" spans="1:35" ht="19.5" thickBot="1" x14ac:dyDescent="0.3">
      <c r="A92" s="314" t="s">
        <v>13</v>
      </c>
      <c r="B92" s="252">
        <v>2</v>
      </c>
      <c r="C92" s="181">
        <v>1</v>
      </c>
      <c r="D92" s="181"/>
      <c r="E92" s="181"/>
      <c r="F92" s="181"/>
      <c r="G92" s="181">
        <v>2</v>
      </c>
      <c r="H92" s="181">
        <v>3</v>
      </c>
      <c r="I92" s="181"/>
      <c r="J92" s="181"/>
      <c r="K92" s="181"/>
      <c r="L92" s="181"/>
      <c r="M92" s="181"/>
      <c r="N92" s="181"/>
      <c r="O92" s="181"/>
      <c r="P92" s="181"/>
      <c r="Q92" s="181"/>
      <c r="R92" s="181"/>
      <c r="S92" s="181"/>
      <c r="T92" s="181"/>
      <c r="U92" s="181"/>
      <c r="V92" s="181"/>
      <c r="W92" s="181"/>
      <c r="X92" s="181"/>
      <c r="Y92" s="181"/>
      <c r="Z92" s="181"/>
      <c r="AA92" s="181"/>
      <c r="AB92" s="181"/>
      <c r="AC92" s="181"/>
      <c r="AD92" s="181"/>
      <c r="AE92" s="181"/>
      <c r="AF92" s="180"/>
      <c r="AG92" s="64">
        <f t="shared" si="5"/>
        <v>8</v>
      </c>
    </row>
    <row r="93" spans="1:35" ht="18.75" x14ac:dyDescent="0.25">
      <c r="A93" s="315" t="s">
        <v>112</v>
      </c>
      <c r="B93" s="261">
        <f t="shared" ref="B93:AF93" si="13">+B94+B100</f>
        <v>155</v>
      </c>
      <c r="C93" s="166">
        <f t="shared" si="13"/>
        <v>150</v>
      </c>
      <c r="D93" s="166">
        <f t="shared" si="13"/>
        <v>152</v>
      </c>
      <c r="E93" s="166">
        <f t="shared" si="13"/>
        <v>167</v>
      </c>
      <c r="F93" s="166">
        <f t="shared" si="13"/>
        <v>150</v>
      </c>
      <c r="G93" s="166">
        <f t="shared" si="13"/>
        <v>174</v>
      </c>
      <c r="H93" s="166">
        <f t="shared" si="13"/>
        <v>166</v>
      </c>
      <c r="I93" s="166">
        <f t="shared" si="13"/>
        <v>182</v>
      </c>
      <c r="J93" s="166">
        <f t="shared" si="13"/>
        <v>0</v>
      </c>
      <c r="K93" s="166">
        <f t="shared" si="13"/>
        <v>0</v>
      </c>
      <c r="L93" s="166">
        <f t="shared" si="13"/>
        <v>0</v>
      </c>
      <c r="M93" s="166">
        <f t="shared" si="13"/>
        <v>0</v>
      </c>
      <c r="N93" s="166">
        <f t="shared" si="13"/>
        <v>0</v>
      </c>
      <c r="O93" s="166">
        <f t="shared" si="13"/>
        <v>0</v>
      </c>
      <c r="P93" s="166">
        <f t="shared" si="13"/>
        <v>0</v>
      </c>
      <c r="Q93" s="166">
        <f t="shared" si="13"/>
        <v>0</v>
      </c>
      <c r="R93" s="166">
        <f t="shared" si="13"/>
        <v>0</v>
      </c>
      <c r="S93" s="166">
        <f t="shared" si="13"/>
        <v>0</v>
      </c>
      <c r="T93" s="166">
        <f t="shared" si="13"/>
        <v>0</v>
      </c>
      <c r="U93" s="166">
        <f t="shared" si="13"/>
        <v>0</v>
      </c>
      <c r="V93" s="166">
        <f t="shared" si="13"/>
        <v>0</v>
      </c>
      <c r="W93" s="166">
        <f t="shared" si="13"/>
        <v>0</v>
      </c>
      <c r="X93" s="166">
        <f t="shared" si="13"/>
        <v>0</v>
      </c>
      <c r="Y93" s="166">
        <f t="shared" si="13"/>
        <v>0</v>
      </c>
      <c r="Z93" s="166">
        <f t="shared" si="13"/>
        <v>0</v>
      </c>
      <c r="AA93" s="166">
        <f t="shared" si="13"/>
        <v>0</v>
      </c>
      <c r="AB93" s="166">
        <f t="shared" si="13"/>
        <v>0</v>
      </c>
      <c r="AC93" s="166">
        <f t="shared" si="13"/>
        <v>0</v>
      </c>
      <c r="AD93" s="166">
        <f t="shared" si="13"/>
        <v>0</v>
      </c>
      <c r="AE93" s="166">
        <f t="shared" si="13"/>
        <v>0</v>
      </c>
      <c r="AF93" s="165">
        <f t="shared" si="13"/>
        <v>0</v>
      </c>
      <c r="AG93" s="164">
        <f t="shared" si="5"/>
        <v>1296</v>
      </c>
      <c r="AH93" s="179" t="str">
        <f>IF(AG93&lt;&gt;AG28,"*","")</f>
        <v/>
      </c>
    </row>
    <row r="94" spans="1:35" ht="18.75" x14ac:dyDescent="0.25">
      <c r="A94" s="66" t="s">
        <v>111</v>
      </c>
      <c r="B94" s="262">
        <f t="shared" ref="B94:AF94" si="14">SUM(B95:B99)</f>
        <v>20</v>
      </c>
      <c r="C94" s="68">
        <f t="shared" si="14"/>
        <v>14</v>
      </c>
      <c r="D94" s="68">
        <f t="shared" si="14"/>
        <v>16</v>
      </c>
      <c r="E94" s="68">
        <f t="shared" si="14"/>
        <v>20</v>
      </c>
      <c r="F94" s="68">
        <f t="shared" si="14"/>
        <v>15</v>
      </c>
      <c r="G94" s="68">
        <f t="shared" si="14"/>
        <v>25</v>
      </c>
      <c r="H94" s="68">
        <f t="shared" si="14"/>
        <v>30</v>
      </c>
      <c r="I94" s="68">
        <f t="shared" si="14"/>
        <v>24</v>
      </c>
      <c r="J94" s="68">
        <f t="shared" si="14"/>
        <v>0</v>
      </c>
      <c r="K94" s="68">
        <f t="shared" si="14"/>
        <v>0</v>
      </c>
      <c r="L94" s="68">
        <f t="shared" si="14"/>
        <v>0</v>
      </c>
      <c r="M94" s="68">
        <f t="shared" si="14"/>
        <v>0</v>
      </c>
      <c r="N94" s="68">
        <f t="shared" si="14"/>
        <v>0</v>
      </c>
      <c r="O94" s="68">
        <f t="shared" si="14"/>
        <v>0</v>
      </c>
      <c r="P94" s="68">
        <f t="shared" si="14"/>
        <v>0</v>
      </c>
      <c r="Q94" s="68">
        <f t="shared" si="14"/>
        <v>0</v>
      </c>
      <c r="R94" s="68">
        <f t="shared" si="14"/>
        <v>0</v>
      </c>
      <c r="S94" s="68">
        <f t="shared" si="14"/>
        <v>0</v>
      </c>
      <c r="T94" s="68">
        <f t="shared" si="14"/>
        <v>0</v>
      </c>
      <c r="U94" s="68">
        <f t="shared" si="14"/>
        <v>0</v>
      </c>
      <c r="V94" s="68">
        <f t="shared" si="14"/>
        <v>0</v>
      </c>
      <c r="W94" s="68">
        <f t="shared" si="14"/>
        <v>0</v>
      </c>
      <c r="X94" s="68">
        <f t="shared" si="14"/>
        <v>0</v>
      </c>
      <c r="Y94" s="68">
        <f t="shared" si="14"/>
        <v>0</v>
      </c>
      <c r="Z94" s="68">
        <f t="shared" si="14"/>
        <v>0</v>
      </c>
      <c r="AA94" s="68">
        <f t="shared" si="14"/>
        <v>0</v>
      </c>
      <c r="AB94" s="68">
        <f t="shared" si="14"/>
        <v>0</v>
      </c>
      <c r="AC94" s="68">
        <f t="shared" si="14"/>
        <v>0</v>
      </c>
      <c r="AD94" s="68">
        <f t="shared" si="14"/>
        <v>0</v>
      </c>
      <c r="AE94" s="68">
        <f t="shared" si="14"/>
        <v>0</v>
      </c>
      <c r="AF94" s="67">
        <f t="shared" si="14"/>
        <v>0</v>
      </c>
      <c r="AG94" s="64">
        <f t="shared" si="5"/>
        <v>164</v>
      </c>
    </row>
    <row r="95" spans="1:35" ht="18.75" x14ac:dyDescent="0.25">
      <c r="A95" s="316" t="s">
        <v>110</v>
      </c>
      <c r="B95" s="249">
        <v>1</v>
      </c>
      <c r="C95" s="162">
        <v>2</v>
      </c>
      <c r="D95" s="162">
        <v>2</v>
      </c>
      <c r="E95" s="162">
        <v>2</v>
      </c>
      <c r="F95" s="162">
        <v>4</v>
      </c>
      <c r="G95" s="162"/>
      <c r="H95" s="162">
        <v>1</v>
      </c>
      <c r="I95" s="162"/>
      <c r="J95" s="162"/>
      <c r="K95" s="162"/>
      <c r="L95" s="162"/>
      <c r="M95" s="162"/>
      <c r="N95" s="162"/>
      <c r="O95" s="162"/>
      <c r="P95" s="162"/>
      <c r="Q95" s="162"/>
      <c r="R95" s="162"/>
      <c r="S95" s="162"/>
      <c r="T95" s="162"/>
      <c r="U95" s="162"/>
      <c r="V95" s="162"/>
      <c r="W95" s="162"/>
      <c r="X95" s="162"/>
      <c r="Y95" s="162"/>
      <c r="Z95" s="162"/>
      <c r="AA95" s="162"/>
      <c r="AB95" s="162"/>
      <c r="AC95" s="162"/>
      <c r="AD95" s="162"/>
      <c r="AE95" s="162"/>
      <c r="AF95" s="161"/>
      <c r="AG95" s="64">
        <f t="shared" si="5"/>
        <v>12</v>
      </c>
    </row>
    <row r="96" spans="1:35" ht="18.75" x14ac:dyDescent="0.25">
      <c r="A96" s="317" t="s">
        <v>109</v>
      </c>
      <c r="B96" s="249">
        <v>3</v>
      </c>
      <c r="C96" s="162">
        <v>2</v>
      </c>
      <c r="D96" s="162"/>
      <c r="E96" s="162">
        <v>3</v>
      </c>
      <c r="F96" s="162"/>
      <c r="G96" s="162"/>
      <c r="H96" s="162">
        <v>1</v>
      </c>
      <c r="I96" s="162">
        <v>4</v>
      </c>
      <c r="J96" s="162"/>
      <c r="K96" s="162"/>
      <c r="L96" s="162"/>
      <c r="M96" s="162"/>
      <c r="N96" s="162"/>
      <c r="O96" s="162"/>
      <c r="P96" s="162"/>
      <c r="Q96" s="162"/>
      <c r="R96" s="162"/>
      <c r="S96" s="176"/>
      <c r="T96" s="162"/>
      <c r="U96" s="162"/>
      <c r="V96" s="162"/>
      <c r="W96" s="162"/>
      <c r="X96" s="162"/>
      <c r="Y96" s="162"/>
      <c r="Z96" s="162"/>
      <c r="AA96" s="162"/>
      <c r="AB96" s="162"/>
      <c r="AC96" s="162"/>
      <c r="AD96" s="162"/>
      <c r="AE96" s="162"/>
      <c r="AF96" s="161"/>
      <c r="AG96" s="64">
        <f t="shared" si="5"/>
        <v>13</v>
      </c>
    </row>
    <row r="97" spans="1:33" ht="18.75" x14ac:dyDescent="0.25">
      <c r="A97" s="318" t="s">
        <v>108</v>
      </c>
      <c r="B97" s="249">
        <v>5</v>
      </c>
      <c r="C97" s="162">
        <v>7</v>
      </c>
      <c r="D97" s="162">
        <v>6</v>
      </c>
      <c r="E97" s="162">
        <v>6</v>
      </c>
      <c r="F97" s="162">
        <v>5</v>
      </c>
      <c r="G97" s="162">
        <v>9</v>
      </c>
      <c r="H97" s="162">
        <v>11</v>
      </c>
      <c r="I97" s="162">
        <v>5</v>
      </c>
      <c r="J97" s="162"/>
      <c r="K97" s="162"/>
      <c r="L97" s="162"/>
      <c r="M97" s="162"/>
      <c r="N97" s="162"/>
      <c r="O97" s="162"/>
      <c r="P97" s="162"/>
      <c r="Q97" s="162"/>
      <c r="R97" s="162"/>
      <c r="S97" s="162"/>
      <c r="T97" s="162"/>
      <c r="U97" s="162"/>
      <c r="V97" s="162"/>
      <c r="W97" s="162"/>
      <c r="X97" s="162"/>
      <c r="Y97" s="162"/>
      <c r="Z97" s="162"/>
      <c r="AA97" s="162"/>
      <c r="AB97" s="162"/>
      <c r="AC97" s="162"/>
      <c r="AD97" s="162"/>
      <c r="AE97" s="162"/>
      <c r="AF97" s="161"/>
      <c r="AG97" s="64">
        <f t="shared" si="5"/>
        <v>54</v>
      </c>
    </row>
    <row r="98" spans="1:33" ht="18.75" x14ac:dyDescent="0.25">
      <c r="A98" s="319" t="s">
        <v>107</v>
      </c>
      <c r="B98" s="249">
        <v>2</v>
      </c>
      <c r="C98" s="162">
        <v>1</v>
      </c>
      <c r="D98" s="162">
        <v>1</v>
      </c>
      <c r="E98" s="162">
        <v>5</v>
      </c>
      <c r="F98" s="162">
        <v>2</v>
      </c>
      <c r="G98" s="162">
        <v>10</v>
      </c>
      <c r="H98" s="162">
        <v>9</v>
      </c>
      <c r="I98" s="162">
        <v>7</v>
      </c>
      <c r="J98" s="162"/>
      <c r="K98" s="162"/>
      <c r="L98" s="162"/>
      <c r="M98" s="162"/>
      <c r="N98" s="162"/>
      <c r="O98" s="162"/>
      <c r="P98" s="162"/>
      <c r="Q98" s="162"/>
      <c r="R98" s="162"/>
      <c r="S98" s="162"/>
      <c r="T98" s="162"/>
      <c r="U98" s="162"/>
      <c r="V98" s="162"/>
      <c r="W98" s="162"/>
      <c r="X98" s="162"/>
      <c r="Y98" s="162"/>
      <c r="Z98" s="162"/>
      <c r="AA98" s="162"/>
      <c r="AB98" s="162"/>
      <c r="AC98" s="162"/>
      <c r="AD98" s="162"/>
      <c r="AE98" s="162"/>
      <c r="AF98" s="161"/>
      <c r="AG98" s="64">
        <f t="shared" si="5"/>
        <v>37</v>
      </c>
    </row>
    <row r="99" spans="1:33" ht="18.75" x14ac:dyDescent="0.25">
      <c r="A99" s="320" t="s">
        <v>106</v>
      </c>
      <c r="B99" s="249">
        <v>9</v>
      </c>
      <c r="C99" s="162">
        <v>2</v>
      </c>
      <c r="D99" s="162">
        <v>7</v>
      </c>
      <c r="E99" s="162">
        <v>4</v>
      </c>
      <c r="F99" s="162">
        <v>4</v>
      </c>
      <c r="G99" s="162">
        <v>6</v>
      </c>
      <c r="H99" s="162">
        <v>8</v>
      </c>
      <c r="I99" s="162">
        <v>8</v>
      </c>
      <c r="J99" s="162"/>
      <c r="K99" s="162"/>
      <c r="L99" s="162"/>
      <c r="M99" s="162"/>
      <c r="N99" s="162"/>
      <c r="O99" s="162"/>
      <c r="P99" s="162"/>
      <c r="Q99" s="162"/>
      <c r="R99" s="162"/>
      <c r="S99" s="162"/>
      <c r="T99" s="162"/>
      <c r="U99" s="162"/>
      <c r="V99" s="162"/>
      <c r="W99" s="162"/>
      <c r="X99" s="162"/>
      <c r="Y99" s="162"/>
      <c r="Z99" s="162"/>
      <c r="AA99" s="162"/>
      <c r="AB99" s="162"/>
      <c r="AC99" s="162"/>
      <c r="AD99" s="162"/>
      <c r="AE99" s="162"/>
      <c r="AF99" s="161"/>
      <c r="AG99" s="64">
        <f t="shared" ref="AG99:AG130" si="15">SUM(B99:AF99)</f>
        <v>48</v>
      </c>
    </row>
    <row r="100" spans="1:33" ht="18.75" x14ac:dyDescent="0.25">
      <c r="A100" s="66" t="s">
        <v>105</v>
      </c>
      <c r="B100" s="262">
        <f t="shared" ref="B100:AF100" si="16">SUM(B101:B115)</f>
        <v>135</v>
      </c>
      <c r="C100" s="68">
        <f t="shared" si="16"/>
        <v>136</v>
      </c>
      <c r="D100" s="68">
        <f t="shared" si="16"/>
        <v>136</v>
      </c>
      <c r="E100" s="68">
        <f t="shared" si="16"/>
        <v>147</v>
      </c>
      <c r="F100" s="68">
        <f t="shared" si="16"/>
        <v>135</v>
      </c>
      <c r="G100" s="68">
        <f t="shared" si="16"/>
        <v>149</v>
      </c>
      <c r="H100" s="68">
        <f t="shared" si="16"/>
        <v>136</v>
      </c>
      <c r="I100" s="68">
        <f t="shared" si="16"/>
        <v>158</v>
      </c>
      <c r="J100" s="68">
        <f t="shared" si="16"/>
        <v>0</v>
      </c>
      <c r="K100" s="68">
        <f t="shared" si="16"/>
        <v>0</v>
      </c>
      <c r="L100" s="68">
        <f t="shared" si="16"/>
        <v>0</v>
      </c>
      <c r="M100" s="68">
        <f t="shared" si="16"/>
        <v>0</v>
      </c>
      <c r="N100" s="68">
        <f t="shared" si="16"/>
        <v>0</v>
      </c>
      <c r="O100" s="68">
        <f t="shared" si="16"/>
        <v>0</v>
      </c>
      <c r="P100" s="68">
        <f t="shared" si="16"/>
        <v>0</v>
      </c>
      <c r="Q100" s="68">
        <f t="shared" si="16"/>
        <v>0</v>
      </c>
      <c r="R100" s="68">
        <f t="shared" si="16"/>
        <v>0</v>
      </c>
      <c r="S100" s="68">
        <f t="shared" si="16"/>
        <v>0</v>
      </c>
      <c r="T100" s="68">
        <f t="shared" si="16"/>
        <v>0</v>
      </c>
      <c r="U100" s="68">
        <f t="shared" si="16"/>
        <v>0</v>
      </c>
      <c r="V100" s="68">
        <f t="shared" si="16"/>
        <v>0</v>
      </c>
      <c r="W100" s="68">
        <f t="shared" si="16"/>
        <v>0</v>
      </c>
      <c r="X100" s="68">
        <f t="shared" si="16"/>
        <v>0</v>
      </c>
      <c r="Y100" s="68">
        <f t="shared" si="16"/>
        <v>0</v>
      </c>
      <c r="Z100" s="68">
        <f t="shared" si="16"/>
        <v>0</v>
      </c>
      <c r="AA100" s="68">
        <f t="shared" si="16"/>
        <v>0</v>
      </c>
      <c r="AB100" s="68">
        <f t="shared" si="16"/>
        <v>0</v>
      </c>
      <c r="AC100" s="68">
        <f t="shared" si="16"/>
        <v>0</v>
      </c>
      <c r="AD100" s="68">
        <f t="shared" si="16"/>
        <v>0</v>
      </c>
      <c r="AE100" s="68">
        <f t="shared" si="16"/>
        <v>0</v>
      </c>
      <c r="AF100" s="67">
        <f t="shared" si="16"/>
        <v>0</v>
      </c>
      <c r="AG100" s="64">
        <f t="shared" si="15"/>
        <v>1132</v>
      </c>
    </row>
    <row r="101" spans="1:33" ht="18.75" x14ac:dyDescent="0.25">
      <c r="A101" s="320" t="s">
        <v>104</v>
      </c>
      <c r="B101" s="249">
        <v>7</v>
      </c>
      <c r="C101" s="162">
        <v>11</v>
      </c>
      <c r="D101" s="162">
        <v>12</v>
      </c>
      <c r="E101" s="162">
        <v>10</v>
      </c>
      <c r="F101" s="162">
        <v>9</v>
      </c>
      <c r="G101" s="162">
        <v>13</v>
      </c>
      <c r="H101" s="162">
        <v>18</v>
      </c>
      <c r="I101" s="162">
        <v>10</v>
      </c>
      <c r="J101" s="162"/>
      <c r="K101" s="162"/>
      <c r="L101" s="162"/>
      <c r="M101" s="162"/>
      <c r="N101" s="162"/>
      <c r="O101" s="162"/>
      <c r="P101" s="162"/>
      <c r="Q101" s="162"/>
      <c r="R101" s="162"/>
      <c r="S101" s="162"/>
      <c r="T101" s="162"/>
      <c r="U101" s="162"/>
      <c r="V101" s="162"/>
      <c r="W101" s="162"/>
      <c r="X101" s="162"/>
      <c r="Y101" s="162"/>
      <c r="Z101" s="162"/>
      <c r="AA101" s="162"/>
      <c r="AB101" s="162"/>
      <c r="AC101" s="162"/>
      <c r="AD101" s="162"/>
      <c r="AE101" s="162"/>
      <c r="AF101" s="161"/>
      <c r="AG101" s="64">
        <f t="shared" si="15"/>
        <v>90</v>
      </c>
    </row>
    <row r="102" spans="1:33" ht="18.75" x14ac:dyDescent="0.25">
      <c r="A102" s="320" t="s">
        <v>103</v>
      </c>
      <c r="B102" s="249">
        <v>13</v>
      </c>
      <c r="C102" s="162">
        <v>21</v>
      </c>
      <c r="D102" s="162">
        <v>13</v>
      </c>
      <c r="E102" s="162">
        <v>10</v>
      </c>
      <c r="F102" s="162">
        <v>12</v>
      </c>
      <c r="G102" s="162">
        <v>15</v>
      </c>
      <c r="H102" s="162">
        <v>19</v>
      </c>
      <c r="I102" s="162">
        <v>17</v>
      </c>
      <c r="J102" s="162"/>
      <c r="K102" s="162"/>
      <c r="L102" s="162"/>
      <c r="M102" s="162"/>
      <c r="N102" s="162"/>
      <c r="O102" s="162"/>
      <c r="P102" s="162"/>
      <c r="Q102" s="162"/>
      <c r="R102" s="162"/>
      <c r="S102" s="162"/>
      <c r="T102" s="162"/>
      <c r="U102" s="162"/>
      <c r="V102" s="162"/>
      <c r="W102" s="162"/>
      <c r="X102" s="162"/>
      <c r="Y102" s="162"/>
      <c r="Z102" s="162"/>
      <c r="AA102" s="162"/>
      <c r="AB102" s="162"/>
      <c r="AC102" s="162"/>
      <c r="AD102" s="162"/>
      <c r="AE102" s="162"/>
      <c r="AF102" s="161"/>
      <c r="AG102" s="64">
        <f t="shared" si="15"/>
        <v>120</v>
      </c>
    </row>
    <row r="103" spans="1:33" ht="18.75" x14ac:dyDescent="0.25">
      <c r="A103" s="321" t="s">
        <v>102</v>
      </c>
      <c r="B103" s="249">
        <v>18</v>
      </c>
      <c r="C103" s="162">
        <v>20</v>
      </c>
      <c r="D103" s="162">
        <v>14</v>
      </c>
      <c r="E103" s="162">
        <v>13</v>
      </c>
      <c r="F103" s="162">
        <v>8</v>
      </c>
      <c r="G103" s="162">
        <v>12</v>
      </c>
      <c r="H103" s="162">
        <v>13</v>
      </c>
      <c r="I103" s="162">
        <v>21</v>
      </c>
      <c r="J103" s="162"/>
      <c r="K103" s="162"/>
      <c r="L103" s="162"/>
      <c r="M103" s="162"/>
      <c r="N103" s="162"/>
      <c r="O103" s="162"/>
      <c r="P103" s="162"/>
      <c r="Q103" s="162"/>
      <c r="R103" s="162"/>
      <c r="S103" s="162"/>
      <c r="T103" s="162"/>
      <c r="U103" s="162"/>
      <c r="V103" s="162"/>
      <c r="W103" s="162"/>
      <c r="X103" s="162"/>
      <c r="Y103" s="162"/>
      <c r="Z103" s="162"/>
      <c r="AA103" s="162"/>
      <c r="AB103" s="162"/>
      <c r="AC103" s="162"/>
      <c r="AD103" s="162"/>
      <c r="AE103" s="162"/>
      <c r="AF103" s="161"/>
      <c r="AG103" s="64">
        <f t="shared" si="15"/>
        <v>119</v>
      </c>
    </row>
    <row r="104" spans="1:33" ht="18.75" x14ac:dyDescent="0.25">
      <c r="A104" s="321" t="s">
        <v>101</v>
      </c>
      <c r="B104" s="249">
        <v>9</v>
      </c>
      <c r="C104" s="162">
        <v>6</v>
      </c>
      <c r="D104" s="162">
        <v>16</v>
      </c>
      <c r="E104" s="162">
        <v>16</v>
      </c>
      <c r="F104" s="162">
        <v>15</v>
      </c>
      <c r="G104" s="162">
        <v>22</v>
      </c>
      <c r="H104" s="162">
        <v>11</v>
      </c>
      <c r="I104" s="162">
        <v>16</v>
      </c>
      <c r="J104" s="162"/>
      <c r="K104" s="162"/>
      <c r="L104" s="162"/>
      <c r="M104" s="162"/>
      <c r="N104" s="162"/>
      <c r="O104" s="162"/>
      <c r="P104" s="162"/>
      <c r="Q104" s="162"/>
      <c r="R104" s="162"/>
      <c r="S104" s="162"/>
      <c r="T104" s="162"/>
      <c r="U104" s="162"/>
      <c r="V104" s="162"/>
      <c r="W104" s="162"/>
      <c r="X104" s="162"/>
      <c r="Y104" s="162"/>
      <c r="Z104" s="162"/>
      <c r="AA104" s="162"/>
      <c r="AB104" s="162"/>
      <c r="AC104" s="162"/>
      <c r="AD104" s="162"/>
      <c r="AE104" s="162"/>
      <c r="AF104" s="161"/>
      <c r="AG104" s="64">
        <f t="shared" si="15"/>
        <v>111</v>
      </c>
    </row>
    <row r="105" spans="1:33" ht="18.75" x14ac:dyDescent="0.25">
      <c r="A105" s="321" t="s">
        <v>100</v>
      </c>
      <c r="B105" s="249">
        <v>10</v>
      </c>
      <c r="C105" s="162">
        <v>9</v>
      </c>
      <c r="D105" s="162">
        <v>8</v>
      </c>
      <c r="E105" s="162">
        <v>12</v>
      </c>
      <c r="F105" s="162">
        <v>13</v>
      </c>
      <c r="G105" s="162">
        <v>12</v>
      </c>
      <c r="H105" s="162">
        <v>9</v>
      </c>
      <c r="I105" s="162">
        <v>12</v>
      </c>
      <c r="J105" s="162"/>
      <c r="K105" s="162"/>
      <c r="L105" s="162"/>
      <c r="M105" s="162"/>
      <c r="N105" s="162"/>
      <c r="O105" s="162"/>
      <c r="P105" s="162"/>
      <c r="Q105" s="162"/>
      <c r="R105" s="162"/>
      <c r="S105" s="162"/>
      <c r="T105" s="162"/>
      <c r="U105" s="162"/>
      <c r="V105" s="162"/>
      <c r="W105" s="162"/>
      <c r="X105" s="162"/>
      <c r="Y105" s="162"/>
      <c r="Z105" s="162"/>
      <c r="AA105" s="162"/>
      <c r="AB105" s="162"/>
      <c r="AC105" s="162"/>
      <c r="AD105" s="162"/>
      <c r="AE105" s="162"/>
      <c r="AF105" s="161"/>
      <c r="AG105" s="64">
        <f t="shared" si="15"/>
        <v>85</v>
      </c>
    </row>
    <row r="106" spans="1:33" ht="18.75" x14ac:dyDescent="0.25">
      <c r="A106" s="321" t="s">
        <v>99</v>
      </c>
      <c r="B106" s="249">
        <v>13</v>
      </c>
      <c r="C106" s="162">
        <v>14</v>
      </c>
      <c r="D106" s="162">
        <v>10</v>
      </c>
      <c r="E106" s="162">
        <v>11</v>
      </c>
      <c r="F106" s="162">
        <v>13</v>
      </c>
      <c r="G106" s="162">
        <v>13</v>
      </c>
      <c r="H106" s="162">
        <v>15</v>
      </c>
      <c r="I106" s="162">
        <v>12</v>
      </c>
      <c r="J106" s="162"/>
      <c r="K106" s="162"/>
      <c r="L106" s="162"/>
      <c r="M106" s="162"/>
      <c r="N106" s="162"/>
      <c r="O106" s="162"/>
      <c r="P106" s="162"/>
      <c r="Q106" s="162"/>
      <c r="R106" s="162"/>
      <c r="S106" s="162"/>
      <c r="T106" s="162"/>
      <c r="U106" s="162"/>
      <c r="V106" s="162"/>
      <c r="W106" s="162"/>
      <c r="X106" s="162"/>
      <c r="Y106" s="162"/>
      <c r="Z106" s="162"/>
      <c r="AA106" s="162"/>
      <c r="AB106" s="162"/>
      <c r="AC106" s="162"/>
      <c r="AD106" s="162"/>
      <c r="AE106" s="162"/>
      <c r="AF106" s="161"/>
      <c r="AG106" s="64">
        <f t="shared" si="15"/>
        <v>101</v>
      </c>
    </row>
    <row r="107" spans="1:33" ht="18.75" x14ac:dyDescent="0.25">
      <c r="A107" s="321" t="s">
        <v>98</v>
      </c>
      <c r="B107" s="249">
        <v>12</v>
      </c>
      <c r="C107" s="162">
        <v>12</v>
      </c>
      <c r="D107" s="162">
        <v>10</v>
      </c>
      <c r="E107" s="162">
        <v>9</v>
      </c>
      <c r="F107" s="162">
        <v>11</v>
      </c>
      <c r="G107" s="162">
        <v>8</v>
      </c>
      <c r="H107" s="162">
        <v>7</v>
      </c>
      <c r="I107" s="162">
        <v>13</v>
      </c>
      <c r="J107" s="162"/>
      <c r="K107" s="162"/>
      <c r="L107" s="162"/>
      <c r="M107" s="162"/>
      <c r="N107" s="162"/>
      <c r="O107" s="162"/>
      <c r="P107" s="162"/>
      <c r="Q107" s="162"/>
      <c r="R107" s="162"/>
      <c r="S107" s="162"/>
      <c r="T107" s="162"/>
      <c r="U107" s="162"/>
      <c r="V107" s="162"/>
      <c r="W107" s="162"/>
      <c r="X107" s="162"/>
      <c r="Y107" s="162"/>
      <c r="Z107" s="162"/>
      <c r="AA107" s="162"/>
      <c r="AB107" s="162"/>
      <c r="AC107" s="162"/>
      <c r="AD107" s="162"/>
      <c r="AE107" s="162"/>
      <c r="AF107" s="161"/>
      <c r="AG107" s="64">
        <f t="shared" si="15"/>
        <v>82</v>
      </c>
    </row>
    <row r="108" spans="1:33" ht="18.75" x14ac:dyDescent="0.25">
      <c r="A108" s="321" t="s">
        <v>97</v>
      </c>
      <c r="B108" s="249">
        <v>14</v>
      </c>
      <c r="C108" s="162">
        <v>10</v>
      </c>
      <c r="D108" s="162">
        <v>9</v>
      </c>
      <c r="E108" s="162">
        <v>10</v>
      </c>
      <c r="F108" s="162">
        <v>9</v>
      </c>
      <c r="G108" s="162">
        <v>8</v>
      </c>
      <c r="H108" s="162">
        <v>12</v>
      </c>
      <c r="I108" s="162">
        <v>13</v>
      </c>
      <c r="J108" s="162"/>
      <c r="K108" s="162"/>
      <c r="L108" s="162"/>
      <c r="M108" s="162"/>
      <c r="N108" s="162"/>
      <c r="O108" s="162"/>
      <c r="P108" s="162"/>
      <c r="Q108" s="162"/>
      <c r="R108" s="162"/>
      <c r="S108" s="162"/>
      <c r="T108" s="162"/>
      <c r="U108" s="162"/>
      <c r="V108" s="162"/>
      <c r="W108" s="162"/>
      <c r="X108" s="162"/>
      <c r="Y108" s="162"/>
      <c r="Z108" s="162"/>
      <c r="AA108" s="162"/>
      <c r="AB108" s="162"/>
      <c r="AC108" s="162"/>
      <c r="AD108" s="162"/>
      <c r="AE108" s="162"/>
      <c r="AF108" s="161"/>
      <c r="AG108" s="64">
        <f t="shared" si="15"/>
        <v>85</v>
      </c>
    </row>
    <row r="109" spans="1:33" ht="18.75" x14ac:dyDescent="0.25">
      <c r="A109" s="321" t="s">
        <v>96</v>
      </c>
      <c r="B109" s="249">
        <v>7</v>
      </c>
      <c r="C109" s="162">
        <v>7</v>
      </c>
      <c r="D109" s="162">
        <v>8</v>
      </c>
      <c r="E109" s="162">
        <v>10</v>
      </c>
      <c r="F109" s="162">
        <v>10</v>
      </c>
      <c r="G109" s="162">
        <v>7</v>
      </c>
      <c r="H109" s="162">
        <v>4</v>
      </c>
      <c r="I109" s="162">
        <v>13</v>
      </c>
      <c r="J109" s="162"/>
      <c r="K109" s="162"/>
      <c r="L109" s="162"/>
      <c r="M109" s="162"/>
      <c r="N109" s="162"/>
      <c r="O109" s="162"/>
      <c r="P109" s="162"/>
      <c r="Q109" s="162"/>
      <c r="R109" s="162"/>
      <c r="S109" s="162"/>
      <c r="T109" s="162"/>
      <c r="U109" s="162"/>
      <c r="V109" s="162"/>
      <c r="W109" s="162"/>
      <c r="X109" s="162"/>
      <c r="Y109" s="162"/>
      <c r="Z109" s="162"/>
      <c r="AA109" s="162"/>
      <c r="AB109" s="162"/>
      <c r="AC109" s="162"/>
      <c r="AD109" s="162"/>
      <c r="AE109" s="162"/>
      <c r="AF109" s="161"/>
      <c r="AG109" s="64">
        <f t="shared" si="15"/>
        <v>66</v>
      </c>
    </row>
    <row r="110" spans="1:33" ht="18.75" x14ac:dyDescent="0.25">
      <c r="A110" s="321" t="s">
        <v>95</v>
      </c>
      <c r="B110" s="249">
        <v>9</v>
      </c>
      <c r="C110" s="162">
        <v>6</v>
      </c>
      <c r="D110" s="162">
        <v>9</v>
      </c>
      <c r="E110" s="162">
        <v>13</v>
      </c>
      <c r="F110" s="162">
        <v>12</v>
      </c>
      <c r="G110" s="162">
        <v>11</v>
      </c>
      <c r="H110" s="162">
        <v>9</v>
      </c>
      <c r="I110" s="162">
        <v>8</v>
      </c>
      <c r="J110" s="162"/>
      <c r="K110" s="162"/>
      <c r="L110" s="162"/>
      <c r="M110" s="162"/>
      <c r="N110" s="162"/>
      <c r="O110" s="162"/>
      <c r="P110" s="162"/>
      <c r="Q110" s="162"/>
      <c r="R110" s="162"/>
      <c r="S110" s="162"/>
      <c r="T110" s="162"/>
      <c r="U110" s="162"/>
      <c r="V110" s="162"/>
      <c r="W110" s="162"/>
      <c r="X110" s="162"/>
      <c r="Y110" s="162"/>
      <c r="Z110" s="162"/>
      <c r="AA110" s="162"/>
      <c r="AB110" s="162"/>
      <c r="AC110" s="162"/>
      <c r="AD110" s="162"/>
      <c r="AE110" s="162"/>
      <c r="AF110" s="161"/>
      <c r="AG110" s="64">
        <f t="shared" si="15"/>
        <v>77</v>
      </c>
    </row>
    <row r="111" spans="1:33" ht="18.75" x14ac:dyDescent="0.25">
      <c r="A111" s="321" t="s">
        <v>94</v>
      </c>
      <c r="B111" s="249">
        <v>12</v>
      </c>
      <c r="C111" s="162">
        <v>6</v>
      </c>
      <c r="D111" s="162">
        <v>10</v>
      </c>
      <c r="E111" s="162">
        <v>6</v>
      </c>
      <c r="F111" s="162">
        <v>10</v>
      </c>
      <c r="G111" s="162">
        <v>9</v>
      </c>
      <c r="H111" s="162">
        <v>8</v>
      </c>
      <c r="I111" s="162">
        <v>6</v>
      </c>
      <c r="J111" s="162"/>
      <c r="K111" s="162"/>
      <c r="L111" s="162"/>
      <c r="M111" s="162"/>
      <c r="N111" s="162"/>
      <c r="O111" s="162"/>
      <c r="P111" s="162"/>
      <c r="Q111" s="162"/>
      <c r="R111" s="162"/>
      <c r="S111" s="162"/>
      <c r="T111" s="162"/>
      <c r="U111" s="162"/>
      <c r="V111" s="162"/>
      <c r="W111" s="162"/>
      <c r="X111" s="162"/>
      <c r="Y111" s="162"/>
      <c r="Z111" s="162"/>
      <c r="AA111" s="162"/>
      <c r="AB111" s="162"/>
      <c r="AC111" s="162"/>
      <c r="AD111" s="162"/>
      <c r="AE111" s="162"/>
      <c r="AF111" s="161"/>
      <c r="AG111" s="64">
        <f t="shared" si="15"/>
        <v>67</v>
      </c>
    </row>
    <row r="112" spans="1:33" ht="18.75" x14ac:dyDescent="0.25">
      <c r="A112" s="321" t="s">
        <v>93</v>
      </c>
      <c r="B112" s="249">
        <v>2</v>
      </c>
      <c r="C112" s="162">
        <v>4</v>
      </c>
      <c r="D112" s="162">
        <v>4</v>
      </c>
      <c r="E112" s="162">
        <v>8</v>
      </c>
      <c r="F112" s="162">
        <v>4</v>
      </c>
      <c r="G112" s="162">
        <v>6</v>
      </c>
      <c r="H112" s="162">
        <v>5</v>
      </c>
      <c r="I112" s="162">
        <v>4</v>
      </c>
      <c r="J112" s="162"/>
      <c r="K112" s="162"/>
      <c r="L112" s="162"/>
      <c r="M112" s="162"/>
      <c r="N112" s="162"/>
      <c r="O112" s="162"/>
      <c r="P112" s="162"/>
      <c r="Q112" s="162"/>
      <c r="R112" s="162"/>
      <c r="S112" s="162"/>
      <c r="T112" s="162"/>
      <c r="U112" s="162"/>
      <c r="V112" s="162"/>
      <c r="W112" s="162"/>
      <c r="X112" s="162"/>
      <c r="Y112" s="162"/>
      <c r="Z112" s="162"/>
      <c r="AA112" s="162"/>
      <c r="AB112" s="162"/>
      <c r="AC112" s="162"/>
      <c r="AD112" s="162"/>
      <c r="AE112" s="162"/>
      <c r="AF112" s="161"/>
      <c r="AG112" s="64">
        <f t="shared" si="15"/>
        <v>37</v>
      </c>
    </row>
    <row r="113" spans="1:33" ht="18.75" x14ac:dyDescent="0.25">
      <c r="A113" s="321" t="s">
        <v>92</v>
      </c>
      <c r="B113" s="249">
        <v>2</v>
      </c>
      <c r="C113" s="162">
        <v>4</v>
      </c>
      <c r="D113" s="162">
        <v>3</v>
      </c>
      <c r="E113" s="162">
        <v>8</v>
      </c>
      <c r="F113" s="162">
        <v>6</v>
      </c>
      <c r="G113" s="162">
        <v>4</v>
      </c>
      <c r="H113" s="162">
        <v>3</v>
      </c>
      <c r="I113" s="162">
        <v>9</v>
      </c>
      <c r="J113" s="162"/>
      <c r="K113" s="162"/>
      <c r="L113" s="162"/>
      <c r="M113" s="162"/>
      <c r="N113" s="162"/>
      <c r="O113" s="162"/>
      <c r="P113" s="162"/>
      <c r="Q113" s="162"/>
      <c r="R113" s="162"/>
      <c r="S113" s="162"/>
      <c r="T113" s="162"/>
      <c r="U113" s="162"/>
      <c r="V113" s="162"/>
      <c r="W113" s="162"/>
      <c r="X113" s="162"/>
      <c r="Y113" s="162"/>
      <c r="Z113" s="162"/>
      <c r="AA113" s="162"/>
      <c r="AB113" s="162"/>
      <c r="AC113" s="162"/>
      <c r="AD113" s="162"/>
      <c r="AE113" s="162"/>
      <c r="AF113" s="161"/>
      <c r="AG113" s="64">
        <f t="shared" si="15"/>
        <v>39</v>
      </c>
    </row>
    <row r="114" spans="1:33" ht="18.75" x14ac:dyDescent="0.25">
      <c r="A114" s="321" t="s">
        <v>91</v>
      </c>
      <c r="B114" s="249">
        <v>7</v>
      </c>
      <c r="C114" s="162">
        <v>6</v>
      </c>
      <c r="D114" s="162">
        <v>10</v>
      </c>
      <c r="E114" s="162">
        <v>11</v>
      </c>
      <c r="F114" s="162">
        <v>3</v>
      </c>
      <c r="G114" s="162">
        <v>9</v>
      </c>
      <c r="H114" s="162">
        <v>3</v>
      </c>
      <c r="I114" s="162">
        <v>4</v>
      </c>
      <c r="J114" s="162"/>
      <c r="K114" s="162"/>
      <c r="L114" s="162"/>
      <c r="M114" s="162"/>
      <c r="N114" s="162"/>
      <c r="O114" s="162"/>
      <c r="P114" s="162"/>
      <c r="Q114" s="162"/>
      <c r="R114" s="162"/>
      <c r="S114" s="162"/>
      <c r="T114" s="162"/>
      <c r="U114" s="162"/>
      <c r="V114" s="162"/>
      <c r="W114" s="162"/>
      <c r="X114" s="162"/>
      <c r="Y114" s="162"/>
      <c r="Z114" s="162"/>
      <c r="AA114" s="162"/>
      <c r="AB114" s="162"/>
      <c r="AC114" s="162"/>
      <c r="AD114" s="162"/>
      <c r="AE114" s="162"/>
      <c r="AF114" s="161"/>
      <c r="AG114" s="64">
        <f t="shared" si="15"/>
        <v>53</v>
      </c>
    </row>
    <row r="115" spans="1:33" ht="19.5" thickBot="1" x14ac:dyDescent="0.3">
      <c r="A115" s="322"/>
      <c r="B115" s="255"/>
      <c r="C115" s="169"/>
      <c r="D115" s="169"/>
      <c r="E115" s="169"/>
      <c r="F115" s="169"/>
      <c r="G115" s="169"/>
      <c r="H115" s="169"/>
      <c r="I115" s="169"/>
      <c r="J115" s="169"/>
      <c r="K115" s="169"/>
      <c r="L115" s="169"/>
      <c r="M115" s="169"/>
      <c r="N115" s="169"/>
      <c r="O115" s="169"/>
      <c r="P115" s="169"/>
      <c r="Q115" s="169"/>
      <c r="R115" s="169"/>
      <c r="S115" s="169"/>
      <c r="T115" s="169"/>
      <c r="U115" s="169"/>
      <c r="V115" s="169"/>
      <c r="W115" s="169"/>
      <c r="X115" s="169"/>
      <c r="Y115" s="169"/>
      <c r="Z115" s="169"/>
      <c r="AA115" s="169"/>
      <c r="AB115" s="169"/>
      <c r="AC115" s="169"/>
      <c r="AD115" s="169"/>
      <c r="AE115" s="169"/>
      <c r="AF115" s="168"/>
      <c r="AG115" s="64">
        <f t="shared" si="15"/>
        <v>0</v>
      </c>
    </row>
    <row r="116" spans="1:33" ht="18.75" x14ac:dyDescent="0.25">
      <c r="A116" s="315" t="s">
        <v>90</v>
      </c>
      <c r="B116" s="261">
        <f t="shared" ref="B116:AF116" si="17">SUM(B117:B129)</f>
        <v>41</v>
      </c>
      <c r="C116" s="166">
        <f t="shared" si="17"/>
        <v>27</v>
      </c>
      <c r="D116" s="166">
        <f t="shared" si="17"/>
        <v>24</v>
      </c>
      <c r="E116" s="166">
        <f t="shared" si="17"/>
        <v>48</v>
      </c>
      <c r="F116" s="166">
        <f t="shared" si="17"/>
        <v>46</v>
      </c>
      <c r="G116" s="166">
        <f t="shared" si="17"/>
        <v>34</v>
      </c>
      <c r="H116" s="166">
        <f t="shared" si="17"/>
        <v>42</v>
      </c>
      <c r="I116" s="166">
        <f t="shared" si="17"/>
        <v>58</v>
      </c>
      <c r="J116" s="166">
        <f t="shared" si="17"/>
        <v>0</v>
      </c>
      <c r="K116" s="166">
        <f t="shared" si="17"/>
        <v>0</v>
      </c>
      <c r="L116" s="166">
        <f t="shared" si="17"/>
        <v>0</v>
      </c>
      <c r="M116" s="166">
        <f t="shared" si="17"/>
        <v>0</v>
      </c>
      <c r="N116" s="166">
        <f t="shared" si="17"/>
        <v>0</v>
      </c>
      <c r="O116" s="166">
        <f t="shared" si="17"/>
        <v>0</v>
      </c>
      <c r="P116" s="166">
        <f t="shared" si="17"/>
        <v>0</v>
      </c>
      <c r="Q116" s="166">
        <f t="shared" si="17"/>
        <v>0</v>
      </c>
      <c r="R116" s="166">
        <f t="shared" si="17"/>
        <v>0</v>
      </c>
      <c r="S116" s="166">
        <f t="shared" si="17"/>
        <v>0</v>
      </c>
      <c r="T116" s="166">
        <f t="shared" si="17"/>
        <v>0</v>
      </c>
      <c r="U116" s="166">
        <f t="shared" si="17"/>
        <v>0</v>
      </c>
      <c r="V116" s="166">
        <f t="shared" si="17"/>
        <v>0</v>
      </c>
      <c r="W116" s="166">
        <f t="shared" si="17"/>
        <v>0</v>
      </c>
      <c r="X116" s="166">
        <f t="shared" si="17"/>
        <v>0</v>
      </c>
      <c r="Y116" s="166">
        <f t="shared" si="17"/>
        <v>0</v>
      </c>
      <c r="Z116" s="166">
        <f t="shared" si="17"/>
        <v>0</v>
      </c>
      <c r="AA116" s="166">
        <f t="shared" si="17"/>
        <v>0</v>
      </c>
      <c r="AB116" s="166">
        <f t="shared" si="17"/>
        <v>0</v>
      </c>
      <c r="AC116" s="166">
        <f t="shared" si="17"/>
        <v>0</v>
      </c>
      <c r="AD116" s="166">
        <f t="shared" si="17"/>
        <v>0</v>
      </c>
      <c r="AE116" s="166">
        <f t="shared" si="17"/>
        <v>0</v>
      </c>
      <c r="AF116" s="165">
        <f t="shared" si="17"/>
        <v>0</v>
      </c>
      <c r="AG116" s="64">
        <f t="shared" si="15"/>
        <v>320</v>
      </c>
    </row>
    <row r="117" spans="1:33" ht="18.75" x14ac:dyDescent="0.25">
      <c r="A117" s="323" t="s">
        <v>67</v>
      </c>
      <c r="B117" s="249">
        <v>24</v>
      </c>
      <c r="C117" s="162">
        <v>16</v>
      </c>
      <c r="D117" s="162">
        <v>18</v>
      </c>
      <c r="E117" s="162">
        <v>26</v>
      </c>
      <c r="F117" s="162">
        <v>27</v>
      </c>
      <c r="G117" s="162">
        <v>23</v>
      </c>
      <c r="H117" s="162">
        <v>24</v>
      </c>
      <c r="I117" s="162">
        <v>37</v>
      </c>
      <c r="J117" s="162"/>
      <c r="K117" s="162"/>
      <c r="L117" s="162"/>
      <c r="M117" s="162"/>
      <c r="N117" s="162"/>
      <c r="O117" s="162"/>
      <c r="P117" s="162"/>
      <c r="Q117" s="162"/>
      <c r="R117" s="162"/>
      <c r="S117" s="162"/>
      <c r="T117" s="162"/>
      <c r="U117" s="162"/>
      <c r="V117" s="162"/>
      <c r="W117" s="162"/>
      <c r="X117" s="162"/>
      <c r="Y117" s="162"/>
      <c r="Z117" s="162"/>
      <c r="AA117" s="162"/>
      <c r="AB117" s="162"/>
      <c r="AC117" s="162"/>
      <c r="AD117" s="162"/>
      <c r="AE117" s="162"/>
      <c r="AF117" s="161"/>
      <c r="AG117" s="64">
        <f t="shared" si="15"/>
        <v>195</v>
      </c>
    </row>
    <row r="118" spans="1:33" ht="19.5" hidden="1" customHeight="1" thickBot="1" x14ac:dyDescent="0.3">
      <c r="A118" s="323" t="s">
        <v>69</v>
      </c>
      <c r="B118" s="249"/>
      <c r="C118" s="162"/>
      <c r="D118" s="162"/>
      <c r="E118" s="162"/>
      <c r="F118" s="162"/>
      <c r="G118" s="162"/>
      <c r="H118" s="162"/>
      <c r="I118" s="162"/>
      <c r="J118" s="162"/>
      <c r="K118" s="162"/>
      <c r="L118" s="162"/>
      <c r="M118" s="162"/>
      <c r="N118" s="162"/>
      <c r="O118" s="162"/>
      <c r="P118" s="162"/>
      <c r="Q118" s="162"/>
      <c r="R118" s="162"/>
      <c r="S118" s="162"/>
      <c r="T118" s="162"/>
      <c r="U118" s="162"/>
      <c r="V118" s="162"/>
      <c r="W118" s="162"/>
      <c r="X118" s="162"/>
      <c r="Y118" s="162"/>
      <c r="Z118" s="162"/>
      <c r="AA118" s="162"/>
      <c r="AB118" s="162"/>
      <c r="AC118" s="162"/>
      <c r="AD118" s="162"/>
      <c r="AE118" s="162"/>
      <c r="AF118" s="161"/>
      <c r="AG118" s="64">
        <f t="shared" si="15"/>
        <v>0</v>
      </c>
    </row>
    <row r="119" spans="1:33" ht="19.5" hidden="1" customHeight="1" thickBot="1" x14ac:dyDescent="0.3">
      <c r="A119" s="323" t="s">
        <v>68</v>
      </c>
      <c r="B119" s="249"/>
      <c r="C119" s="162"/>
      <c r="D119" s="162"/>
      <c r="E119" s="162"/>
      <c r="F119" s="162"/>
      <c r="G119" s="162"/>
      <c r="H119" s="162"/>
      <c r="I119" s="162"/>
      <c r="J119" s="162"/>
      <c r="K119" s="162"/>
      <c r="L119" s="162"/>
      <c r="M119" s="162"/>
      <c r="N119" s="162"/>
      <c r="O119" s="162"/>
      <c r="P119" s="162"/>
      <c r="Q119" s="162"/>
      <c r="R119" s="162"/>
      <c r="S119" s="162"/>
      <c r="T119" s="162"/>
      <c r="U119" s="162"/>
      <c r="V119" s="162"/>
      <c r="W119" s="162"/>
      <c r="X119" s="162"/>
      <c r="Y119" s="162"/>
      <c r="Z119" s="162"/>
      <c r="AA119" s="162"/>
      <c r="AB119" s="162"/>
      <c r="AC119" s="162"/>
      <c r="AD119" s="162"/>
      <c r="AE119" s="162"/>
      <c r="AF119" s="161"/>
      <c r="AG119" s="64">
        <f t="shared" si="15"/>
        <v>0</v>
      </c>
    </row>
    <row r="120" spans="1:33" ht="19.5" hidden="1" customHeight="1" thickBot="1" x14ac:dyDescent="0.3">
      <c r="A120" s="323" t="s">
        <v>66</v>
      </c>
      <c r="B120" s="249"/>
      <c r="C120" s="162"/>
      <c r="D120" s="162"/>
      <c r="E120" s="162"/>
      <c r="F120" s="162"/>
      <c r="G120" s="162"/>
      <c r="H120" s="162"/>
      <c r="I120" s="162"/>
      <c r="J120" s="162"/>
      <c r="K120" s="162"/>
      <c r="L120" s="162"/>
      <c r="M120" s="162"/>
      <c r="N120" s="162"/>
      <c r="O120" s="162"/>
      <c r="P120" s="162"/>
      <c r="Q120" s="162"/>
      <c r="R120" s="162"/>
      <c r="S120" s="162"/>
      <c r="T120" s="162"/>
      <c r="U120" s="162"/>
      <c r="V120" s="162"/>
      <c r="W120" s="162"/>
      <c r="X120" s="162"/>
      <c r="Y120" s="162"/>
      <c r="Z120" s="162"/>
      <c r="AA120" s="162"/>
      <c r="AB120" s="162"/>
      <c r="AC120" s="162"/>
      <c r="AD120" s="162"/>
      <c r="AE120" s="162"/>
      <c r="AF120" s="161"/>
      <c r="AG120" s="64">
        <f t="shared" si="15"/>
        <v>0</v>
      </c>
    </row>
    <row r="121" spans="1:33" ht="19.5" hidden="1" customHeight="1" thickBot="1" x14ac:dyDescent="0.3">
      <c r="A121" s="323" t="s">
        <v>65</v>
      </c>
      <c r="B121" s="249"/>
      <c r="C121" s="162"/>
      <c r="D121" s="162"/>
      <c r="E121" s="162"/>
      <c r="F121" s="162"/>
      <c r="G121" s="162"/>
      <c r="H121" s="162"/>
      <c r="I121" s="162"/>
      <c r="J121" s="162"/>
      <c r="K121" s="162"/>
      <c r="L121" s="162"/>
      <c r="M121" s="162"/>
      <c r="N121" s="162"/>
      <c r="O121" s="162"/>
      <c r="P121" s="162"/>
      <c r="Q121" s="162"/>
      <c r="R121" s="162"/>
      <c r="S121" s="162"/>
      <c r="T121" s="162"/>
      <c r="U121" s="162"/>
      <c r="V121" s="162"/>
      <c r="W121" s="162"/>
      <c r="X121" s="162"/>
      <c r="Y121" s="162"/>
      <c r="Z121" s="162"/>
      <c r="AA121" s="162"/>
      <c r="AB121" s="162"/>
      <c r="AC121" s="162"/>
      <c r="AD121" s="162"/>
      <c r="AE121" s="162"/>
      <c r="AF121" s="161"/>
      <c r="AG121" s="64">
        <f t="shared" si="15"/>
        <v>0</v>
      </c>
    </row>
    <row r="122" spans="1:33" ht="19.5" hidden="1" customHeight="1" thickBot="1" x14ac:dyDescent="0.3">
      <c r="A122" s="323" t="s">
        <v>64</v>
      </c>
      <c r="B122" s="249"/>
      <c r="C122" s="162"/>
      <c r="D122" s="162"/>
      <c r="E122" s="162"/>
      <c r="F122" s="162"/>
      <c r="G122" s="162"/>
      <c r="H122" s="162"/>
      <c r="I122" s="162"/>
      <c r="J122" s="162"/>
      <c r="K122" s="162"/>
      <c r="L122" s="162"/>
      <c r="M122" s="162"/>
      <c r="N122" s="162"/>
      <c r="O122" s="162"/>
      <c r="P122" s="162"/>
      <c r="Q122" s="162"/>
      <c r="R122" s="162"/>
      <c r="S122" s="162"/>
      <c r="T122" s="162"/>
      <c r="U122" s="162"/>
      <c r="V122" s="162"/>
      <c r="W122" s="162"/>
      <c r="X122" s="162"/>
      <c r="Y122" s="162"/>
      <c r="Z122" s="162"/>
      <c r="AA122" s="162"/>
      <c r="AB122" s="162"/>
      <c r="AC122" s="162"/>
      <c r="AD122" s="162"/>
      <c r="AE122" s="162"/>
      <c r="AF122" s="161"/>
      <c r="AG122" s="64">
        <f t="shared" si="15"/>
        <v>0</v>
      </c>
    </row>
    <row r="123" spans="1:33" ht="19.5" hidden="1" customHeight="1" thickBot="1" x14ac:dyDescent="0.3">
      <c r="A123" s="323" t="s">
        <v>63</v>
      </c>
      <c r="B123" s="249"/>
      <c r="C123" s="162"/>
      <c r="D123" s="162"/>
      <c r="E123" s="162"/>
      <c r="F123" s="162"/>
      <c r="G123" s="162"/>
      <c r="H123" s="162"/>
      <c r="I123" s="162"/>
      <c r="J123" s="162"/>
      <c r="K123" s="162"/>
      <c r="L123" s="162"/>
      <c r="M123" s="162"/>
      <c r="N123" s="162"/>
      <c r="O123" s="162"/>
      <c r="P123" s="162"/>
      <c r="Q123" s="162"/>
      <c r="R123" s="162"/>
      <c r="S123" s="162"/>
      <c r="T123" s="162"/>
      <c r="U123" s="162"/>
      <c r="V123" s="162"/>
      <c r="W123" s="162"/>
      <c r="X123" s="162"/>
      <c r="Y123" s="162"/>
      <c r="Z123" s="162"/>
      <c r="AA123" s="162"/>
      <c r="AB123" s="162"/>
      <c r="AC123" s="162"/>
      <c r="AD123" s="162"/>
      <c r="AE123" s="162"/>
      <c r="AF123" s="161"/>
      <c r="AG123" s="64">
        <f t="shared" si="15"/>
        <v>0</v>
      </c>
    </row>
    <row r="124" spans="1:33" ht="19.5" hidden="1" customHeight="1" thickBot="1" x14ac:dyDescent="0.3">
      <c r="A124" s="323" t="s">
        <v>62</v>
      </c>
      <c r="B124" s="249"/>
      <c r="C124" s="162"/>
      <c r="D124" s="162"/>
      <c r="E124" s="162"/>
      <c r="F124" s="162"/>
      <c r="G124" s="162"/>
      <c r="H124" s="162"/>
      <c r="I124" s="162"/>
      <c r="J124" s="162"/>
      <c r="K124" s="162"/>
      <c r="L124" s="162"/>
      <c r="M124" s="162"/>
      <c r="N124" s="162"/>
      <c r="O124" s="162"/>
      <c r="P124" s="162"/>
      <c r="Q124" s="162"/>
      <c r="R124" s="162"/>
      <c r="S124" s="162"/>
      <c r="T124" s="162"/>
      <c r="U124" s="162"/>
      <c r="V124" s="162"/>
      <c r="W124" s="162"/>
      <c r="X124" s="162"/>
      <c r="Y124" s="162"/>
      <c r="Z124" s="162"/>
      <c r="AA124" s="162"/>
      <c r="AB124" s="162"/>
      <c r="AC124" s="162"/>
      <c r="AD124" s="162"/>
      <c r="AE124" s="162"/>
      <c r="AF124" s="161"/>
      <c r="AG124" s="64">
        <f t="shared" si="15"/>
        <v>0</v>
      </c>
    </row>
    <row r="125" spans="1:33" ht="19.5" hidden="1" customHeight="1" thickBot="1" x14ac:dyDescent="0.3">
      <c r="A125" s="301" t="s">
        <v>60</v>
      </c>
      <c r="B125" s="249"/>
      <c r="C125" s="162"/>
      <c r="D125" s="162"/>
      <c r="E125" s="162"/>
      <c r="F125" s="162"/>
      <c r="G125" s="162"/>
      <c r="H125" s="162"/>
      <c r="I125" s="162"/>
      <c r="J125" s="162"/>
      <c r="K125" s="162"/>
      <c r="L125" s="162"/>
      <c r="M125" s="162"/>
      <c r="N125" s="162"/>
      <c r="O125" s="162"/>
      <c r="P125" s="162"/>
      <c r="Q125" s="162"/>
      <c r="R125" s="162"/>
      <c r="S125" s="162"/>
      <c r="T125" s="162"/>
      <c r="U125" s="162"/>
      <c r="V125" s="162"/>
      <c r="W125" s="162"/>
      <c r="X125" s="162"/>
      <c r="Y125" s="162"/>
      <c r="Z125" s="162"/>
      <c r="AA125" s="162"/>
      <c r="AB125" s="162"/>
      <c r="AC125" s="162"/>
      <c r="AD125" s="162"/>
      <c r="AE125" s="162"/>
      <c r="AF125" s="161"/>
      <c r="AG125" s="64">
        <f t="shared" si="15"/>
        <v>0</v>
      </c>
    </row>
    <row r="126" spans="1:33" ht="19.5" hidden="1" customHeight="1" thickBot="1" x14ac:dyDescent="0.3">
      <c r="A126" s="301" t="s">
        <v>59</v>
      </c>
      <c r="B126" s="249"/>
      <c r="C126" s="162"/>
      <c r="D126" s="162"/>
      <c r="E126" s="162"/>
      <c r="F126" s="162"/>
      <c r="G126" s="162"/>
      <c r="H126" s="162"/>
      <c r="I126" s="162"/>
      <c r="J126" s="162"/>
      <c r="K126" s="162"/>
      <c r="L126" s="162"/>
      <c r="M126" s="162"/>
      <c r="N126" s="162"/>
      <c r="O126" s="162"/>
      <c r="P126" s="162"/>
      <c r="Q126" s="162"/>
      <c r="R126" s="162"/>
      <c r="S126" s="162"/>
      <c r="T126" s="162"/>
      <c r="U126" s="162"/>
      <c r="V126" s="162"/>
      <c r="W126" s="162"/>
      <c r="X126" s="162"/>
      <c r="Y126" s="162"/>
      <c r="Z126" s="162"/>
      <c r="AA126" s="162"/>
      <c r="AB126" s="162"/>
      <c r="AC126" s="162"/>
      <c r="AD126" s="162"/>
      <c r="AE126" s="162"/>
      <c r="AF126" s="161"/>
      <c r="AG126" s="64">
        <f t="shared" si="15"/>
        <v>0</v>
      </c>
    </row>
    <row r="127" spans="1:33" ht="19.5" hidden="1" customHeight="1" thickBot="1" x14ac:dyDescent="0.3">
      <c r="A127" s="301" t="s">
        <v>58</v>
      </c>
      <c r="B127" s="249"/>
      <c r="C127" s="162"/>
      <c r="D127" s="162"/>
      <c r="E127" s="162"/>
      <c r="F127" s="162"/>
      <c r="G127" s="162"/>
      <c r="H127" s="162"/>
      <c r="I127" s="162"/>
      <c r="J127" s="162"/>
      <c r="K127" s="162"/>
      <c r="L127" s="162"/>
      <c r="M127" s="162"/>
      <c r="N127" s="162"/>
      <c r="O127" s="162"/>
      <c r="P127" s="162"/>
      <c r="Q127" s="162"/>
      <c r="R127" s="162"/>
      <c r="S127" s="162"/>
      <c r="T127" s="162"/>
      <c r="U127" s="162"/>
      <c r="V127" s="162"/>
      <c r="W127" s="162"/>
      <c r="X127" s="162"/>
      <c r="Y127" s="162"/>
      <c r="Z127" s="162"/>
      <c r="AA127" s="162"/>
      <c r="AB127" s="162"/>
      <c r="AC127" s="162"/>
      <c r="AD127" s="162"/>
      <c r="AE127" s="162"/>
      <c r="AF127" s="161"/>
      <c r="AG127" s="64">
        <f t="shared" si="15"/>
        <v>0</v>
      </c>
    </row>
    <row r="128" spans="1:33" ht="19.5" hidden="1" customHeight="1" thickBot="1" x14ac:dyDescent="0.3">
      <c r="A128" s="323" t="s">
        <v>88</v>
      </c>
      <c r="B128" s="249"/>
      <c r="C128" s="162"/>
      <c r="D128" s="162"/>
      <c r="E128" s="162"/>
      <c r="F128" s="162"/>
      <c r="G128" s="162"/>
      <c r="H128" s="162"/>
      <c r="I128" s="162"/>
      <c r="J128" s="162"/>
      <c r="K128" s="162"/>
      <c r="L128" s="162"/>
      <c r="M128" s="162"/>
      <c r="N128" s="162"/>
      <c r="O128" s="162"/>
      <c r="P128" s="162"/>
      <c r="Q128" s="162"/>
      <c r="R128" s="162"/>
      <c r="S128" s="162"/>
      <c r="T128" s="162"/>
      <c r="U128" s="162"/>
      <c r="V128" s="162"/>
      <c r="W128" s="162"/>
      <c r="X128" s="162"/>
      <c r="Y128" s="162"/>
      <c r="Z128" s="162"/>
      <c r="AA128" s="162"/>
      <c r="AB128" s="162"/>
      <c r="AC128" s="162"/>
      <c r="AD128" s="162"/>
      <c r="AE128" s="162"/>
      <c r="AF128" s="161"/>
      <c r="AG128" s="64">
        <f t="shared" si="15"/>
        <v>0</v>
      </c>
    </row>
    <row r="129" spans="1:35" ht="19.5" thickBot="1" x14ac:dyDescent="0.3">
      <c r="A129" s="324" t="s">
        <v>87</v>
      </c>
      <c r="B129" s="263">
        <f>13+4</f>
        <v>17</v>
      </c>
      <c r="C129" s="140">
        <f>9+1+1</f>
        <v>11</v>
      </c>
      <c r="D129" s="140">
        <f>4+1+1</f>
        <v>6</v>
      </c>
      <c r="E129" s="140">
        <f>17+1+4</f>
        <v>22</v>
      </c>
      <c r="F129" s="140">
        <f>15+4</f>
        <v>19</v>
      </c>
      <c r="G129" s="140">
        <f>9+2</f>
        <v>11</v>
      </c>
      <c r="H129" s="140">
        <f>14+1+3</f>
        <v>18</v>
      </c>
      <c r="I129" s="140">
        <f>16+5</f>
        <v>21</v>
      </c>
      <c r="J129" s="140"/>
      <c r="K129" s="140"/>
      <c r="L129" s="140"/>
      <c r="M129" s="140"/>
      <c r="N129" s="140"/>
      <c r="O129" s="140"/>
      <c r="P129" s="140"/>
      <c r="Q129" s="140"/>
      <c r="R129" s="140"/>
      <c r="S129" s="140"/>
      <c r="T129" s="140"/>
      <c r="U129" s="140"/>
      <c r="V129" s="140"/>
      <c r="W129" s="140"/>
      <c r="X129" s="140"/>
      <c r="Y129" s="140"/>
      <c r="Z129" s="140"/>
      <c r="AA129" s="140"/>
      <c r="AB129" s="140"/>
      <c r="AC129" s="140"/>
      <c r="AD129" s="140"/>
      <c r="AE129" s="140"/>
      <c r="AF129" s="139"/>
      <c r="AG129" s="64">
        <f t="shared" si="15"/>
        <v>125</v>
      </c>
    </row>
    <row r="130" spans="1:35" ht="18.75" x14ac:dyDescent="0.25">
      <c r="A130" s="315" t="s">
        <v>89</v>
      </c>
      <c r="B130" s="261">
        <f t="shared" ref="B130:AF130" si="18">SUM(B131:B143)</f>
        <v>155</v>
      </c>
      <c r="C130" s="166">
        <f t="shared" si="18"/>
        <v>150</v>
      </c>
      <c r="D130" s="166">
        <f t="shared" si="18"/>
        <v>152</v>
      </c>
      <c r="E130" s="166">
        <f t="shared" si="18"/>
        <v>167</v>
      </c>
      <c r="F130" s="166">
        <f t="shared" si="18"/>
        <v>150</v>
      </c>
      <c r="G130" s="166">
        <f t="shared" si="18"/>
        <v>174</v>
      </c>
      <c r="H130" s="166">
        <f t="shared" si="18"/>
        <v>166</v>
      </c>
      <c r="I130" s="166">
        <f t="shared" si="18"/>
        <v>182</v>
      </c>
      <c r="J130" s="166">
        <f t="shared" si="18"/>
        <v>0</v>
      </c>
      <c r="K130" s="166">
        <f t="shared" si="18"/>
        <v>0</v>
      </c>
      <c r="L130" s="166">
        <f t="shared" si="18"/>
        <v>0</v>
      </c>
      <c r="M130" s="166">
        <f t="shared" si="18"/>
        <v>0</v>
      </c>
      <c r="N130" s="166">
        <f t="shared" si="18"/>
        <v>0</v>
      </c>
      <c r="O130" s="166">
        <f t="shared" si="18"/>
        <v>0</v>
      </c>
      <c r="P130" s="166">
        <f t="shared" si="18"/>
        <v>0</v>
      </c>
      <c r="Q130" s="166">
        <f t="shared" si="18"/>
        <v>0</v>
      </c>
      <c r="R130" s="166">
        <f t="shared" si="18"/>
        <v>0</v>
      </c>
      <c r="S130" s="166">
        <f t="shared" si="18"/>
        <v>0</v>
      </c>
      <c r="T130" s="166">
        <f t="shared" si="18"/>
        <v>0</v>
      </c>
      <c r="U130" s="166">
        <f t="shared" si="18"/>
        <v>0</v>
      </c>
      <c r="V130" s="166">
        <f t="shared" si="18"/>
        <v>0</v>
      </c>
      <c r="W130" s="166">
        <f t="shared" si="18"/>
        <v>0</v>
      </c>
      <c r="X130" s="166">
        <f t="shared" si="18"/>
        <v>0</v>
      </c>
      <c r="Y130" s="166">
        <f t="shared" si="18"/>
        <v>0</v>
      </c>
      <c r="Z130" s="166">
        <f t="shared" si="18"/>
        <v>0</v>
      </c>
      <c r="AA130" s="166">
        <f t="shared" si="18"/>
        <v>0</v>
      </c>
      <c r="AB130" s="166">
        <f t="shared" si="18"/>
        <v>0</v>
      </c>
      <c r="AC130" s="166">
        <f t="shared" si="18"/>
        <v>0</v>
      </c>
      <c r="AD130" s="166">
        <f t="shared" si="18"/>
        <v>0</v>
      </c>
      <c r="AE130" s="166">
        <f t="shared" si="18"/>
        <v>0</v>
      </c>
      <c r="AF130" s="165">
        <f t="shared" si="18"/>
        <v>0</v>
      </c>
      <c r="AG130" s="164">
        <f t="shared" si="15"/>
        <v>1296</v>
      </c>
      <c r="AH130" s="152" t="str">
        <f>IF(AG130&lt;&gt;AG93,"*","")</f>
        <v/>
      </c>
    </row>
    <row r="131" spans="1:35" ht="18.75" x14ac:dyDescent="0.25">
      <c r="A131" s="323" t="s">
        <v>67</v>
      </c>
      <c r="B131" s="249">
        <v>23</v>
      </c>
      <c r="C131" s="162">
        <v>16</v>
      </c>
      <c r="D131" s="162">
        <v>18</v>
      </c>
      <c r="E131" s="162">
        <v>26</v>
      </c>
      <c r="F131" s="162">
        <v>27</v>
      </c>
      <c r="G131" s="162">
        <v>23</v>
      </c>
      <c r="H131" s="162">
        <v>23</v>
      </c>
      <c r="I131" s="162">
        <v>36</v>
      </c>
      <c r="J131" s="162"/>
      <c r="K131" s="162"/>
      <c r="L131" s="162"/>
      <c r="M131" s="162"/>
      <c r="N131" s="162"/>
      <c r="O131" s="162"/>
      <c r="P131" s="162"/>
      <c r="Q131" s="162"/>
      <c r="R131" s="162"/>
      <c r="S131" s="162"/>
      <c r="T131" s="162"/>
      <c r="U131" s="162"/>
      <c r="V131" s="162"/>
      <c r="W131" s="162"/>
      <c r="X131" s="162"/>
      <c r="Y131" s="162"/>
      <c r="Z131" s="162"/>
      <c r="AA131" s="162"/>
      <c r="AB131" s="162"/>
      <c r="AC131" s="162"/>
      <c r="AD131" s="162"/>
      <c r="AE131" s="162"/>
      <c r="AF131" s="161"/>
      <c r="AG131" s="64">
        <f t="shared" ref="AG131:AG145" si="19">SUM(B131:AF131)</f>
        <v>192</v>
      </c>
    </row>
    <row r="132" spans="1:35" ht="18.75" x14ac:dyDescent="0.25">
      <c r="A132" s="323" t="s">
        <v>69</v>
      </c>
      <c r="B132" s="249">
        <v>3</v>
      </c>
      <c r="C132" s="162">
        <v>3</v>
      </c>
      <c r="D132" s="162">
        <v>1</v>
      </c>
      <c r="E132" s="162">
        <v>6</v>
      </c>
      <c r="F132" s="162">
        <v>6</v>
      </c>
      <c r="G132" s="162">
        <v>4</v>
      </c>
      <c r="H132" s="162">
        <v>2</v>
      </c>
      <c r="I132" s="162">
        <v>13</v>
      </c>
      <c r="J132" s="162"/>
      <c r="K132" s="162"/>
      <c r="L132" s="162"/>
      <c r="M132" s="162"/>
      <c r="N132" s="162"/>
      <c r="O132" s="162"/>
      <c r="P132" s="162"/>
      <c r="Q132" s="162"/>
      <c r="R132" s="162"/>
      <c r="S132" s="162"/>
      <c r="T132" s="162"/>
      <c r="U132" s="162"/>
      <c r="V132" s="162"/>
      <c r="W132" s="162"/>
      <c r="X132" s="162"/>
      <c r="Y132" s="162"/>
      <c r="Z132" s="162"/>
      <c r="AA132" s="162"/>
      <c r="AB132" s="162"/>
      <c r="AC132" s="162"/>
      <c r="AD132" s="162"/>
      <c r="AE132" s="162"/>
      <c r="AF132" s="161"/>
      <c r="AG132" s="64">
        <f t="shared" si="19"/>
        <v>38</v>
      </c>
    </row>
    <row r="133" spans="1:35" ht="18.75" x14ac:dyDescent="0.25">
      <c r="A133" s="323" t="s">
        <v>68</v>
      </c>
      <c r="B133" s="249">
        <v>4</v>
      </c>
      <c r="C133" s="162">
        <v>1</v>
      </c>
      <c r="D133" s="162">
        <v>3</v>
      </c>
      <c r="E133" s="162">
        <v>3</v>
      </c>
      <c r="F133" s="162">
        <v>6</v>
      </c>
      <c r="G133" s="162">
        <v>9</v>
      </c>
      <c r="H133" s="162">
        <v>3</v>
      </c>
      <c r="I133" s="162">
        <v>6</v>
      </c>
      <c r="J133" s="162"/>
      <c r="K133" s="162"/>
      <c r="L133" s="162"/>
      <c r="M133" s="162"/>
      <c r="N133" s="162"/>
      <c r="O133" s="162"/>
      <c r="P133" s="162"/>
      <c r="Q133" s="162"/>
      <c r="R133" s="162"/>
      <c r="S133" s="162"/>
      <c r="T133" s="162"/>
      <c r="U133" s="162"/>
      <c r="V133" s="162"/>
      <c r="W133" s="162"/>
      <c r="X133" s="162"/>
      <c r="Y133" s="162"/>
      <c r="Z133" s="162"/>
      <c r="AA133" s="162"/>
      <c r="AB133" s="162"/>
      <c r="AC133" s="162"/>
      <c r="AD133" s="162"/>
      <c r="AE133" s="162"/>
      <c r="AF133" s="161"/>
      <c r="AG133" s="64">
        <f t="shared" si="19"/>
        <v>35</v>
      </c>
    </row>
    <row r="134" spans="1:35" ht="18.75" x14ac:dyDescent="0.25">
      <c r="A134" s="323" t="s">
        <v>66</v>
      </c>
      <c r="B134" s="249">
        <f>1+3</f>
        <v>4</v>
      </c>
      <c r="C134" s="162">
        <v>5</v>
      </c>
      <c r="D134" s="162">
        <f>2+1</f>
        <v>3</v>
      </c>
      <c r="E134" s="162">
        <v>2</v>
      </c>
      <c r="F134" s="162">
        <v>6</v>
      </c>
      <c r="G134" s="162">
        <f>3+2</f>
        <v>5</v>
      </c>
      <c r="H134" s="162">
        <v>4</v>
      </c>
      <c r="I134" s="162">
        <v>6</v>
      </c>
      <c r="J134" s="162"/>
      <c r="K134" s="162"/>
      <c r="L134" s="162"/>
      <c r="M134" s="162"/>
      <c r="N134" s="162"/>
      <c r="O134" s="162"/>
      <c r="P134" s="162"/>
      <c r="Q134" s="162"/>
      <c r="R134" s="162"/>
      <c r="S134" s="162"/>
      <c r="T134" s="162"/>
      <c r="U134" s="162"/>
      <c r="V134" s="162"/>
      <c r="W134" s="162"/>
      <c r="X134" s="162"/>
      <c r="Y134" s="162"/>
      <c r="Z134" s="162"/>
      <c r="AA134" s="162"/>
      <c r="AB134" s="162"/>
      <c r="AC134" s="162"/>
      <c r="AD134" s="162"/>
      <c r="AE134" s="162"/>
      <c r="AF134" s="161"/>
      <c r="AG134" s="64">
        <f t="shared" si="19"/>
        <v>35</v>
      </c>
    </row>
    <row r="135" spans="1:35" ht="18.75" x14ac:dyDescent="0.25">
      <c r="A135" s="323" t="s">
        <v>65</v>
      </c>
      <c r="B135" s="249">
        <v>5</v>
      </c>
      <c r="C135" s="162">
        <v>2</v>
      </c>
      <c r="D135" s="162">
        <v>2</v>
      </c>
      <c r="E135" s="162">
        <v>4</v>
      </c>
      <c r="F135" s="162">
        <v>7</v>
      </c>
      <c r="G135" s="162">
        <v>3</v>
      </c>
      <c r="H135" s="162">
        <v>5</v>
      </c>
      <c r="I135" s="162">
        <v>5</v>
      </c>
      <c r="J135" s="162"/>
      <c r="K135" s="162"/>
      <c r="L135" s="162"/>
      <c r="M135" s="162"/>
      <c r="N135" s="162"/>
      <c r="O135" s="162"/>
      <c r="P135" s="162"/>
      <c r="Q135" s="162"/>
      <c r="R135" s="162"/>
      <c r="S135" s="162"/>
      <c r="T135" s="162"/>
      <c r="U135" s="162"/>
      <c r="V135" s="162"/>
      <c r="W135" s="162"/>
      <c r="X135" s="162"/>
      <c r="Y135" s="162"/>
      <c r="Z135" s="162"/>
      <c r="AA135" s="162"/>
      <c r="AB135" s="162"/>
      <c r="AC135" s="162"/>
      <c r="AD135" s="162"/>
      <c r="AE135" s="162"/>
      <c r="AF135" s="161"/>
      <c r="AG135" s="64">
        <f t="shared" si="19"/>
        <v>33</v>
      </c>
    </row>
    <row r="136" spans="1:35" ht="18.75" x14ac:dyDescent="0.25">
      <c r="A136" s="323" t="s">
        <v>64</v>
      </c>
      <c r="B136" s="249">
        <v>88</v>
      </c>
      <c r="C136" s="162">
        <v>100</v>
      </c>
      <c r="D136" s="162">
        <v>108</v>
      </c>
      <c r="E136" s="162">
        <v>88</v>
      </c>
      <c r="F136" s="162">
        <v>69</v>
      </c>
      <c r="G136" s="162">
        <v>109</v>
      </c>
      <c r="H136" s="162">
        <v>93</v>
      </c>
      <c r="I136" s="162">
        <v>79</v>
      </c>
      <c r="J136" s="162"/>
      <c r="K136" s="162"/>
      <c r="L136" s="162"/>
      <c r="M136" s="162"/>
      <c r="N136" s="162"/>
      <c r="O136" s="162"/>
      <c r="P136" s="162"/>
      <c r="Q136" s="162"/>
      <c r="R136" s="162"/>
      <c r="S136" s="162"/>
      <c r="T136" s="162"/>
      <c r="U136" s="162"/>
      <c r="V136" s="162"/>
      <c r="W136" s="162"/>
      <c r="X136" s="162"/>
      <c r="Y136" s="162"/>
      <c r="Z136" s="162"/>
      <c r="AA136" s="162"/>
      <c r="AB136" s="162"/>
      <c r="AC136" s="162"/>
      <c r="AD136" s="162"/>
      <c r="AE136" s="162"/>
      <c r="AF136" s="161"/>
      <c r="AG136" s="64">
        <f t="shared" si="19"/>
        <v>734</v>
      </c>
    </row>
    <row r="137" spans="1:35" ht="18.75" x14ac:dyDescent="0.25">
      <c r="A137" s="323" t="s">
        <v>63</v>
      </c>
      <c r="B137" s="249">
        <f>5+1</f>
        <v>6</v>
      </c>
      <c r="C137" s="162">
        <v>1</v>
      </c>
      <c r="D137" s="162">
        <f>1+1</f>
        <v>2</v>
      </c>
      <c r="E137" s="162">
        <v>1</v>
      </c>
      <c r="F137" s="162">
        <v>1</v>
      </c>
      <c r="G137" s="162">
        <v>2</v>
      </c>
      <c r="H137" s="162"/>
      <c r="I137" s="162">
        <f>6+1</f>
        <v>7</v>
      </c>
      <c r="J137" s="162"/>
      <c r="K137" s="162"/>
      <c r="L137" s="162"/>
      <c r="M137" s="162"/>
      <c r="N137" s="162"/>
      <c r="O137" s="162"/>
      <c r="P137" s="162"/>
      <c r="Q137" s="162"/>
      <c r="R137" s="162"/>
      <c r="S137" s="162"/>
      <c r="T137" s="162"/>
      <c r="U137" s="162"/>
      <c r="V137" s="162"/>
      <c r="W137" s="162"/>
      <c r="X137" s="162"/>
      <c r="Y137" s="162"/>
      <c r="Z137" s="162"/>
      <c r="AA137" s="162"/>
      <c r="AB137" s="162"/>
      <c r="AC137" s="162"/>
      <c r="AD137" s="162"/>
      <c r="AE137" s="162"/>
      <c r="AF137" s="161"/>
      <c r="AG137" s="64">
        <f t="shared" si="19"/>
        <v>20</v>
      </c>
    </row>
    <row r="138" spans="1:35" ht="18.75" x14ac:dyDescent="0.25">
      <c r="A138" s="323" t="s">
        <v>62</v>
      </c>
      <c r="B138" s="249"/>
      <c r="C138" s="162"/>
      <c r="D138" s="162">
        <v>1</v>
      </c>
      <c r="E138" s="162">
        <v>2</v>
      </c>
      <c r="F138" s="162"/>
      <c r="G138" s="162"/>
      <c r="H138" s="162">
        <v>2</v>
      </c>
      <c r="I138" s="162">
        <v>1</v>
      </c>
      <c r="J138" s="162"/>
      <c r="K138" s="162"/>
      <c r="L138" s="162"/>
      <c r="M138" s="162"/>
      <c r="N138" s="162"/>
      <c r="O138" s="162"/>
      <c r="P138" s="162"/>
      <c r="Q138" s="162"/>
      <c r="R138" s="162"/>
      <c r="S138" s="162"/>
      <c r="T138" s="162"/>
      <c r="U138" s="162"/>
      <c r="V138" s="162"/>
      <c r="W138" s="162"/>
      <c r="X138" s="162"/>
      <c r="Y138" s="162"/>
      <c r="Z138" s="162"/>
      <c r="AA138" s="162"/>
      <c r="AB138" s="162"/>
      <c r="AC138" s="162"/>
      <c r="AD138" s="162"/>
      <c r="AE138" s="162"/>
      <c r="AF138" s="161"/>
      <c r="AG138" s="64">
        <f t="shared" si="19"/>
        <v>6</v>
      </c>
    </row>
    <row r="139" spans="1:35" ht="18.75" x14ac:dyDescent="0.25">
      <c r="A139" s="301" t="s">
        <v>60</v>
      </c>
      <c r="B139" s="249">
        <v>1</v>
      </c>
      <c r="C139" s="162">
        <v>2</v>
      </c>
      <c r="D139" s="162">
        <v>1</v>
      </c>
      <c r="E139" s="162">
        <v>1</v>
      </c>
      <c r="F139" s="162">
        <f>4+1</f>
        <v>5</v>
      </c>
      <c r="G139" s="162">
        <v>1</v>
      </c>
      <c r="H139" s="162">
        <v>5</v>
      </c>
      <c r="I139" s="162">
        <v>1</v>
      </c>
      <c r="J139" s="162"/>
      <c r="K139" s="162"/>
      <c r="L139" s="162"/>
      <c r="M139" s="162"/>
      <c r="N139" s="162"/>
      <c r="O139" s="162"/>
      <c r="P139" s="162"/>
      <c r="Q139" s="162"/>
      <c r="R139" s="162"/>
      <c r="S139" s="162"/>
      <c r="T139" s="162"/>
      <c r="U139" s="162"/>
      <c r="V139" s="162"/>
      <c r="W139" s="162"/>
      <c r="X139" s="162"/>
      <c r="Y139" s="162"/>
      <c r="Z139" s="162"/>
      <c r="AA139" s="162"/>
      <c r="AB139" s="162"/>
      <c r="AC139" s="162"/>
      <c r="AD139" s="162"/>
      <c r="AE139" s="162"/>
      <c r="AF139" s="161"/>
      <c r="AG139" s="64">
        <f t="shared" si="19"/>
        <v>17</v>
      </c>
    </row>
    <row r="140" spans="1:35" ht="18.75" x14ac:dyDescent="0.25">
      <c r="A140" s="301" t="s">
        <v>59</v>
      </c>
      <c r="B140" s="249"/>
      <c r="C140" s="162"/>
      <c r="D140" s="162">
        <v>3</v>
      </c>
      <c r="E140" s="162"/>
      <c r="F140" s="162"/>
      <c r="G140" s="162">
        <v>2</v>
      </c>
      <c r="H140" s="162">
        <v>5</v>
      </c>
      <c r="I140" s="162">
        <v>3</v>
      </c>
      <c r="J140" s="162"/>
      <c r="K140" s="162"/>
      <c r="L140" s="162"/>
      <c r="M140" s="162"/>
      <c r="N140" s="162"/>
      <c r="O140" s="162"/>
      <c r="P140" s="162"/>
      <c r="Q140" s="162"/>
      <c r="R140" s="162"/>
      <c r="S140" s="162"/>
      <c r="T140" s="162"/>
      <c r="U140" s="162"/>
      <c r="V140" s="162"/>
      <c r="W140" s="162"/>
      <c r="X140" s="162"/>
      <c r="Y140" s="162"/>
      <c r="Z140" s="162"/>
      <c r="AA140" s="162"/>
      <c r="AB140" s="162"/>
      <c r="AC140" s="162"/>
      <c r="AD140" s="162"/>
      <c r="AE140" s="162"/>
      <c r="AF140" s="161"/>
      <c r="AG140" s="64">
        <f t="shared" si="19"/>
        <v>13</v>
      </c>
    </row>
    <row r="141" spans="1:35" ht="18.75" x14ac:dyDescent="0.25">
      <c r="A141" s="301" t="s">
        <v>58</v>
      </c>
      <c r="B141" s="249"/>
      <c r="C141" s="162">
        <v>1</v>
      </c>
      <c r="D141" s="162"/>
      <c r="E141" s="162"/>
      <c r="F141" s="162">
        <v>1</v>
      </c>
      <c r="G141" s="162">
        <v>1</v>
      </c>
      <c r="H141" s="162"/>
      <c r="I141" s="162">
        <v>1</v>
      </c>
      <c r="J141" s="162"/>
      <c r="K141" s="162"/>
      <c r="L141" s="162"/>
      <c r="M141" s="162"/>
      <c r="N141" s="162"/>
      <c r="O141" s="162"/>
      <c r="P141" s="162"/>
      <c r="Q141" s="162"/>
      <c r="R141" s="162"/>
      <c r="S141" s="162"/>
      <c r="T141" s="162"/>
      <c r="U141" s="162"/>
      <c r="V141" s="162"/>
      <c r="W141" s="162"/>
      <c r="X141" s="162"/>
      <c r="Y141" s="162"/>
      <c r="Z141" s="162"/>
      <c r="AA141" s="162"/>
      <c r="AB141" s="162"/>
      <c r="AC141" s="162"/>
      <c r="AD141" s="162"/>
      <c r="AE141" s="162"/>
      <c r="AF141" s="161"/>
      <c r="AG141" s="64">
        <f t="shared" si="19"/>
        <v>4</v>
      </c>
    </row>
    <row r="142" spans="1:35" ht="18.75" x14ac:dyDescent="0.25">
      <c r="A142" s="323" t="s">
        <v>88</v>
      </c>
      <c r="B142" s="249">
        <f>1+1+2</f>
        <v>4</v>
      </c>
      <c r="C142" s="162">
        <f>1+1+1+1+1+1+1+1</f>
        <v>8</v>
      </c>
      <c r="D142" s="162">
        <f>1+1+1+1</f>
        <v>4</v>
      </c>
      <c r="E142" s="162">
        <f>1+1+2+1+3+1+1+2</f>
        <v>12</v>
      </c>
      <c r="F142" s="162">
        <f>1+1+1+1</f>
        <v>4</v>
      </c>
      <c r="G142" s="162">
        <f>1+1+2</f>
        <v>4</v>
      </c>
      <c r="H142" s="162">
        <f>1+1+2+1+1+1+1+1</f>
        <v>9</v>
      </c>
      <c r="I142" s="162">
        <f>1+1+1</f>
        <v>3</v>
      </c>
      <c r="J142" s="162"/>
      <c r="K142" s="162"/>
      <c r="L142" s="162"/>
      <c r="M142" s="162"/>
      <c r="N142" s="162"/>
      <c r="O142" s="162"/>
      <c r="P142" s="162"/>
      <c r="Q142" s="162"/>
      <c r="R142" s="162"/>
      <c r="S142" s="162"/>
      <c r="T142" s="162"/>
      <c r="U142" s="162"/>
      <c r="V142" s="162"/>
      <c r="W142" s="162"/>
      <c r="X142" s="162"/>
      <c r="Y142" s="162"/>
      <c r="Z142" s="162"/>
      <c r="AA142" s="162"/>
      <c r="AB142" s="162"/>
      <c r="AC142" s="162"/>
      <c r="AD142" s="162"/>
      <c r="AE142" s="162"/>
      <c r="AF142" s="161"/>
      <c r="AG142" s="64">
        <f t="shared" si="19"/>
        <v>48</v>
      </c>
    </row>
    <row r="143" spans="1:35" ht="19.5" thickBot="1" x14ac:dyDescent="0.3">
      <c r="A143" s="324" t="s">
        <v>87</v>
      </c>
      <c r="B143" s="263">
        <f>13+4</f>
        <v>17</v>
      </c>
      <c r="C143" s="140">
        <f>9+1+1</f>
        <v>11</v>
      </c>
      <c r="D143" s="140">
        <f>4+1+1</f>
        <v>6</v>
      </c>
      <c r="E143" s="140">
        <f>17+1+4</f>
        <v>22</v>
      </c>
      <c r="F143" s="140">
        <f>14+4</f>
        <v>18</v>
      </c>
      <c r="G143" s="140">
        <f>9+2</f>
        <v>11</v>
      </c>
      <c r="H143" s="140">
        <f>12+1+2</f>
        <v>15</v>
      </c>
      <c r="I143" s="140">
        <f>16+5</f>
        <v>21</v>
      </c>
      <c r="J143" s="140"/>
      <c r="K143" s="140"/>
      <c r="L143" s="140"/>
      <c r="M143" s="140"/>
      <c r="N143" s="140"/>
      <c r="O143" s="140"/>
      <c r="P143" s="140"/>
      <c r="Q143" s="140"/>
      <c r="R143" s="140"/>
      <c r="S143" s="140"/>
      <c r="T143" s="140"/>
      <c r="U143" s="140"/>
      <c r="V143" s="140"/>
      <c r="W143" s="140"/>
      <c r="X143" s="140"/>
      <c r="Y143" s="140"/>
      <c r="Z143" s="140"/>
      <c r="AA143" s="140"/>
      <c r="AB143" s="140"/>
      <c r="AC143" s="140"/>
      <c r="AD143" s="140"/>
      <c r="AE143" s="140"/>
      <c r="AF143" s="139"/>
      <c r="AG143" s="160">
        <f t="shared" si="19"/>
        <v>121</v>
      </c>
    </row>
    <row r="144" spans="1:35" ht="19.5" thickBot="1" x14ac:dyDescent="0.3">
      <c r="A144" s="309" t="s">
        <v>86</v>
      </c>
      <c r="B144" s="257">
        <f t="shared" ref="B144:AF144" si="20">+B146+B156+B158+B167</f>
        <v>155</v>
      </c>
      <c r="C144" s="158">
        <f t="shared" si="20"/>
        <v>150</v>
      </c>
      <c r="D144" s="158">
        <f t="shared" si="20"/>
        <v>152</v>
      </c>
      <c r="E144" s="158">
        <f t="shared" si="20"/>
        <v>167</v>
      </c>
      <c r="F144" s="158">
        <f t="shared" si="20"/>
        <v>150</v>
      </c>
      <c r="G144" s="158">
        <f t="shared" si="20"/>
        <v>174</v>
      </c>
      <c r="H144" s="158">
        <f t="shared" si="20"/>
        <v>166</v>
      </c>
      <c r="I144" s="158">
        <f t="shared" si="20"/>
        <v>182</v>
      </c>
      <c r="J144" s="158">
        <f t="shared" si="20"/>
        <v>0</v>
      </c>
      <c r="K144" s="158">
        <f t="shared" si="20"/>
        <v>0</v>
      </c>
      <c r="L144" s="158">
        <f t="shared" si="20"/>
        <v>0</v>
      </c>
      <c r="M144" s="158">
        <f t="shared" si="20"/>
        <v>0</v>
      </c>
      <c r="N144" s="158">
        <f t="shared" si="20"/>
        <v>0</v>
      </c>
      <c r="O144" s="158">
        <f t="shared" si="20"/>
        <v>0</v>
      </c>
      <c r="P144" s="158">
        <f t="shared" si="20"/>
        <v>0</v>
      </c>
      <c r="Q144" s="158">
        <f t="shared" si="20"/>
        <v>0</v>
      </c>
      <c r="R144" s="158">
        <f t="shared" si="20"/>
        <v>0</v>
      </c>
      <c r="S144" s="158">
        <f t="shared" si="20"/>
        <v>0</v>
      </c>
      <c r="T144" s="158">
        <f t="shared" si="20"/>
        <v>0</v>
      </c>
      <c r="U144" s="158">
        <f t="shared" si="20"/>
        <v>0</v>
      </c>
      <c r="V144" s="158">
        <f t="shared" si="20"/>
        <v>0</v>
      </c>
      <c r="W144" s="158">
        <f t="shared" si="20"/>
        <v>0</v>
      </c>
      <c r="X144" s="158">
        <f t="shared" si="20"/>
        <v>0</v>
      </c>
      <c r="Y144" s="158">
        <f t="shared" si="20"/>
        <v>0</v>
      </c>
      <c r="Z144" s="158">
        <f t="shared" si="20"/>
        <v>0</v>
      </c>
      <c r="AA144" s="158">
        <f t="shared" si="20"/>
        <v>0</v>
      </c>
      <c r="AB144" s="158">
        <f t="shared" si="20"/>
        <v>0</v>
      </c>
      <c r="AC144" s="158">
        <f t="shared" si="20"/>
        <v>0</v>
      </c>
      <c r="AD144" s="158">
        <f t="shared" si="20"/>
        <v>0</v>
      </c>
      <c r="AE144" s="158">
        <f t="shared" si="20"/>
        <v>0</v>
      </c>
      <c r="AF144" s="158">
        <f t="shared" si="20"/>
        <v>0</v>
      </c>
      <c r="AG144" s="157">
        <f t="shared" si="19"/>
        <v>1296</v>
      </c>
      <c r="AH144" s="85" t="str">
        <f>IF(AG144&lt;&gt;AG93,"*","")</f>
        <v/>
      </c>
      <c r="AI144" t="s">
        <v>85</v>
      </c>
    </row>
    <row r="145" spans="1:34" ht="19.5" thickBot="1" x14ac:dyDescent="0.3">
      <c r="A145" s="325" t="s">
        <v>84</v>
      </c>
      <c r="B145" s="264">
        <f t="shared" ref="B145:AF145" si="21">+B149+B155+B157+B172</f>
        <v>9</v>
      </c>
      <c r="C145" s="155">
        <f t="shared" si="21"/>
        <v>3</v>
      </c>
      <c r="D145" s="155">
        <f t="shared" si="21"/>
        <v>1</v>
      </c>
      <c r="E145" s="155">
        <f t="shared" si="21"/>
        <v>1</v>
      </c>
      <c r="F145" s="155">
        <f t="shared" si="21"/>
        <v>2</v>
      </c>
      <c r="G145" s="155">
        <f t="shared" si="21"/>
        <v>8</v>
      </c>
      <c r="H145" s="155">
        <f t="shared" si="21"/>
        <v>6</v>
      </c>
      <c r="I145" s="155">
        <f t="shared" si="21"/>
        <v>3</v>
      </c>
      <c r="J145" s="155">
        <f t="shared" si="21"/>
        <v>0</v>
      </c>
      <c r="K145" s="155">
        <f t="shared" si="21"/>
        <v>0</v>
      </c>
      <c r="L145" s="155">
        <f t="shared" si="21"/>
        <v>0</v>
      </c>
      <c r="M145" s="155">
        <f t="shared" si="21"/>
        <v>0</v>
      </c>
      <c r="N145" s="155">
        <f t="shared" si="21"/>
        <v>0</v>
      </c>
      <c r="O145" s="155">
        <f t="shared" si="21"/>
        <v>0</v>
      </c>
      <c r="P145" s="155">
        <f t="shared" si="21"/>
        <v>0</v>
      </c>
      <c r="Q145" s="155">
        <f t="shared" si="21"/>
        <v>0</v>
      </c>
      <c r="R145" s="155">
        <f t="shared" si="21"/>
        <v>0</v>
      </c>
      <c r="S145" s="155">
        <f t="shared" si="21"/>
        <v>0</v>
      </c>
      <c r="T145" s="155">
        <f t="shared" si="21"/>
        <v>0</v>
      </c>
      <c r="U145" s="155">
        <f t="shared" si="21"/>
        <v>0</v>
      </c>
      <c r="V145" s="155">
        <f t="shared" si="21"/>
        <v>0</v>
      </c>
      <c r="W145" s="155">
        <f t="shared" si="21"/>
        <v>0</v>
      </c>
      <c r="X145" s="155">
        <f t="shared" si="21"/>
        <v>0</v>
      </c>
      <c r="Y145" s="155">
        <f t="shared" si="21"/>
        <v>0</v>
      </c>
      <c r="Z145" s="155">
        <f t="shared" si="21"/>
        <v>0</v>
      </c>
      <c r="AA145" s="155">
        <f t="shared" si="21"/>
        <v>0</v>
      </c>
      <c r="AB145" s="155">
        <f t="shared" si="21"/>
        <v>0</v>
      </c>
      <c r="AC145" s="155">
        <f t="shared" si="21"/>
        <v>0</v>
      </c>
      <c r="AD145" s="155">
        <f t="shared" si="21"/>
        <v>0</v>
      </c>
      <c r="AE145" s="155">
        <f t="shared" si="21"/>
        <v>0</v>
      </c>
      <c r="AF145" s="154">
        <f t="shared" si="21"/>
        <v>0</v>
      </c>
      <c r="AG145" s="153">
        <f t="shared" si="19"/>
        <v>33</v>
      </c>
      <c r="AH145" s="152"/>
    </row>
    <row r="146" spans="1:34" ht="19.5" thickBot="1" x14ac:dyDescent="0.3">
      <c r="A146" s="326" t="s">
        <v>83</v>
      </c>
      <c r="B146" s="265">
        <f t="shared" ref="B146:AG147" si="22">+B148+B154</f>
        <v>0</v>
      </c>
      <c r="C146" s="8">
        <f t="shared" si="22"/>
        <v>0</v>
      </c>
      <c r="D146" s="8">
        <f t="shared" si="22"/>
        <v>0</v>
      </c>
      <c r="E146" s="8">
        <f t="shared" si="22"/>
        <v>0</v>
      </c>
      <c r="F146" s="8">
        <f t="shared" si="22"/>
        <v>0</v>
      </c>
      <c r="G146" s="8">
        <f t="shared" si="22"/>
        <v>0</v>
      </c>
      <c r="H146" s="8">
        <f t="shared" si="22"/>
        <v>0</v>
      </c>
      <c r="I146" s="8">
        <f t="shared" si="22"/>
        <v>0</v>
      </c>
      <c r="J146" s="8">
        <f t="shared" si="22"/>
        <v>0</v>
      </c>
      <c r="K146" s="8">
        <f t="shared" si="22"/>
        <v>0</v>
      </c>
      <c r="L146" s="8">
        <f t="shared" si="22"/>
        <v>0</v>
      </c>
      <c r="M146" s="8">
        <f t="shared" si="22"/>
        <v>0</v>
      </c>
      <c r="N146" s="8">
        <f t="shared" si="22"/>
        <v>0</v>
      </c>
      <c r="O146" s="8">
        <f t="shared" si="22"/>
        <v>0</v>
      </c>
      <c r="P146" s="8">
        <f t="shared" si="22"/>
        <v>0</v>
      </c>
      <c r="Q146" s="8">
        <f t="shared" si="22"/>
        <v>0</v>
      </c>
      <c r="R146" s="8">
        <f t="shared" si="22"/>
        <v>0</v>
      </c>
      <c r="S146" s="8">
        <f t="shared" si="22"/>
        <v>0</v>
      </c>
      <c r="T146" s="8">
        <f t="shared" si="22"/>
        <v>0</v>
      </c>
      <c r="U146" s="8">
        <f t="shared" si="22"/>
        <v>0</v>
      </c>
      <c r="V146" s="8">
        <f t="shared" si="22"/>
        <v>0</v>
      </c>
      <c r="W146" s="8">
        <f t="shared" si="22"/>
        <v>0</v>
      </c>
      <c r="X146" s="8">
        <f t="shared" si="22"/>
        <v>0</v>
      </c>
      <c r="Y146" s="8">
        <f t="shared" si="22"/>
        <v>0</v>
      </c>
      <c r="Z146" s="8">
        <f t="shared" si="22"/>
        <v>0</v>
      </c>
      <c r="AA146" s="8">
        <f t="shared" si="22"/>
        <v>0</v>
      </c>
      <c r="AB146" s="8">
        <f t="shared" si="22"/>
        <v>0</v>
      </c>
      <c r="AC146" s="8">
        <f t="shared" si="22"/>
        <v>0</v>
      </c>
      <c r="AD146" s="8">
        <f t="shared" si="22"/>
        <v>0</v>
      </c>
      <c r="AE146" s="8">
        <f t="shared" si="22"/>
        <v>0</v>
      </c>
      <c r="AF146" s="150">
        <f t="shared" si="22"/>
        <v>0</v>
      </c>
      <c r="AG146" s="149">
        <f t="shared" si="22"/>
        <v>0</v>
      </c>
    </row>
    <row r="147" spans="1:34" ht="19.5" thickBot="1" x14ac:dyDescent="0.3">
      <c r="A147" s="327" t="s">
        <v>82</v>
      </c>
      <c r="B147" s="266">
        <f t="shared" si="22"/>
        <v>0</v>
      </c>
      <c r="C147" s="143">
        <f t="shared" si="22"/>
        <v>0</v>
      </c>
      <c r="D147" s="143">
        <f t="shared" si="22"/>
        <v>0</v>
      </c>
      <c r="E147" s="143">
        <f t="shared" si="22"/>
        <v>0</v>
      </c>
      <c r="F147" s="143">
        <f t="shared" si="22"/>
        <v>0</v>
      </c>
      <c r="G147" s="143">
        <f t="shared" si="22"/>
        <v>0</v>
      </c>
      <c r="H147" s="143">
        <f t="shared" si="22"/>
        <v>0</v>
      </c>
      <c r="I147" s="143">
        <f t="shared" si="22"/>
        <v>0</v>
      </c>
      <c r="J147" s="143">
        <f t="shared" si="22"/>
        <v>0</v>
      </c>
      <c r="K147" s="143">
        <f t="shared" si="22"/>
        <v>0</v>
      </c>
      <c r="L147" s="143">
        <f t="shared" si="22"/>
        <v>0</v>
      </c>
      <c r="M147" s="143">
        <f t="shared" si="22"/>
        <v>0</v>
      </c>
      <c r="N147" s="143">
        <f t="shared" si="22"/>
        <v>0</v>
      </c>
      <c r="O147" s="143">
        <f t="shared" si="22"/>
        <v>0</v>
      </c>
      <c r="P147" s="143">
        <f t="shared" si="22"/>
        <v>0</v>
      </c>
      <c r="Q147" s="143">
        <f t="shared" si="22"/>
        <v>0</v>
      </c>
      <c r="R147" s="143">
        <f t="shared" si="22"/>
        <v>0</v>
      </c>
      <c r="S147" s="143">
        <f t="shared" si="22"/>
        <v>0</v>
      </c>
      <c r="T147" s="143">
        <f t="shared" si="22"/>
        <v>0</v>
      </c>
      <c r="U147" s="143">
        <f t="shared" si="22"/>
        <v>0</v>
      </c>
      <c r="V147" s="143">
        <f t="shared" si="22"/>
        <v>0</v>
      </c>
      <c r="W147" s="143">
        <f t="shared" si="22"/>
        <v>0</v>
      </c>
      <c r="X147" s="143">
        <f t="shared" si="22"/>
        <v>0</v>
      </c>
      <c r="Y147" s="143">
        <f t="shared" si="22"/>
        <v>0</v>
      </c>
      <c r="Z147" s="143">
        <f t="shared" si="22"/>
        <v>0</v>
      </c>
      <c r="AA147" s="143">
        <f t="shared" si="22"/>
        <v>0</v>
      </c>
      <c r="AB147" s="143">
        <f t="shared" si="22"/>
        <v>0</v>
      </c>
      <c r="AC147" s="143">
        <f t="shared" si="22"/>
        <v>0</v>
      </c>
      <c r="AD147" s="143">
        <f t="shared" si="22"/>
        <v>0</v>
      </c>
      <c r="AE147" s="143">
        <f t="shared" si="22"/>
        <v>0</v>
      </c>
      <c r="AF147" s="142"/>
      <c r="AG147" s="86">
        <f t="shared" ref="AG147:AG179" si="23">SUM(B147:AF147)</f>
        <v>0</v>
      </c>
    </row>
    <row r="148" spans="1:34" ht="19.5" thickBot="1" x14ac:dyDescent="0.3">
      <c r="A148" s="328" t="s">
        <v>81</v>
      </c>
      <c r="B148" s="267">
        <f t="shared" ref="B148:AF148" si="24">SUM(B150:B153)</f>
        <v>0</v>
      </c>
      <c r="C148" s="147">
        <f t="shared" si="24"/>
        <v>0</v>
      </c>
      <c r="D148" s="147">
        <f t="shared" si="24"/>
        <v>0</v>
      </c>
      <c r="E148" s="147">
        <f t="shared" si="24"/>
        <v>0</v>
      </c>
      <c r="F148" s="147">
        <f t="shared" si="24"/>
        <v>0</v>
      </c>
      <c r="G148" s="147">
        <f t="shared" si="24"/>
        <v>0</v>
      </c>
      <c r="H148" s="147">
        <f t="shared" si="24"/>
        <v>0</v>
      </c>
      <c r="I148" s="147">
        <f t="shared" si="24"/>
        <v>0</v>
      </c>
      <c r="J148" s="147">
        <f t="shared" si="24"/>
        <v>0</v>
      </c>
      <c r="K148" s="147">
        <f t="shared" si="24"/>
        <v>0</v>
      </c>
      <c r="L148" s="147">
        <f t="shared" si="24"/>
        <v>0</v>
      </c>
      <c r="M148" s="147">
        <f t="shared" si="24"/>
        <v>0</v>
      </c>
      <c r="N148" s="147">
        <f t="shared" si="24"/>
        <v>0</v>
      </c>
      <c r="O148" s="147">
        <f t="shared" si="24"/>
        <v>0</v>
      </c>
      <c r="P148" s="147">
        <f t="shared" si="24"/>
        <v>0</v>
      </c>
      <c r="Q148" s="147">
        <f t="shared" si="24"/>
        <v>0</v>
      </c>
      <c r="R148" s="147">
        <f t="shared" si="24"/>
        <v>0</v>
      </c>
      <c r="S148" s="147">
        <f t="shared" si="24"/>
        <v>0</v>
      </c>
      <c r="T148" s="147">
        <f t="shared" si="24"/>
        <v>0</v>
      </c>
      <c r="U148" s="147">
        <f t="shared" si="24"/>
        <v>0</v>
      </c>
      <c r="V148" s="147">
        <f t="shared" si="24"/>
        <v>0</v>
      </c>
      <c r="W148" s="147">
        <f t="shared" si="24"/>
        <v>0</v>
      </c>
      <c r="X148" s="147">
        <f t="shared" si="24"/>
        <v>0</v>
      </c>
      <c r="Y148" s="147">
        <f t="shared" si="24"/>
        <v>0</v>
      </c>
      <c r="Z148" s="147">
        <f t="shared" si="24"/>
        <v>0</v>
      </c>
      <c r="AA148" s="147">
        <f t="shared" si="24"/>
        <v>0</v>
      </c>
      <c r="AB148" s="147">
        <f t="shared" si="24"/>
        <v>0</v>
      </c>
      <c r="AC148" s="147">
        <f t="shared" si="24"/>
        <v>0</v>
      </c>
      <c r="AD148" s="147">
        <f t="shared" si="24"/>
        <v>0</v>
      </c>
      <c r="AE148" s="147">
        <f t="shared" si="24"/>
        <v>0</v>
      </c>
      <c r="AF148" s="146">
        <f t="shared" si="24"/>
        <v>0</v>
      </c>
      <c r="AG148" s="145">
        <f t="shared" si="23"/>
        <v>0</v>
      </c>
    </row>
    <row r="149" spans="1:34" ht="19.5" thickBot="1" x14ac:dyDescent="0.3">
      <c r="A149" s="327" t="s">
        <v>80</v>
      </c>
      <c r="B149" s="266"/>
      <c r="C149" s="143"/>
      <c r="D149" s="143"/>
      <c r="E149" s="143"/>
      <c r="F149" s="143"/>
      <c r="G149" s="143"/>
      <c r="H149" s="143"/>
      <c r="I149" s="143"/>
      <c r="J149" s="143"/>
      <c r="K149" s="143"/>
      <c r="L149" s="143"/>
      <c r="M149" s="143"/>
      <c r="N149" s="143"/>
      <c r="O149" s="143"/>
      <c r="P149" s="143"/>
      <c r="Q149" s="143"/>
      <c r="R149" s="143"/>
      <c r="S149" s="143"/>
      <c r="T149" s="143"/>
      <c r="U149" s="143"/>
      <c r="V149" s="143"/>
      <c r="W149" s="143"/>
      <c r="X149" s="143"/>
      <c r="Y149" s="143"/>
      <c r="Z149" s="143"/>
      <c r="AA149" s="143"/>
      <c r="AB149" s="143"/>
      <c r="AC149" s="143"/>
      <c r="AD149" s="143"/>
      <c r="AE149" s="143"/>
      <c r="AF149" s="142"/>
      <c r="AG149" s="86">
        <f t="shared" si="23"/>
        <v>0</v>
      </c>
    </row>
    <row r="150" spans="1:34" ht="18.75" x14ac:dyDescent="0.25">
      <c r="A150" s="329" t="s">
        <v>79</v>
      </c>
      <c r="B150" s="268"/>
      <c r="C150" s="136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5"/>
      <c r="AG150" s="134">
        <f t="shared" si="23"/>
        <v>0</v>
      </c>
    </row>
    <row r="151" spans="1:34" ht="18.75" x14ac:dyDescent="0.25">
      <c r="A151" s="330" t="s">
        <v>78</v>
      </c>
      <c r="B151" s="269"/>
      <c r="C151" s="130"/>
      <c r="D151" s="130"/>
      <c r="E151" s="130"/>
      <c r="F151" s="130"/>
      <c r="G151" s="130"/>
      <c r="H151" s="130"/>
      <c r="I151" s="130"/>
      <c r="J151" s="130"/>
      <c r="K151" s="130"/>
      <c r="L151" s="130"/>
      <c r="M151" s="130"/>
      <c r="N151" s="130"/>
      <c r="O151" s="130"/>
      <c r="P151" s="130"/>
      <c r="Q151" s="130"/>
      <c r="R151" s="130"/>
      <c r="S151" s="130"/>
      <c r="T151" s="130"/>
      <c r="U151" s="130"/>
      <c r="V151" s="130"/>
      <c r="W151" s="130"/>
      <c r="X151" s="130"/>
      <c r="Y151" s="130"/>
      <c r="Z151" s="130"/>
      <c r="AA151" s="130"/>
      <c r="AB151" s="130"/>
      <c r="AC151" s="130"/>
      <c r="AD151" s="130"/>
      <c r="AE151" s="130"/>
      <c r="AF151" s="129"/>
      <c r="AG151" s="64">
        <f t="shared" si="23"/>
        <v>0</v>
      </c>
    </row>
    <row r="152" spans="1:34" ht="18.75" x14ac:dyDescent="0.25">
      <c r="A152" s="330" t="s">
        <v>77</v>
      </c>
      <c r="B152" s="269"/>
      <c r="C152" s="130"/>
      <c r="D152" s="130"/>
      <c r="E152" s="130"/>
      <c r="F152" s="130"/>
      <c r="G152" s="130"/>
      <c r="H152" s="130"/>
      <c r="I152" s="130"/>
      <c r="J152" s="130"/>
      <c r="K152" s="130"/>
      <c r="L152" s="130"/>
      <c r="M152" s="130"/>
      <c r="N152" s="130"/>
      <c r="O152" s="130"/>
      <c r="P152" s="130"/>
      <c r="Q152" s="130"/>
      <c r="R152" s="130"/>
      <c r="S152" s="130"/>
      <c r="T152" s="130"/>
      <c r="U152" s="130"/>
      <c r="V152" s="130"/>
      <c r="W152" s="130"/>
      <c r="X152" s="130"/>
      <c r="Y152" s="130"/>
      <c r="Z152" s="130"/>
      <c r="AA152" s="130"/>
      <c r="AB152" s="130"/>
      <c r="AC152" s="130"/>
      <c r="AD152" s="130"/>
      <c r="AE152" s="130"/>
      <c r="AF152" s="129"/>
      <c r="AG152" s="64">
        <f t="shared" si="23"/>
        <v>0</v>
      </c>
    </row>
    <row r="153" spans="1:34" ht="19.5" thickBot="1" x14ac:dyDescent="0.3">
      <c r="A153" s="331" t="s">
        <v>76</v>
      </c>
      <c r="B153" s="270"/>
      <c r="C153" s="127"/>
      <c r="D153" s="127"/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  <c r="Y153" s="127"/>
      <c r="Z153" s="127"/>
      <c r="AA153" s="127"/>
      <c r="AB153" s="127"/>
      <c r="AC153" s="127"/>
      <c r="AD153" s="127"/>
      <c r="AE153" s="127"/>
      <c r="AF153" s="126"/>
      <c r="AG153" s="10">
        <f t="shared" si="23"/>
        <v>0</v>
      </c>
    </row>
    <row r="154" spans="1:34" ht="19.5" thickBot="1" x14ac:dyDescent="0.3">
      <c r="A154" s="328" t="s">
        <v>75</v>
      </c>
      <c r="B154" s="267"/>
      <c r="C154" s="147"/>
      <c r="D154" s="147"/>
      <c r="E154" s="147"/>
      <c r="F154" s="147"/>
      <c r="G154" s="147"/>
      <c r="H154" s="147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  <c r="AA154" s="147"/>
      <c r="AB154" s="147"/>
      <c r="AC154" s="147"/>
      <c r="AD154" s="147"/>
      <c r="AE154" s="147"/>
      <c r="AF154" s="146"/>
      <c r="AG154" s="145">
        <f t="shared" si="23"/>
        <v>0</v>
      </c>
    </row>
    <row r="155" spans="1:34" ht="19.5" thickBot="1" x14ac:dyDescent="0.3">
      <c r="A155" s="327" t="s">
        <v>74</v>
      </c>
      <c r="B155" s="266"/>
      <c r="C155" s="143"/>
      <c r="D155" s="143"/>
      <c r="E155" s="143"/>
      <c r="F155" s="143"/>
      <c r="G155" s="143"/>
      <c r="H155" s="143"/>
      <c r="I155" s="143"/>
      <c r="J155" s="143"/>
      <c r="K155" s="143"/>
      <c r="L155" s="143"/>
      <c r="M155" s="143"/>
      <c r="N155" s="143"/>
      <c r="O155" s="143"/>
      <c r="P155" s="143"/>
      <c r="Q155" s="143"/>
      <c r="R155" s="143"/>
      <c r="S155" s="143"/>
      <c r="T155" s="143"/>
      <c r="U155" s="143"/>
      <c r="V155" s="143"/>
      <c r="W155" s="143"/>
      <c r="X155" s="143"/>
      <c r="Y155" s="143"/>
      <c r="Z155" s="143"/>
      <c r="AA155" s="143"/>
      <c r="AB155" s="143"/>
      <c r="AC155" s="143"/>
      <c r="AD155" s="143"/>
      <c r="AE155" s="143"/>
      <c r="AF155" s="142"/>
      <c r="AG155" s="86">
        <f t="shared" si="23"/>
        <v>0</v>
      </c>
    </row>
    <row r="156" spans="1:34" ht="18.75" x14ac:dyDescent="0.25">
      <c r="A156" s="332" t="s">
        <v>73</v>
      </c>
      <c r="B156" s="271">
        <v>154</v>
      </c>
      <c r="C156" s="18">
        <v>150</v>
      </c>
      <c r="D156" s="18">
        <v>152</v>
      </c>
      <c r="E156" s="18">
        <v>164</v>
      </c>
      <c r="F156" s="18">
        <v>150</v>
      </c>
      <c r="G156" s="18">
        <v>167</v>
      </c>
      <c r="H156" s="18">
        <v>164</v>
      </c>
      <c r="I156" s="18">
        <v>179</v>
      </c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7"/>
      <c r="AG156" s="7">
        <f t="shared" si="23"/>
        <v>1280</v>
      </c>
      <c r="AH156" s="98" t="s">
        <v>72</v>
      </c>
    </row>
    <row r="157" spans="1:34" ht="19.5" thickBot="1" x14ac:dyDescent="0.3">
      <c r="A157" s="324" t="s">
        <v>71</v>
      </c>
      <c r="B157" s="263">
        <v>9</v>
      </c>
      <c r="C157" s="140">
        <v>3</v>
      </c>
      <c r="D157" s="140">
        <v>1</v>
      </c>
      <c r="E157" s="140">
        <v>1</v>
      </c>
      <c r="F157" s="140">
        <v>2</v>
      </c>
      <c r="G157" s="140">
        <v>7</v>
      </c>
      <c r="H157" s="140">
        <v>6</v>
      </c>
      <c r="I157" s="140">
        <v>3</v>
      </c>
      <c r="J157" s="140"/>
      <c r="K157" s="140"/>
      <c r="L157" s="140"/>
      <c r="M157" s="140"/>
      <c r="N157" s="140"/>
      <c r="O157" s="140"/>
      <c r="P157" s="140"/>
      <c r="Q157" s="140"/>
      <c r="R157" s="140"/>
      <c r="S157" s="140"/>
      <c r="T157" s="140"/>
      <c r="U157" s="140"/>
      <c r="V157" s="140"/>
      <c r="W157" s="140"/>
      <c r="X157" s="140"/>
      <c r="Y157" s="140"/>
      <c r="Z157" s="140"/>
      <c r="AA157" s="140"/>
      <c r="AB157" s="140"/>
      <c r="AC157" s="140"/>
      <c r="AD157" s="140"/>
      <c r="AE157" s="140"/>
      <c r="AF157" s="139"/>
      <c r="AG157" s="138">
        <f t="shared" si="23"/>
        <v>32</v>
      </c>
      <c r="AH157" s="98"/>
    </row>
    <row r="158" spans="1:34" ht="19.5" thickBot="1" x14ac:dyDescent="0.3">
      <c r="A158" s="333" t="s">
        <v>70</v>
      </c>
      <c r="B158" s="272">
        <f t="shared" ref="B158:AF158" si="25">SUM(B159:B166)</f>
        <v>1</v>
      </c>
      <c r="C158" s="35">
        <f t="shared" si="25"/>
        <v>0</v>
      </c>
      <c r="D158" s="35">
        <f t="shared" si="25"/>
        <v>0</v>
      </c>
      <c r="E158" s="35">
        <f t="shared" si="25"/>
        <v>3</v>
      </c>
      <c r="F158" s="35">
        <f t="shared" si="25"/>
        <v>0</v>
      </c>
      <c r="G158" s="35">
        <f t="shared" si="25"/>
        <v>0</v>
      </c>
      <c r="H158" s="35">
        <f t="shared" si="25"/>
        <v>0</v>
      </c>
      <c r="I158" s="35">
        <f t="shared" si="25"/>
        <v>2</v>
      </c>
      <c r="J158" s="35">
        <f t="shared" si="25"/>
        <v>0</v>
      </c>
      <c r="K158" s="35">
        <f t="shared" si="25"/>
        <v>0</v>
      </c>
      <c r="L158" s="35">
        <f t="shared" si="25"/>
        <v>0</v>
      </c>
      <c r="M158" s="35">
        <f t="shared" si="25"/>
        <v>0</v>
      </c>
      <c r="N158" s="35">
        <f t="shared" si="25"/>
        <v>0</v>
      </c>
      <c r="O158" s="35">
        <f t="shared" si="25"/>
        <v>0</v>
      </c>
      <c r="P158" s="35">
        <f t="shared" si="25"/>
        <v>0</v>
      </c>
      <c r="Q158" s="35">
        <f t="shared" si="25"/>
        <v>0</v>
      </c>
      <c r="R158" s="35">
        <f t="shared" si="25"/>
        <v>0</v>
      </c>
      <c r="S158" s="35">
        <f t="shared" si="25"/>
        <v>0</v>
      </c>
      <c r="T158" s="35">
        <f t="shared" si="25"/>
        <v>0</v>
      </c>
      <c r="U158" s="35">
        <f t="shared" si="25"/>
        <v>0</v>
      </c>
      <c r="V158" s="35">
        <f t="shared" si="25"/>
        <v>0</v>
      </c>
      <c r="W158" s="35">
        <f t="shared" si="25"/>
        <v>0</v>
      </c>
      <c r="X158" s="35">
        <f t="shared" si="25"/>
        <v>0</v>
      </c>
      <c r="Y158" s="35">
        <f t="shared" si="25"/>
        <v>0</v>
      </c>
      <c r="Z158" s="35">
        <f t="shared" si="25"/>
        <v>0</v>
      </c>
      <c r="AA158" s="35">
        <f t="shared" si="25"/>
        <v>0</v>
      </c>
      <c r="AB158" s="35">
        <f t="shared" si="25"/>
        <v>0</v>
      </c>
      <c r="AC158" s="35">
        <f t="shared" si="25"/>
        <v>0</v>
      </c>
      <c r="AD158" s="35">
        <f t="shared" si="25"/>
        <v>0</v>
      </c>
      <c r="AE158" s="35">
        <f t="shared" si="25"/>
        <v>0</v>
      </c>
      <c r="AF158" s="34">
        <f t="shared" si="25"/>
        <v>0</v>
      </c>
      <c r="AG158" s="33">
        <f t="shared" si="23"/>
        <v>6</v>
      </c>
    </row>
    <row r="159" spans="1:34" ht="18.75" x14ac:dyDescent="0.25">
      <c r="A159" s="329" t="s">
        <v>69</v>
      </c>
      <c r="B159" s="268"/>
      <c r="C159" s="136"/>
      <c r="D159" s="136"/>
      <c r="E159" s="136">
        <v>2</v>
      </c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A159" s="136"/>
      <c r="AB159" s="136"/>
      <c r="AC159" s="136"/>
      <c r="AD159" s="136"/>
      <c r="AE159" s="136"/>
      <c r="AF159" s="135"/>
      <c r="AG159" s="134">
        <f t="shared" si="23"/>
        <v>2</v>
      </c>
    </row>
    <row r="160" spans="1:34" ht="18.75" x14ac:dyDescent="0.25">
      <c r="A160" s="330" t="s">
        <v>68</v>
      </c>
      <c r="B160" s="269">
        <v>1</v>
      </c>
      <c r="C160" s="130"/>
      <c r="D160" s="130"/>
      <c r="E160" s="130"/>
      <c r="F160" s="130"/>
      <c r="G160" s="130"/>
      <c r="H160" s="130"/>
      <c r="I160" s="130"/>
      <c r="J160" s="130"/>
      <c r="K160" s="130"/>
      <c r="L160" s="130"/>
      <c r="M160" s="130"/>
      <c r="N160" s="130"/>
      <c r="O160" s="130"/>
      <c r="P160" s="130"/>
      <c r="Q160" s="130"/>
      <c r="R160" s="130"/>
      <c r="S160" s="130"/>
      <c r="T160" s="130"/>
      <c r="U160" s="130"/>
      <c r="V160" s="130"/>
      <c r="W160" s="130"/>
      <c r="X160" s="130"/>
      <c r="Y160" s="130"/>
      <c r="Z160" s="130"/>
      <c r="AA160" s="130"/>
      <c r="AB160" s="130"/>
      <c r="AC160" s="130"/>
      <c r="AD160" s="130"/>
      <c r="AE160" s="130"/>
      <c r="AF160" s="129"/>
      <c r="AG160" s="64">
        <f t="shared" si="23"/>
        <v>1</v>
      </c>
    </row>
    <row r="161" spans="1:34" ht="18.75" x14ac:dyDescent="0.25">
      <c r="A161" s="330" t="s">
        <v>67</v>
      </c>
      <c r="B161" s="269"/>
      <c r="C161" s="130"/>
      <c r="D161" s="130"/>
      <c r="E161" s="130"/>
      <c r="F161" s="130"/>
      <c r="G161" s="130"/>
      <c r="H161" s="130"/>
      <c r="I161" s="130">
        <v>2</v>
      </c>
      <c r="J161" s="130"/>
      <c r="K161" s="130"/>
      <c r="L161" s="130"/>
      <c r="M161" s="130"/>
      <c r="N161" s="130"/>
      <c r="O161" s="130"/>
      <c r="P161" s="130"/>
      <c r="Q161" s="130"/>
      <c r="R161" s="130"/>
      <c r="S161" s="130"/>
      <c r="T161" s="130"/>
      <c r="U161" s="130"/>
      <c r="V161" s="130"/>
      <c r="W161" s="130"/>
      <c r="X161" s="130"/>
      <c r="Y161" s="130"/>
      <c r="Z161" s="130"/>
      <c r="AA161" s="130"/>
      <c r="AB161" s="130"/>
      <c r="AC161" s="130"/>
      <c r="AD161" s="130"/>
      <c r="AE161" s="130"/>
      <c r="AF161" s="129"/>
      <c r="AG161" s="64">
        <f t="shared" si="23"/>
        <v>2</v>
      </c>
    </row>
    <row r="162" spans="1:34" ht="18.75" x14ac:dyDescent="0.25">
      <c r="A162" s="330" t="s">
        <v>66</v>
      </c>
      <c r="B162" s="269"/>
      <c r="C162" s="130"/>
      <c r="D162" s="130"/>
      <c r="E162" s="130">
        <v>1</v>
      </c>
      <c r="F162" s="130"/>
      <c r="G162" s="130"/>
      <c r="H162" s="130"/>
      <c r="I162" s="130"/>
      <c r="J162" s="130"/>
      <c r="K162" s="130"/>
      <c r="L162" s="130"/>
      <c r="M162" s="130"/>
      <c r="N162" s="130"/>
      <c r="O162" s="130"/>
      <c r="P162" s="130"/>
      <c r="Q162" s="130"/>
      <c r="R162" s="130"/>
      <c r="S162" s="130"/>
      <c r="T162" s="130"/>
      <c r="U162" s="130"/>
      <c r="V162" s="130"/>
      <c r="W162" s="130"/>
      <c r="X162" s="130"/>
      <c r="Y162" s="130"/>
      <c r="Z162" s="130"/>
      <c r="AA162" s="130"/>
      <c r="AB162" s="130"/>
      <c r="AC162" s="130"/>
      <c r="AD162" s="130"/>
      <c r="AE162" s="130"/>
      <c r="AF162" s="129"/>
      <c r="AG162" s="64">
        <f t="shared" si="23"/>
        <v>1</v>
      </c>
    </row>
    <row r="163" spans="1:34" ht="18.75" x14ac:dyDescent="0.25">
      <c r="A163" s="330" t="s">
        <v>65</v>
      </c>
      <c r="B163" s="269"/>
      <c r="C163" s="130"/>
      <c r="D163" s="130"/>
      <c r="E163" s="130"/>
      <c r="F163" s="130"/>
      <c r="G163" s="130"/>
      <c r="H163" s="130"/>
      <c r="I163" s="130"/>
      <c r="J163" s="130"/>
      <c r="K163" s="130"/>
      <c r="L163" s="130"/>
      <c r="M163" s="130"/>
      <c r="N163" s="130"/>
      <c r="O163" s="130"/>
      <c r="P163" s="130"/>
      <c r="Q163" s="130"/>
      <c r="R163" s="130"/>
      <c r="S163" s="130"/>
      <c r="T163" s="130"/>
      <c r="U163" s="130"/>
      <c r="V163" s="130"/>
      <c r="W163" s="130"/>
      <c r="X163" s="130"/>
      <c r="Y163" s="130"/>
      <c r="Z163" s="130"/>
      <c r="AA163" s="130"/>
      <c r="AB163" s="130"/>
      <c r="AC163" s="130"/>
      <c r="AD163" s="130"/>
      <c r="AE163" s="130"/>
      <c r="AF163" s="129"/>
      <c r="AG163" s="64">
        <f t="shared" si="23"/>
        <v>0</v>
      </c>
    </row>
    <row r="164" spans="1:34" ht="18.75" x14ac:dyDescent="0.25">
      <c r="A164" s="330" t="s">
        <v>64</v>
      </c>
      <c r="B164" s="269"/>
      <c r="C164" s="130"/>
      <c r="D164" s="130"/>
      <c r="E164" s="130"/>
      <c r="F164" s="130"/>
      <c r="G164" s="130"/>
      <c r="H164" s="130"/>
      <c r="I164" s="130"/>
      <c r="J164" s="130"/>
      <c r="K164" s="130"/>
      <c r="L164" s="130"/>
      <c r="M164" s="130"/>
      <c r="N164" s="130"/>
      <c r="O164" s="130"/>
      <c r="P164" s="130"/>
      <c r="Q164" s="130"/>
      <c r="R164" s="130"/>
      <c r="S164" s="130"/>
      <c r="T164" s="130"/>
      <c r="U164" s="130"/>
      <c r="V164" s="130"/>
      <c r="W164" s="130"/>
      <c r="X164" s="130"/>
      <c r="Y164" s="130"/>
      <c r="Z164" s="130"/>
      <c r="AA164" s="130"/>
      <c r="AB164" s="130"/>
      <c r="AC164" s="130"/>
      <c r="AD164" s="130"/>
      <c r="AE164" s="130"/>
      <c r="AF164" s="129"/>
      <c r="AG164" s="64">
        <f t="shared" si="23"/>
        <v>0</v>
      </c>
    </row>
    <row r="165" spans="1:34" ht="18.75" x14ac:dyDescent="0.25">
      <c r="A165" s="330" t="s">
        <v>63</v>
      </c>
      <c r="B165" s="269"/>
      <c r="C165" s="130"/>
      <c r="D165" s="130"/>
      <c r="E165" s="130"/>
      <c r="F165" s="130"/>
      <c r="G165" s="130"/>
      <c r="H165" s="130"/>
      <c r="I165" s="130"/>
      <c r="J165" s="130"/>
      <c r="K165" s="130"/>
      <c r="L165" s="130"/>
      <c r="M165" s="130"/>
      <c r="N165" s="130"/>
      <c r="O165" s="130"/>
      <c r="P165" s="130"/>
      <c r="Q165" s="130"/>
      <c r="R165" s="130"/>
      <c r="S165" s="130"/>
      <c r="T165" s="130"/>
      <c r="U165" s="130"/>
      <c r="V165" s="130"/>
      <c r="W165" s="130"/>
      <c r="X165" s="130"/>
      <c r="Y165" s="130"/>
      <c r="Z165" s="130"/>
      <c r="AA165" s="130"/>
      <c r="AB165" s="130"/>
      <c r="AC165" s="130"/>
      <c r="AD165" s="130"/>
      <c r="AE165" s="130"/>
      <c r="AF165" s="129"/>
      <c r="AG165" s="64">
        <f t="shared" si="23"/>
        <v>0</v>
      </c>
    </row>
    <row r="166" spans="1:34" ht="19.5" thickBot="1" x14ac:dyDescent="0.3">
      <c r="A166" s="331" t="s">
        <v>62</v>
      </c>
      <c r="B166" s="270"/>
      <c r="C166" s="127"/>
      <c r="D166" s="127"/>
      <c r="E166" s="127"/>
      <c r="F166" s="127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  <c r="Y166" s="127"/>
      <c r="Z166" s="127"/>
      <c r="AA166" s="127"/>
      <c r="AB166" s="127"/>
      <c r="AC166" s="127"/>
      <c r="AD166" s="127"/>
      <c r="AE166" s="127"/>
      <c r="AF166" s="126"/>
      <c r="AG166" s="10">
        <f t="shared" si="23"/>
        <v>0</v>
      </c>
    </row>
    <row r="167" spans="1:34" ht="18.75" x14ac:dyDescent="0.25">
      <c r="A167" s="332" t="s">
        <v>61</v>
      </c>
      <c r="B167" s="271">
        <f t="shared" ref="B167:AF167" si="26">SUM(B168:B171)</f>
        <v>0</v>
      </c>
      <c r="C167" s="18">
        <f t="shared" si="26"/>
        <v>0</v>
      </c>
      <c r="D167" s="18">
        <f t="shared" si="26"/>
        <v>0</v>
      </c>
      <c r="E167" s="18">
        <f t="shared" si="26"/>
        <v>0</v>
      </c>
      <c r="F167" s="18">
        <f t="shared" si="26"/>
        <v>0</v>
      </c>
      <c r="G167" s="18">
        <f t="shared" si="26"/>
        <v>7</v>
      </c>
      <c r="H167" s="18">
        <f t="shared" si="26"/>
        <v>2</v>
      </c>
      <c r="I167" s="18">
        <f t="shared" si="26"/>
        <v>1</v>
      </c>
      <c r="J167" s="18">
        <f t="shared" si="26"/>
        <v>0</v>
      </c>
      <c r="K167" s="18">
        <f t="shared" si="26"/>
        <v>0</v>
      </c>
      <c r="L167" s="18">
        <f t="shared" si="26"/>
        <v>0</v>
      </c>
      <c r="M167" s="18">
        <f t="shared" si="26"/>
        <v>0</v>
      </c>
      <c r="N167" s="18">
        <f t="shared" si="26"/>
        <v>0</v>
      </c>
      <c r="O167" s="18">
        <f t="shared" si="26"/>
        <v>0</v>
      </c>
      <c r="P167" s="18">
        <f t="shared" si="26"/>
        <v>0</v>
      </c>
      <c r="Q167" s="18">
        <f t="shared" si="26"/>
        <v>0</v>
      </c>
      <c r="R167" s="18">
        <f t="shared" si="26"/>
        <v>0</v>
      </c>
      <c r="S167" s="18">
        <f t="shared" si="26"/>
        <v>0</v>
      </c>
      <c r="T167" s="18">
        <f t="shared" si="26"/>
        <v>0</v>
      </c>
      <c r="U167" s="18">
        <f t="shared" si="26"/>
        <v>0</v>
      </c>
      <c r="V167" s="18">
        <f t="shared" si="26"/>
        <v>0</v>
      </c>
      <c r="W167" s="18">
        <f t="shared" si="26"/>
        <v>0</v>
      </c>
      <c r="X167" s="18">
        <f t="shared" si="26"/>
        <v>0</v>
      </c>
      <c r="Y167" s="18">
        <f t="shared" si="26"/>
        <v>0</v>
      </c>
      <c r="Z167" s="18">
        <f t="shared" si="26"/>
        <v>0</v>
      </c>
      <c r="AA167" s="18">
        <f t="shared" si="26"/>
        <v>0</v>
      </c>
      <c r="AB167" s="18">
        <f t="shared" si="26"/>
        <v>0</v>
      </c>
      <c r="AC167" s="18">
        <f t="shared" si="26"/>
        <v>0</v>
      </c>
      <c r="AD167" s="18">
        <f t="shared" si="26"/>
        <v>0</v>
      </c>
      <c r="AE167" s="18">
        <f t="shared" si="26"/>
        <v>0</v>
      </c>
      <c r="AF167" s="17">
        <f t="shared" si="26"/>
        <v>0</v>
      </c>
      <c r="AG167" s="7">
        <f t="shared" si="23"/>
        <v>10</v>
      </c>
    </row>
    <row r="168" spans="1:34" ht="18.75" x14ac:dyDescent="0.25">
      <c r="A168" s="334" t="s">
        <v>60</v>
      </c>
      <c r="B168" s="269"/>
      <c r="C168" s="130"/>
      <c r="D168" s="130"/>
      <c r="E168" s="130"/>
      <c r="F168" s="130"/>
      <c r="G168" s="130"/>
      <c r="H168" s="130"/>
      <c r="I168" s="130"/>
      <c r="J168" s="130"/>
      <c r="K168" s="130"/>
      <c r="L168" s="130"/>
      <c r="M168" s="130"/>
      <c r="N168" s="130"/>
      <c r="O168" s="130"/>
      <c r="P168" s="130"/>
      <c r="Q168" s="130"/>
      <c r="R168" s="130"/>
      <c r="S168" s="130"/>
      <c r="T168" s="130"/>
      <c r="U168" s="130"/>
      <c r="V168" s="130"/>
      <c r="W168" s="130"/>
      <c r="X168" s="130"/>
      <c r="Y168" s="130"/>
      <c r="Z168" s="130"/>
      <c r="AA168" s="130"/>
      <c r="AB168" s="130"/>
      <c r="AC168" s="130"/>
      <c r="AD168" s="130"/>
      <c r="AE168" s="130"/>
      <c r="AF168" s="129"/>
      <c r="AG168" s="64">
        <f t="shared" si="23"/>
        <v>0</v>
      </c>
    </row>
    <row r="169" spans="1:34" ht="18.75" x14ac:dyDescent="0.25">
      <c r="A169" s="334" t="s">
        <v>59</v>
      </c>
      <c r="B169" s="269"/>
      <c r="C169" s="130"/>
      <c r="D169" s="130"/>
      <c r="E169" s="130"/>
      <c r="F169" s="130"/>
      <c r="G169" s="130"/>
      <c r="H169" s="130"/>
      <c r="I169" s="130"/>
      <c r="J169" s="130"/>
      <c r="K169" s="130"/>
      <c r="L169" s="130"/>
      <c r="M169" s="130"/>
      <c r="N169" s="130"/>
      <c r="O169" s="130"/>
      <c r="P169" s="130"/>
      <c r="Q169" s="130"/>
      <c r="R169" s="130"/>
      <c r="S169" s="130"/>
      <c r="T169" s="130"/>
      <c r="U169" s="130"/>
      <c r="V169" s="130"/>
      <c r="W169" s="130"/>
      <c r="X169" s="130"/>
      <c r="Y169" s="130"/>
      <c r="Z169" s="130"/>
      <c r="AA169" s="130"/>
      <c r="AB169" s="130"/>
      <c r="AC169" s="130"/>
      <c r="AD169" s="130"/>
      <c r="AE169" s="130"/>
      <c r="AF169" s="129"/>
      <c r="AG169" s="64">
        <f t="shared" si="23"/>
        <v>0</v>
      </c>
    </row>
    <row r="170" spans="1:34" ht="18.75" x14ac:dyDescent="0.25">
      <c r="A170" s="334" t="s">
        <v>58</v>
      </c>
      <c r="B170" s="269"/>
      <c r="C170" s="130"/>
      <c r="D170" s="130"/>
      <c r="E170" s="130"/>
      <c r="F170" s="130"/>
      <c r="G170" s="130"/>
      <c r="H170" s="130"/>
      <c r="I170" s="130"/>
      <c r="J170" s="130"/>
      <c r="K170" s="130"/>
      <c r="L170" s="130"/>
      <c r="M170" s="130"/>
      <c r="N170" s="130"/>
      <c r="O170" s="130"/>
      <c r="P170" s="130"/>
      <c r="Q170" s="130"/>
      <c r="R170" s="130"/>
      <c r="S170" s="130"/>
      <c r="T170" s="130"/>
      <c r="U170" s="130"/>
      <c r="V170" s="130"/>
      <c r="W170" s="130"/>
      <c r="X170" s="130"/>
      <c r="Y170" s="130"/>
      <c r="Z170" s="130"/>
      <c r="AA170" s="130"/>
      <c r="AB170" s="130"/>
      <c r="AC170" s="130"/>
      <c r="AD170" s="130"/>
      <c r="AE170" s="130"/>
      <c r="AF170" s="129"/>
      <c r="AG170" s="64">
        <f t="shared" si="23"/>
        <v>0</v>
      </c>
    </row>
    <row r="171" spans="1:34" ht="19.5" thickBot="1" x14ac:dyDescent="0.3">
      <c r="A171" s="335" t="s">
        <v>57</v>
      </c>
      <c r="B171" s="270"/>
      <c r="C171" s="127"/>
      <c r="D171" s="127"/>
      <c r="E171" s="127"/>
      <c r="F171" s="127"/>
      <c r="G171" s="127">
        <f>6+1</f>
        <v>7</v>
      </c>
      <c r="H171" s="127">
        <v>2</v>
      </c>
      <c r="I171" s="127">
        <v>1</v>
      </c>
      <c r="J171" s="127"/>
      <c r="K171" s="127"/>
      <c r="L171" s="127"/>
      <c r="M171" s="127"/>
      <c r="N171" s="127"/>
      <c r="O171" s="127"/>
      <c r="P171" s="127"/>
      <c r="Q171" s="127"/>
      <c r="R171" s="127"/>
      <c r="S171" s="127"/>
      <c r="T171" s="127"/>
      <c r="U171" s="127"/>
      <c r="V171" s="127"/>
      <c r="W171" s="127"/>
      <c r="X171" s="127"/>
      <c r="Y171" s="127"/>
      <c r="Z171" s="127"/>
      <c r="AA171" s="127"/>
      <c r="AB171" s="127"/>
      <c r="AC171" s="127"/>
      <c r="AD171" s="127"/>
      <c r="AE171" s="127"/>
      <c r="AF171" s="126"/>
      <c r="AG171" s="10">
        <f t="shared" si="23"/>
        <v>10</v>
      </c>
    </row>
    <row r="172" spans="1:34" ht="19.5" thickBot="1" x14ac:dyDescent="0.3">
      <c r="A172" s="336" t="s">
        <v>56</v>
      </c>
      <c r="B172" s="273"/>
      <c r="C172" s="124"/>
      <c r="D172" s="124"/>
      <c r="E172" s="124"/>
      <c r="F172" s="124"/>
      <c r="G172" s="124">
        <v>1</v>
      </c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  <c r="S172" s="124"/>
      <c r="T172" s="124"/>
      <c r="U172" s="124"/>
      <c r="V172" s="124"/>
      <c r="W172" s="124"/>
      <c r="X172" s="124"/>
      <c r="Y172" s="124"/>
      <c r="Z172" s="124"/>
      <c r="AA172" s="124"/>
      <c r="AB172" s="124"/>
      <c r="AC172" s="124"/>
      <c r="AD172" s="124"/>
      <c r="AE172" s="124"/>
      <c r="AF172" s="123"/>
      <c r="AG172" s="122">
        <f t="shared" si="23"/>
        <v>1</v>
      </c>
    </row>
    <row r="173" spans="1:34" ht="19.5" thickBot="1" x14ac:dyDescent="0.3">
      <c r="A173" s="299" t="s">
        <v>55</v>
      </c>
      <c r="B173" s="247">
        <f>SUM(B174:B176)</f>
        <v>0</v>
      </c>
      <c r="C173" s="120">
        <f t="shared" ref="C173:AF173" si="27">SUM(C174:C176)</f>
        <v>3</v>
      </c>
      <c r="D173" s="120">
        <f t="shared" si="27"/>
        <v>0</v>
      </c>
      <c r="E173" s="120">
        <f t="shared" si="27"/>
        <v>1</v>
      </c>
      <c r="F173" s="120">
        <f t="shared" si="27"/>
        <v>0</v>
      </c>
      <c r="G173" s="120">
        <f t="shared" si="27"/>
        <v>1</v>
      </c>
      <c r="H173" s="120">
        <f t="shared" si="27"/>
        <v>0</v>
      </c>
      <c r="I173" s="120">
        <f t="shared" si="27"/>
        <v>0</v>
      </c>
      <c r="J173" s="120">
        <f t="shared" si="27"/>
        <v>0</v>
      </c>
      <c r="K173" s="120">
        <f t="shared" si="27"/>
        <v>0</v>
      </c>
      <c r="L173" s="120">
        <f t="shared" si="27"/>
        <v>0</v>
      </c>
      <c r="M173" s="120">
        <f t="shared" si="27"/>
        <v>0</v>
      </c>
      <c r="N173" s="120">
        <f t="shared" si="27"/>
        <v>0</v>
      </c>
      <c r="O173" s="120">
        <f t="shared" si="27"/>
        <v>0</v>
      </c>
      <c r="P173" s="120">
        <f t="shared" si="27"/>
        <v>0</v>
      </c>
      <c r="Q173" s="120">
        <f t="shared" si="27"/>
        <v>0</v>
      </c>
      <c r="R173" s="120">
        <f t="shared" si="27"/>
        <v>0</v>
      </c>
      <c r="S173" s="120">
        <f t="shared" si="27"/>
        <v>0</v>
      </c>
      <c r="T173" s="120">
        <f t="shared" si="27"/>
        <v>0</v>
      </c>
      <c r="U173" s="120">
        <f t="shared" si="27"/>
        <v>0</v>
      </c>
      <c r="V173" s="120">
        <f t="shared" si="27"/>
        <v>0</v>
      </c>
      <c r="W173" s="120">
        <f t="shared" si="27"/>
        <v>0</v>
      </c>
      <c r="X173" s="120">
        <f t="shared" si="27"/>
        <v>0</v>
      </c>
      <c r="Y173" s="120">
        <f t="shared" si="27"/>
        <v>0</v>
      </c>
      <c r="Z173" s="120">
        <f t="shared" si="27"/>
        <v>0</v>
      </c>
      <c r="AA173" s="120">
        <f t="shared" si="27"/>
        <v>0</v>
      </c>
      <c r="AB173" s="120">
        <f t="shared" si="27"/>
        <v>0</v>
      </c>
      <c r="AC173" s="120">
        <f t="shared" si="27"/>
        <v>0</v>
      </c>
      <c r="AD173" s="120">
        <f t="shared" si="27"/>
        <v>0</v>
      </c>
      <c r="AE173" s="120">
        <f t="shared" si="27"/>
        <v>0</v>
      </c>
      <c r="AF173" s="119">
        <f t="shared" si="27"/>
        <v>0</v>
      </c>
      <c r="AG173" s="118">
        <f t="shared" si="23"/>
        <v>5</v>
      </c>
      <c r="AH173" s="98" t="s">
        <v>54</v>
      </c>
    </row>
    <row r="174" spans="1:34" ht="18.75" x14ac:dyDescent="0.25">
      <c r="A174" s="337" t="s">
        <v>53</v>
      </c>
      <c r="B174" s="274">
        <v>0</v>
      </c>
      <c r="C174" s="116">
        <v>3</v>
      </c>
      <c r="D174" s="116">
        <v>0</v>
      </c>
      <c r="E174" s="116">
        <v>1</v>
      </c>
      <c r="F174" s="116">
        <v>0</v>
      </c>
      <c r="G174" s="116">
        <v>1</v>
      </c>
      <c r="H174" s="116">
        <v>0</v>
      </c>
      <c r="I174" s="116">
        <v>0</v>
      </c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6"/>
      <c r="V174" s="116"/>
      <c r="W174" s="116"/>
      <c r="X174" s="116"/>
      <c r="Y174" s="116"/>
      <c r="Z174" s="116"/>
      <c r="AA174" s="116"/>
      <c r="AB174" s="116"/>
      <c r="AC174" s="116"/>
      <c r="AD174" s="116"/>
      <c r="AE174" s="116"/>
      <c r="AF174" s="115"/>
      <c r="AG174" s="114">
        <f t="shared" si="23"/>
        <v>5</v>
      </c>
      <c r="AH174" s="98"/>
    </row>
    <row r="175" spans="1:34" ht="18.75" x14ac:dyDescent="0.25">
      <c r="A175" s="338" t="s">
        <v>52</v>
      </c>
      <c r="B175" s="275"/>
      <c r="C175" s="112"/>
      <c r="D175" s="112"/>
      <c r="E175" s="112"/>
      <c r="F175" s="112"/>
      <c r="G175" s="112"/>
      <c r="H175" s="112"/>
      <c r="I175" s="112"/>
      <c r="J175" s="112"/>
      <c r="K175" s="112"/>
      <c r="L175" s="112"/>
      <c r="M175" s="112"/>
      <c r="N175" s="112"/>
      <c r="O175" s="112"/>
      <c r="P175" s="112"/>
      <c r="Q175" s="112"/>
      <c r="R175" s="112"/>
      <c r="S175" s="112"/>
      <c r="T175" s="112"/>
      <c r="U175" s="112"/>
      <c r="V175" s="112"/>
      <c r="W175" s="112"/>
      <c r="X175" s="112"/>
      <c r="Y175" s="112"/>
      <c r="Z175" s="112"/>
      <c r="AA175" s="112"/>
      <c r="AB175" s="112"/>
      <c r="AC175" s="112"/>
      <c r="AD175" s="112"/>
      <c r="AE175" s="112"/>
      <c r="AF175" s="111"/>
      <c r="AG175" s="110">
        <f t="shared" si="23"/>
        <v>0</v>
      </c>
      <c r="AH175" s="98"/>
    </row>
    <row r="176" spans="1:34" ht="19.5" thickBot="1" x14ac:dyDescent="0.3">
      <c r="A176" s="371" t="s">
        <v>168</v>
      </c>
      <c r="B176" s="372"/>
      <c r="C176" s="373"/>
      <c r="D176" s="373"/>
      <c r="E176" s="373"/>
      <c r="F176" s="373"/>
      <c r="G176" s="373"/>
      <c r="H176" s="373"/>
      <c r="I176" s="373"/>
      <c r="J176" s="373"/>
      <c r="K176" s="373"/>
      <c r="L176" s="373"/>
      <c r="M176" s="373"/>
      <c r="N176" s="373"/>
      <c r="O176" s="373"/>
      <c r="P176" s="373"/>
      <c r="Q176" s="373"/>
      <c r="R176" s="373"/>
      <c r="S176" s="373"/>
      <c r="T176" s="373"/>
      <c r="U176" s="373"/>
      <c r="V176" s="373"/>
      <c r="W176" s="373"/>
      <c r="X176" s="373"/>
      <c r="Y176" s="373"/>
      <c r="Z176" s="373"/>
      <c r="AA176" s="373"/>
      <c r="AB176" s="373"/>
      <c r="AC176" s="373"/>
      <c r="AD176" s="373"/>
      <c r="AE176" s="373"/>
      <c r="AF176" s="374"/>
      <c r="AG176" s="375">
        <f t="shared" si="23"/>
        <v>0</v>
      </c>
      <c r="AH176" s="98"/>
    </row>
    <row r="177" spans="1:34" ht="19.5" thickBot="1" x14ac:dyDescent="0.3">
      <c r="A177" s="312" t="s">
        <v>51</v>
      </c>
      <c r="B177" s="376">
        <f t="shared" ref="B177:AF177" si="28">SUM(B178:B179)</f>
        <v>4</v>
      </c>
      <c r="C177" s="377">
        <f t="shared" si="28"/>
        <v>0</v>
      </c>
      <c r="D177" s="377">
        <f t="shared" si="28"/>
        <v>2</v>
      </c>
      <c r="E177" s="377">
        <f t="shared" si="28"/>
        <v>6</v>
      </c>
      <c r="F177" s="377">
        <f t="shared" si="28"/>
        <v>2</v>
      </c>
      <c r="G177" s="377">
        <f t="shared" si="28"/>
        <v>8</v>
      </c>
      <c r="H177" s="377">
        <f t="shared" si="28"/>
        <v>0</v>
      </c>
      <c r="I177" s="377">
        <f t="shared" si="28"/>
        <v>1</v>
      </c>
      <c r="J177" s="377">
        <f t="shared" si="28"/>
        <v>0</v>
      </c>
      <c r="K177" s="377">
        <f t="shared" si="28"/>
        <v>0</v>
      </c>
      <c r="L177" s="377">
        <f t="shared" si="28"/>
        <v>0</v>
      </c>
      <c r="M177" s="377">
        <f t="shared" si="28"/>
        <v>0</v>
      </c>
      <c r="N177" s="377">
        <f t="shared" si="28"/>
        <v>0</v>
      </c>
      <c r="O177" s="377">
        <f t="shared" si="28"/>
        <v>0</v>
      </c>
      <c r="P177" s="377">
        <f t="shared" si="28"/>
        <v>0</v>
      </c>
      <c r="Q177" s="377">
        <f t="shared" si="28"/>
        <v>0</v>
      </c>
      <c r="R177" s="377">
        <f t="shared" si="28"/>
        <v>0</v>
      </c>
      <c r="S177" s="377">
        <f t="shared" si="28"/>
        <v>0</v>
      </c>
      <c r="T177" s="377">
        <f t="shared" si="28"/>
        <v>0</v>
      </c>
      <c r="U177" s="377">
        <f t="shared" si="28"/>
        <v>0</v>
      </c>
      <c r="V177" s="377">
        <f t="shared" si="28"/>
        <v>0</v>
      </c>
      <c r="W177" s="377">
        <f t="shared" si="28"/>
        <v>0</v>
      </c>
      <c r="X177" s="377">
        <f t="shared" si="28"/>
        <v>0</v>
      </c>
      <c r="Y177" s="377">
        <f t="shared" si="28"/>
        <v>0</v>
      </c>
      <c r="Z177" s="377">
        <f t="shared" si="28"/>
        <v>0</v>
      </c>
      <c r="AA177" s="377">
        <f t="shared" si="28"/>
        <v>0</v>
      </c>
      <c r="AB177" s="377">
        <f t="shared" si="28"/>
        <v>0</v>
      </c>
      <c r="AC177" s="377">
        <f t="shared" si="28"/>
        <v>0</v>
      </c>
      <c r="AD177" s="377">
        <f t="shared" si="28"/>
        <v>0</v>
      </c>
      <c r="AE177" s="377">
        <f t="shared" si="28"/>
        <v>0</v>
      </c>
      <c r="AF177" s="378">
        <f t="shared" si="28"/>
        <v>0</v>
      </c>
      <c r="AG177" s="379">
        <f t="shared" si="23"/>
        <v>23</v>
      </c>
      <c r="AH177" s="98" t="s">
        <v>48</v>
      </c>
    </row>
    <row r="178" spans="1:34" ht="18.75" x14ac:dyDescent="0.25">
      <c r="A178" s="340" t="s">
        <v>50</v>
      </c>
      <c r="B178" s="277">
        <v>0</v>
      </c>
      <c r="C178" s="105">
        <v>0</v>
      </c>
      <c r="D178" s="105">
        <v>1</v>
      </c>
      <c r="E178" s="105">
        <v>1</v>
      </c>
      <c r="F178" s="105">
        <v>0</v>
      </c>
      <c r="G178" s="105">
        <v>4</v>
      </c>
      <c r="H178" s="105">
        <v>0</v>
      </c>
      <c r="I178" s="105">
        <v>0</v>
      </c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  <c r="AA178" s="105"/>
      <c r="AB178" s="105"/>
      <c r="AC178" s="105"/>
      <c r="AD178" s="105"/>
      <c r="AE178" s="105"/>
      <c r="AF178" s="104"/>
      <c r="AG178" s="103">
        <f t="shared" si="23"/>
        <v>6</v>
      </c>
      <c r="AH178" s="98" t="s">
        <v>48</v>
      </c>
    </row>
    <row r="179" spans="1:34" ht="19.5" thickBot="1" x14ac:dyDescent="0.3">
      <c r="A179" s="313" t="s">
        <v>49</v>
      </c>
      <c r="B179" s="278">
        <v>4</v>
      </c>
      <c r="C179" s="101">
        <v>0</v>
      </c>
      <c r="D179" s="101">
        <v>1</v>
      </c>
      <c r="E179" s="101">
        <v>5</v>
      </c>
      <c r="F179" s="101">
        <v>2</v>
      </c>
      <c r="G179" s="101">
        <v>4</v>
      </c>
      <c r="H179" s="101">
        <v>0</v>
      </c>
      <c r="I179" s="101">
        <v>1</v>
      </c>
      <c r="J179" s="101"/>
      <c r="K179" s="101"/>
      <c r="L179" s="101"/>
      <c r="M179" s="101"/>
      <c r="N179" s="101"/>
      <c r="O179" s="101"/>
      <c r="P179" s="101"/>
      <c r="Q179" s="101"/>
      <c r="R179" s="101"/>
      <c r="S179" s="101"/>
      <c r="T179" s="101"/>
      <c r="U179" s="101"/>
      <c r="V179" s="101"/>
      <c r="W179" s="101"/>
      <c r="X179" s="101"/>
      <c r="Y179" s="101"/>
      <c r="Z179" s="101"/>
      <c r="AA179" s="101"/>
      <c r="AB179" s="101"/>
      <c r="AC179" s="101"/>
      <c r="AD179" s="101"/>
      <c r="AE179" s="101"/>
      <c r="AF179" s="100"/>
      <c r="AG179" s="99">
        <f t="shared" si="23"/>
        <v>17</v>
      </c>
      <c r="AH179" s="98" t="s">
        <v>48</v>
      </c>
    </row>
    <row r="180" spans="1:34" ht="18.75" x14ac:dyDescent="0.25">
      <c r="A180" s="341" t="s">
        <v>47</v>
      </c>
      <c r="B180" s="279"/>
      <c r="C180" s="96"/>
      <c r="D180" s="96"/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  <c r="AA180" s="96"/>
      <c r="AB180" s="96"/>
      <c r="AC180" s="96"/>
      <c r="AD180" s="96"/>
      <c r="AE180" s="96"/>
      <c r="AF180" s="95"/>
      <c r="AG180" s="94">
        <f t="shared" ref="AG180:AG211" si="29">SUM(B180:AF180)</f>
        <v>0</v>
      </c>
    </row>
    <row r="181" spans="1:34" ht="19.5" thickBot="1" x14ac:dyDescent="0.3">
      <c r="A181" s="342" t="s">
        <v>46</v>
      </c>
      <c r="B181" s="280"/>
      <c r="C181" s="92"/>
      <c r="D181" s="92"/>
      <c r="E181" s="92"/>
      <c r="F181" s="92"/>
      <c r="G181" s="92"/>
      <c r="H181" s="92"/>
      <c r="I181" s="92"/>
      <c r="J181" s="92"/>
      <c r="K181" s="92"/>
      <c r="L181" s="92"/>
      <c r="M181" s="92"/>
      <c r="N181" s="92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2"/>
      <c r="AA181" s="92"/>
      <c r="AB181" s="92"/>
      <c r="AC181" s="92"/>
      <c r="AD181" s="92"/>
      <c r="AE181" s="92"/>
      <c r="AF181" s="91"/>
      <c r="AG181" s="90">
        <f t="shared" si="29"/>
        <v>0</v>
      </c>
    </row>
    <row r="182" spans="1:34" ht="19.5" thickBot="1" x14ac:dyDescent="0.3">
      <c r="A182" s="343" t="s">
        <v>45</v>
      </c>
      <c r="B182" s="281">
        <f t="shared" ref="B182:AF182" si="30">SUM(B183:B208)</f>
        <v>77</v>
      </c>
      <c r="C182" s="88">
        <f t="shared" si="30"/>
        <v>85</v>
      </c>
      <c r="D182" s="88">
        <f t="shared" si="30"/>
        <v>69</v>
      </c>
      <c r="E182" s="88">
        <f t="shared" si="30"/>
        <v>67</v>
      </c>
      <c r="F182" s="88">
        <f t="shared" si="30"/>
        <v>59</v>
      </c>
      <c r="G182" s="88">
        <f t="shared" si="30"/>
        <v>75</v>
      </c>
      <c r="H182" s="88">
        <f t="shared" si="30"/>
        <v>68</v>
      </c>
      <c r="I182" s="88">
        <f t="shared" si="30"/>
        <v>61</v>
      </c>
      <c r="J182" s="88">
        <f t="shared" si="30"/>
        <v>0</v>
      </c>
      <c r="K182" s="88">
        <f t="shared" si="30"/>
        <v>0</v>
      </c>
      <c r="L182" s="88">
        <f t="shared" si="30"/>
        <v>0</v>
      </c>
      <c r="M182" s="88">
        <f t="shared" si="30"/>
        <v>0</v>
      </c>
      <c r="N182" s="88">
        <f t="shared" si="30"/>
        <v>0</v>
      </c>
      <c r="O182" s="88">
        <f t="shared" si="30"/>
        <v>0</v>
      </c>
      <c r="P182" s="88">
        <f t="shared" si="30"/>
        <v>0</v>
      </c>
      <c r="Q182" s="88">
        <f t="shared" si="30"/>
        <v>0</v>
      </c>
      <c r="R182" s="88">
        <f t="shared" si="30"/>
        <v>0</v>
      </c>
      <c r="S182" s="88">
        <f t="shared" si="30"/>
        <v>0</v>
      </c>
      <c r="T182" s="88">
        <f t="shared" si="30"/>
        <v>0</v>
      </c>
      <c r="U182" s="88">
        <f t="shared" si="30"/>
        <v>0</v>
      </c>
      <c r="V182" s="88">
        <f t="shared" si="30"/>
        <v>0</v>
      </c>
      <c r="W182" s="88">
        <f t="shared" si="30"/>
        <v>0</v>
      </c>
      <c r="X182" s="88">
        <f t="shared" si="30"/>
        <v>0</v>
      </c>
      <c r="Y182" s="88">
        <f t="shared" si="30"/>
        <v>0</v>
      </c>
      <c r="Z182" s="88">
        <f t="shared" si="30"/>
        <v>0</v>
      </c>
      <c r="AA182" s="88">
        <f t="shared" si="30"/>
        <v>0</v>
      </c>
      <c r="AB182" s="88">
        <f t="shared" si="30"/>
        <v>0</v>
      </c>
      <c r="AC182" s="88">
        <f t="shared" si="30"/>
        <v>0</v>
      </c>
      <c r="AD182" s="88">
        <f t="shared" si="30"/>
        <v>0</v>
      </c>
      <c r="AE182" s="88">
        <f t="shared" si="30"/>
        <v>0</v>
      </c>
      <c r="AF182" s="87">
        <f t="shared" si="30"/>
        <v>0</v>
      </c>
      <c r="AG182" s="86">
        <f t="shared" si="29"/>
        <v>561</v>
      </c>
      <c r="AH182" s="85"/>
    </row>
    <row r="183" spans="1:34" ht="18.75" x14ac:dyDescent="0.25">
      <c r="A183" s="76" t="s">
        <v>44</v>
      </c>
      <c r="B183" s="282"/>
      <c r="C183" s="84">
        <v>5</v>
      </c>
      <c r="D183" s="84">
        <v>4</v>
      </c>
      <c r="E183" s="84">
        <v>6</v>
      </c>
      <c r="F183" s="84">
        <v>14</v>
      </c>
      <c r="G183" s="84">
        <v>5</v>
      </c>
      <c r="H183" s="84">
        <v>3</v>
      </c>
      <c r="I183" s="84"/>
      <c r="J183" s="84"/>
      <c r="K183" s="84"/>
      <c r="L183" s="84"/>
      <c r="M183" s="84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  <c r="AA183" s="83"/>
      <c r="AB183" s="83"/>
      <c r="AC183" s="83"/>
      <c r="AD183" s="83"/>
      <c r="AE183" s="83"/>
      <c r="AF183" s="82"/>
      <c r="AG183" s="11">
        <f t="shared" si="29"/>
        <v>37</v>
      </c>
    </row>
    <row r="184" spans="1:34" ht="18.75" x14ac:dyDescent="0.25">
      <c r="A184" s="76" t="s">
        <v>43</v>
      </c>
      <c r="B184" s="283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  <c r="AA184" s="68"/>
      <c r="AB184" s="68"/>
      <c r="AC184" s="68"/>
      <c r="AD184" s="68"/>
      <c r="AE184" s="68"/>
      <c r="AF184" s="67"/>
      <c r="AG184" s="64">
        <f t="shared" si="29"/>
        <v>0</v>
      </c>
    </row>
    <row r="185" spans="1:34" ht="18.75" x14ac:dyDescent="0.25">
      <c r="A185" s="76" t="s">
        <v>42</v>
      </c>
      <c r="B185" s="283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  <c r="AB185" s="68"/>
      <c r="AC185" s="68"/>
      <c r="AD185" s="68"/>
      <c r="AE185" s="68"/>
      <c r="AF185" s="67"/>
      <c r="AG185" s="64">
        <f t="shared" si="29"/>
        <v>0</v>
      </c>
    </row>
    <row r="186" spans="1:34" ht="18.75" x14ac:dyDescent="0.25">
      <c r="A186" s="76" t="s">
        <v>41</v>
      </c>
      <c r="B186" s="283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  <c r="AA186" s="68"/>
      <c r="AB186" s="68"/>
      <c r="AC186" s="68"/>
      <c r="AD186" s="68"/>
      <c r="AE186" s="68"/>
      <c r="AF186" s="67"/>
      <c r="AG186" s="64">
        <f t="shared" si="29"/>
        <v>0</v>
      </c>
    </row>
    <row r="187" spans="1:34" s="77" customFormat="1" ht="18.75" x14ac:dyDescent="0.25">
      <c r="A187" s="81" t="s">
        <v>40</v>
      </c>
      <c r="B187" s="284">
        <v>76</v>
      </c>
      <c r="C187" s="80">
        <v>71</v>
      </c>
      <c r="D187" s="80">
        <v>64</v>
      </c>
      <c r="E187" s="80">
        <v>59</v>
      </c>
      <c r="F187" s="80">
        <v>43</v>
      </c>
      <c r="G187" s="80">
        <v>70</v>
      </c>
      <c r="H187" s="80">
        <v>61</v>
      </c>
      <c r="I187" s="80">
        <v>59</v>
      </c>
      <c r="J187" s="80"/>
      <c r="K187" s="80"/>
      <c r="L187" s="80"/>
      <c r="M187" s="80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  <c r="AA187" s="79"/>
      <c r="AB187" s="79"/>
      <c r="AC187" s="79"/>
      <c r="AD187" s="79"/>
      <c r="AE187" s="79"/>
      <c r="AF187" s="78"/>
      <c r="AG187" s="21">
        <f t="shared" si="29"/>
        <v>503</v>
      </c>
    </row>
    <row r="188" spans="1:34" ht="18.75" x14ac:dyDescent="0.25">
      <c r="A188" s="76" t="s">
        <v>39</v>
      </c>
      <c r="B188" s="283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  <c r="AA188" s="68"/>
      <c r="AB188" s="68"/>
      <c r="AC188" s="68"/>
      <c r="AD188" s="68"/>
      <c r="AE188" s="68"/>
      <c r="AF188" s="67"/>
      <c r="AG188" s="64">
        <f t="shared" si="29"/>
        <v>0</v>
      </c>
    </row>
    <row r="189" spans="1:34" ht="18.75" x14ac:dyDescent="0.25">
      <c r="A189" s="76" t="s">
        <v>38</v>
      </c>
      <c r="B189" s="283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  <c r="AA189" s="68"/>
      <c r="AB189" s="68"/>
      <c r="AC189" s="68"/>
      <c r="AD189" s="68"/>
      <c r="AE189" s="68"/>
      <c r="AF189" s="67"/>
      <c r="AG189" s="64">
        <f t="shared" si="29"/>
        <v>0</v>
      </c>
    </row>
    <row r="190" spans="1:34" ht="18.75" x14ac:dyDescent="0.25">
      <c r="A190" s="76" t="s">
        <v>37</v>
      </c>
      <c r="B190" s="283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  <c r="AA190" s="68"/>
      <c r="AB190" s="68"/>
      <c r="AC190" s="68"/>
      <c r="AD190" s="68"/>
      <c r="AE190" s="68"/>
      <c r="AF190" s="67"/>
      <c r="AG190" s="64">
        <f t="shared" si="29"/>
        <v>0</v>
      </c>
    </row>
    <row r="191" spans="1:34" ht="18.75" x14ac:dyDescent="0.25">
      <c r="A191" s="76" t="s">
        <v>36</v>
      </c>
      <c r="B191" s="283"/>
      <c r="C191" s="69">
        <v>7</v>
      </c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  <c r="AA191" s="68"/>
      <c r="AB191" s="68"/>
      <c r="AC191" s="68"/>
      <c r="AD191" s="68"/>
      <c r="AE191" s="68"/>
      <c r="AF191" s="67"/>
      <c r="AG191" s="64">
        <f t="shared" si="29"/>
        <v>7</v>
      </c>
    </row>
    <row r="192" spans="1:34" ht="18.75" x14ac:dyDescent="0.25">
      <c r="A192" s="66" t="s">
        <v>35</v>
      </c>
      <c r="B192" s="283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  <c r="AA192" s="68"/>
      <c r="AB192" s="68"/>
      <c r="AC192" s="68"/>
      <c r="AD192" s="68"/>
      <c r="AE192" s="68"/>
      <c r="AF192" s="67"/>
      <c r="AG192" s="64">
        <f t="shared" si="29"/>
        <v>0</v>
      </c>
    </row>
    <row r="193" spans="1:33" ht="18.75" x14ac:dyDescent="0.25">
      <c r="A193" s="66" t="s">
        <v>34</v>
      </c>
      <c r="B193" s="283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  <c r="AA193" s="68"/>
      <c r="AB193" s="68"/>
      <c r="AC193" s="68"/>
      <c r="AD193" s="68"/>
      <c r="AE193" s="68"/>
      <c r="AF193" s="67"/>
      <c r="AG193" s="64">
        <f t="shared" si="29"/>
        <v>0</v>
      </c>
    </row>
    <row r="194" spans="1:33" ht="18.75" x14ac:dyDescent="0.25">
      <c r="A194" s="66" t="s">
        <v>33</v>
      </c>
      <c r="B194" s="283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  <c r="AA194" s="68"/>
      <c r="AB194" s="68"/>
      <c r="AC194" s="68"/>
      <c r="AD194" s="68"/>
      <c r="AE194" s="68"/>
      <c r="AF194" s="67"/>
      <c r="AG194" s="64">
        <f t="shared" si="29"/>
        <v>0</v>
      </c>
    </row>
    <row r="195" spans="1:33" ht="18.75" x14ac:dyDescent="0.25">
      <c r="A195" s="66" t="s">
        <v>32</v>
      </c>
      <c r="B195" s="283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  <c r="AA195" s="68"/>
      <c r="AB195" s="68"/>
      <c r="AC195" s="68"/>
      <c r="AD195" s="68"/>
      <c r="AE195" s="68"/>
      <c r="AF195" s="67"/>
      <c r="AG195" s="64">
        <f t="shared" si="29"/>
        <v>0</v>
      </c>
    </row>
    <row r="196" spans="1:33" ht="18.75" x14ac:dyDescent="0.25">
      <c r="A196" s="75" t="s">
        <v>31</v>
      </c>
      <c r="B196" s="285">
        <v>1</v>
      </c>
      <c r="C196" s="74"/>
      <c r="D196" s="74">
        <v>1</v>
      </c>
      <c r="E196" s="74">
        <v>1</v>
      </c>
      <c r="F196" s="74">
        <v>2</v>
      </c>
      <c r="G196" s="74"/>
      <c r="H196" s="74">
        <v>4</v>
      </c>
      <c r="I196" s="74">
        <v>1</v>
      </c>
      <c r="J196" s="74"/>
      <c r="K196" s="74"/>
      <c r="L196" s="74"/>
      <c r="M196" s="74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  <c r="AA196" s="73"/>
      <c r="AB196" s="73"/>
      <c r="AC196" s="73"/>
      <c r="AD196" s="73"/>
      <c r="AE196" s="73"/>
      <c r="AF196" s="72"/>
      <c r="AG196" s="71">
        <f t="shared" si="29"/>
        <v>10</v>
      </c>
    </row>
    <row r="197" spans="1:33" ht="18.75" x14ac:dyDescent="0.25">
      <c r="A197" s="70" t="s">
        <v>30</v>
      </c>
      <c r="B197" s="283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  <c r="AA197" s="68"/>
      <c r="AB197" s="68"/>
      <c r="AC197" s="68"/>
      <c r="AD197" s="68"/>
      <c r="AE197" s="68"/>
      <c r="AF197" s="67"/>
      <c r="AG197" s="64">
        <f t="shared" si="29"/>
        <v>0</v>
      </c>
    </row>
    <row r="198" spans="1:33" ht="18.75" x14ac:dyDescent="0.25">
      <c r="A198" s="70" t="s">
        <v>29</v>
      </c>
      <c r="B198" s="283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  <c r="AA198" s="68"/>
      <c r="AB198" s="68"/>
      <c r="AC198" s="68"/>
      <c r="AD198" s="68"/>
      <c r="AE198" s="68"/>
      <c r="AF198" s="67"/>
      <c r="AG198" s="64">
        <f t="shared" si="29"/>
        <v>0</v>
      </c>
    </row>
    <row r="199" spans="1:33" ht="18.75" x14ac:dyDescent="0.25">
      <c r="A199" s="70" t="s">
        <v>28</v>
      </c>
      <c r="B199" s="283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  <c r="AA199" s="68"/>
      <c r="AB199" s="68"/>
      <c r="AC199" s="68"/>
      <c r="AD199" s="68"/>
      <c r="AE199" s="68"/>
      <c r="AF199" s="67"/>
      <c r="AG199" s="64">
        <f t="shared" si="29"/>
        <v>0</v>
      </c>
    </row>
    <row r="200" spans="1:33" ht="18.75" x14ac:dyDescent="0.25">
      <c r="A200" s="70" t="s">
        <v>27</v>
      </c>
      <c r="B200" s="283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  <c r="AA200" s="68"/>
      <c r="AB200" s="68"/>
      <c r="AC200" s="68"/>
      <c r="AD200" s="68"/>
      <c r="AE200" s="68"/>
      <c r="AF200" s="67"/>
      <c r="AG200" s="64">
        <f t="shared" si="29"/>
        <v>0</v>
      </c>
    </row>
    <row r="201" spans="1:33" ht="18.75" x14ac:dyDescent="0.25">
      <c r="A201" s="70" t="s">
        <v>26</v>
      </c>
      <c r="B201" s="283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  <c r="AA201" s="68"/>
      <c r="AB201" s="68"/>
      <c r="AC201" s="68"/>
      <c r="AD201" s="68"/>
      <c r="AE201" s="68"/>
      <c r="AF201" s="67"/>
      <c r="AG201" s="64">
        <f t="shared" si="29"/>
        <v>0</v>
      </c>
    </row>
    <row r="202" spans="1:33" ht="18.75" x14ac:dyDescent="0.25">
      <c r="A202" s="70" t="s">
        <v>25</v>
      </c>
      <c r="B202" s="283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  <c r="AA202" s="68"/>
      <c r="AB202" s="68"/>
      <c r="AC202" s="68"/>
      <c r="AD202" s="68"/>
      <c r="AE202" s="68"/>
      <c r="AF202" s="67"/>
      <c r="AG202" s="64">
        <f t="shared" si="29"/>
        <v>0</v>
      </c>
    </row>
    <row r="203" spans="1:33" ht="18.75" x14ac:dyDescent="0.25">
      <c r="A203" s="66" t="s">
        <v>24</v>
      </c>
      <c r="B203" s="283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  <c r="AA203" s="68"/>
      <c r="AB203" s="68"/>
      <c r="AC203" s="68"/>
      <c r="AD203" s="68"/>
      <c r="AE203" s="68"/>
      <c r="AF203" s="67"/>
      <c r="AG203" s="64">
        <f t="shared" si="29"/>
        <v>0</v>
      </c>
    </row>
    <row r="204" spans="1:33" ht="18.75" x14ac:dyDescent="0.25">
      <c r="A204" s="66" t="s">
        <v>23</v>
      </c>
      <c r="B204" s="283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  <c r="AA204" s="68"/>
      <c r="AB204" s="68"/>
      <c r="AC204" s="68"/>
      <c r="AD204" s="68"/>
      <c r="AE204" s="68"/>
      <c r="AF204" s="67"/>
      <c r="AG204" s="64">
        <f t="shared" si="29"/>
        <v>0</v>
      </c>
    </row>
    <row r="205" spans="1:33" ht="18.75" x14ac:dyDescent="0.25">
      <c r="A205" s="66" t="s">
        <v>22</v>
      </c>
      <c r="B205" s="283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  <c r="AA205" s="68"/>
      <c r="AB205" s="68"/>
      <c r="AC205" s="68"/>
      <c r="AD205" s="68"/>
      <c r="AE205" s="68"/>
      <c r="AF205" s="67"/>
      <c r="AG205" s="64">
        <f t="shared" si="29"/>
        <v>0</v>
      </c>
    </row>
    <row r="206" spans="1:33" ht="18.75" x14ac:dyDescent="0.25">
      <c r="A206" s="66" t="s">
        <v>21</v>
      </c>
      <c r="B206" s="286"/>
      <c r="C206" s="62">
        <v>2</v>
      </c>
      <c r="D206" s="62"/>
      <c r="E206" s="62"/>
      <c r="F206" s="62"/>
      <c r="G206" s="62"/>
      <c r="H206" s="62"/>
      <c r="I206" s="62">
        <v>1</v>
      </c>
      <c r="J206" s="62"/>
      <c r="K206" s="62"/>
      <c r="L206" s="62"/>
      <c r="M206" s="62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B206" s="61"/>
      <c r="AC206" s="61"/>
      <c r="AD206" s="61"/>
      <c r="AE206" s="61"/>
      <c r="AF206" s="60"/>
      <c r="AG206" s="64">
        <f t="shared" si="29"/>
        <v>3</v>
      </c>
    </row>
    <row r="207" spans="1:33" ht="18.75" x14ac:dyDescent="0.25">
      <c r="A207" s="65" t="s">
        <v>20</v>
      </c>
      <c r="B207" s="286"/>
      <c r="C207" s="62"/>
      <c r="D207" s="62"/>
      <c r="E207" s="62">
        <v>1</v>
      </c>
      <c r="F207" s="62"/>
      <c r="G207" s="62"/>
      <c r="H207" s="62"/>
      <c r="I207" s="62"/>
      <c r="J207" s="62"/>
      <c r="K207" s="62"/>
      <c r="L207" s="62"/>
      <c r="M207" s="62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  <c r="AB207" s="61"/>
      <c r="AC207" s="61"/>
      <c r="AD207" s="61"/>
      <c r="AE207" s="61"/>
      <c r="AF207" s="60"/>
      <c r="AG207" s="64">
        <f t="shared" si="29"/>
        <v>1</v>
      </c>
    </row>
    <row r="208" spans="1:33" ht="19.5" thickBot="1" x14ac:dyDescent="0.3">
      <c r="A208" s="63" t="s">
        <v>19</v>
      </c>
      <c r="B208" s="286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  <c r="AA208" s="61"/>
      <c r="AB208" s="61"/>
      <c r="AC208" s="61"/>
      <c r="AD208" s="61"/>
      <c r="AE208" s="61"/>
      <c r="AF208" s="60"/>
      <c r="AG208" s="10">
        <f t="shared" si="29"/>
        <v>0</v>
      </c>
    </row>
    <row r="209" spans="1:34" ht="19.5" thickBot="1" x14ac:dyDescent="0.3">
      <c r="A209" s="59" t="s">
        <v>18</v>
      </c>
      <c r="B209" s="287">
        <f t="shared" ref="B209:AF209" si="31">SUM(B210:B214)</f>
        <v>155</v>
      </c>
      <c r="C209" s="57">
        <f t="shared" si="31"/>
        <v>150</v>
      </c>
      <c r="D209" s="57">
        <f t="shared" si="31"/>
        <v>152</v>
      </c>
      <c r="E209" s="57">
        <f t="shared" si="31"/>
        <v>167</v>
      </c>
      <c r="F209" s="57">
        <f t="shared" si="31"/>
        <v>150</v>
      </c>
      <c r="G209" s="57">
        <f t="shared" si="31"/>
        <v>174</v>
      </c>
      <c r="H209" s="57">
        <f t="shared" si="31"/>
        <v>166</v>
      </c>
      <c r="I209" s="57">
        <f t="shared" si="31"/>
        <v>182</v>
      </c>
      <c r="J209" s="57">
        <f t="shared" si="31"/>
        <v>0</v>
      </c>
      <c r="K209" s="57">
        <f t="shared" si="31"/>
        <v>0</v>
      </c>
      <c r="L209" s="57">
        <f t="shared" si="31"/>
        <v>0</v>
      </c>
      <c r="M209" s="57">
        <f t="shared" si="31"/>
        <v>0</v>
      </c>
      <c r="N209" s="56">
        <f t="shared" si="31"/>
        <v>0</v>
      </c>
      <c r="O209" s="56">
        <f t="shared" si="31"/>
        <v>0</v>
      </c>
      <c r="P209" s="56">
        <f t="shared" si="31"/>
        <v>0</v>
      </c>
      <c r="Q209" s="56">
        <f t="shared" si="31"/>
        <v>0</v>
      </c>
      <c r="R209" s="56">
        <f t="shared" si="31"/>
        <v>0</v>
      </c>
      <c r="S209" s="56">
        <f t="shared" si="31"/>
        <v>0</v>
      </c>
      <c r="T209" s="56">
        <f t="shared" si="31"/>
        <v>0</v>
      </c>
      <c r="U209" s="56">
        <f t="shared" si="31"/>
        <v>0</v>
      </c>
      <c r="V209" s="56">
        <f t="shared" si="31"/>
        <v>0</v>
      </c>
      <c r="W209" s="56">
        <f t="shared" si="31"/>
        <v>0</v>
      </c>
      <c r="X209" s="56">
        <f t="shared" si="31"/>
        <v>0</v>
      </c>
      <c r="Y209" s="56">
        <f t="shared" si="31"/>
        <v>0</v>
      </c>
      <c r="Z209" s="56">
        <f t="shared" si="31"/>
        <v>0</v>
      </c>
      <c r="AA209" s="56">
        <f t="shared" si="31"/>
        <v>0</v>
      </c>
      <c r="AB209" s="56">
        <f t="shared" si="31"/>
        <v>0</v>
      </c>
      <c r="AC209" s="56">
        <f t="shared" si="31"/>
        <v>0</v>
      </c>
      <c r="AD209" s="56">
        <f t="shared" si="31"/>
        <v>0</v>
      </c>
      <c r="AE209" s="56">
        <f t="shared" si="31"/>
        <v>0</v>
      </c>
      <c r="AF209" s="55">
        <f t="shared" si="31"/>
        <v>0</v>
      </c>
      <c r="AG209" s="54">
        <f t="shared" si="29"/>
        <v>1296</v>
      </c>
      <c r="AH209" s="53" t="str">
        <f>IF(AG209&lt;&gt;AG93,"X","")</f>
        <v/>
      </c>
    </row>
    <row r="210" spans="1:34" ht="18.75" x14ac:dyDescent="0.25">
      <c r="A210" s="344" t="s">
        <v>17</v>
      </c>
      <c r="B210" s="288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0"/>
      <c r="AB210" s="50"/>
      <c r="AC210" s="50"/>
      <c r="AD210" s="50"/>
      <c r="AE210" s="50"/>
      <c r="AF210" s="49"/>
      <c r="AG210" s="48">
        <f t="shared" si="29"/>
        <v>0</v>
      </c>
    </row>
    <row r="211" spans="1:34" ht="18.75" x14ac:dyDescent="0.25">
      <c r="A211" s="345" t="s">
        <v>16</v>
      </c>
      <c r="B211" s="289"/>
      <c r="C211" s="46"/>
      <c r="D211" s="46">
        <v>3</v>
      </c>
      <c r="E211" s="46">
        <v>2</v>
      </c>
      <c r="F211" s="46"/>
      <c r="G211" s="46"/>
      <c r="H211" s="46">
        <v>2</v>
      </c>
      <c r="I211" s="46">
        <v>1</v>
      </c>
      <c r="J211" s="46"/>
      <c r="K211" s="46"/>
      <c r="L211" s="46"/>
      <c r="M211" s="46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4"/>
      <c r="AG211" s="43">
        <f t="shared" si="29"/>
        <v>8</v>
      </c>
    </row>
    <row r="212" spans="1:34" ht="18.75" x14ac:dyDescent="0.25">
      <c r="A212" s="345" t="s">
        <v>15</v>
      </c>
      <c r="B212" s="289">
        <v>18</v>
      </c>
      <c r="C212" s="46">
        <v>11</v>
      </c>
      <c r="D212" s="46">
        <v>13</v>
      </c>
      <c r="E212" s="46">
        <v>18</v>
      </c>
      <c r="F212" s="46">
        <v>25</v>
      </c>
      <c r="G212" s="46">
        <v>16</v>
      </c>
      <c r="H212" s="46">
        <v>16</v>
      </c>
      <c r="I212" s="46">
        <v>19</v>
      </c>
      <c r="J212" s="46"/>
      <c r="K212" s="46"/>
      <c r="L212" s="46"/>
      <c r="M212" s="46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4"/>
      <c r="AG212" s="43">
        <f t="shared" ref="AG212:AG223" si="32">SUM(B212:AF212)</f>
        <v>136</v>
      </c>
    </row>
    <row r="213" spans="1:34" ht="18.75" x14ac:dyDescent="0.25">
      <c r="A213" s="345" t="s">
        <v>14</v>
      </c>
      <c r="B213" s="289">
        <v>126</v>
      </c>
      <c r="C213" s="46">
        <v>123</v>
      </c>
      <c r="D213" s="46">
        <v>111</v>
      </c>
      <c r="E213" s="46">
        <v>106</v>
      </c>
      <c r="F213" s="46">
        <v>113</v>
      </c>
      <c r="G213" s="46">
        <v>128</v>
      </c>
      <c r="H213" s="46">
        <v>113</v>
      </c>
      <c r="I213" s="46">
        <v>145</v>
      </c>
      <c r="J213" s="46"/>
      <c r="K213" s="46"/>
      <c r="L213" s="46"/>
      <c r="M213" s="46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4"/>
      <c r="AG213" s="43">
        <f t="shared" si="32"/>
        <v>965</v>
      </c>
    </row>
    <row r="214" spans="1:34" ht="19.5" thickBot="1" x14ac:dyDescent="0.3">
      <c r="A214" s="346" t="s">
        <v>13</v>
      </c>
      <c r="B214" s="290">
        <v>11</v>
      </c>
      <c r="C214" s="41">
        <v>16</v>
      </c>
      <c r="D214" s="41">
        <v>25</v>
      </c>
      <c r="E214" s="41">
        <v>41</v>
      </c>
      <c r="F214" s="41">
        <v>12</v>
      </c>
      <c r="G214" s="41">
        <v>30</v>
      </c>
      <c r="H214" s="41">
        <v>35</v>
      </c>
      <c r="I214" s="41">
        <v>17</v>
      </c>
      <c r="J214" s="41"/>
      <c r="K214" s="41"/>
      <c r="L214" s="41"/>
      <c r="M214" s="41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39"/>
      <c r="AG214" s="38">
        <f t="shared" si="32"/>
        <v>187</v>
      </c>
    </row>
    <row r="215" spans="1:34" ht="19.5" thickBot="1" x14ac:dyDescent="0.3">
      <c r="A215" s="333" t="s">
        <v>12</v>
      </c>
      <c r="B215" s="291">
        <f t="shared" ref="B215:AF215" si="33">SUM(B216:B219)</f>
        <v>50</v>
      </c>
      <c r="C215" s="36">
        <f t="shared" si="33"/>
        <v>48</v>
      </c>
      <c r="D215" s="36">
        <f t="shared" si="33"/>
        <v>58</v>
      </c>
      <c r="E215" s="36">
        <f t="shared" si="33"/>
        <v>45</v>
      </c>
      <c r="F215" s="36">
        <f t="shared" si="33"/>
        <v>32</v>
      </c>
      <c r="G215" s="36">
        <f t="shared" si="33"/>
        <v>54</v>
      </c>
      <c r="H215" s="36">
        <f t="shared" si="33"/>
        <v>52</v>
      </c>
      <c r="I215" s="36">
        <f t="shared" si="33"/>
        <v>42</v>
      </c>
      <c r="J215" s="36">
        <f t="shared" si="33"/>
        <v>0</v>
      </c>
      <c r="K215" s="36">
        <f t="shared" si="33"/>
        <v>0</v>
      </c>
      <c r="L215" s="36">
        <f t="shared" si="33"/>
        <v>0</v>
      </c>
      <c r="M215" s="36">
        <f t="shared" si="33"/>
        <v>0</v>
      </c>
      <c r="N215" s="35">
        <f t="shared" si="33"/>
        <v>0</v>
      </c>
      <c r="O215" s="35">
        <f t="shared" si="33"/>
        <v>0</v>
      </c>
      <c r="P215" s="35">
        <f t="shared" si="33"/>
        <v>0</v>
      </c>
      <c r="Q215" s="35">
        <f t="shared" si="33"/>
        <v>0</v>
      </c>
      <c r="R215" s="35">
        <f t="shared" si="33"/>
        <v>0</v>
      </c>
      <c r="S215" s="35">
        <f t="shared" si="33"/>
        <v>0</v>
      </c>
      <c r="T215" s="35">
        <f t="shared" si="33"/>
        <v>0</v>
      </c>
      <c r="U215" s="35">
        <f t="shared" si="33"/>
        <v>0</v>
      </c>
      <c r="V215" s="35">
        <f t="shared" si="33"/>
        <v>0</v>
      </c>
      <c r="W215" s="35">
        <f t="shared" si="33"/>
        <v>0</v>
      </c>
      <c r="X215" s="35">
        <f t="shared" si="33"/>
        <v>0</v>
      </c>
      <c r="Y215" s="35">
        <f t="shared" si="33"/>
        <v>0</v>
      </c>
      <c r="Z215" s="35">
        <f t="shared" si="33"/>
        <v>0</v>
      </c>
      <c r="AA215" s="35">
        <f t="shared" si="33"/>
        <v>0</v>
      </c>
      <c r="AB215" s="35">
        <f t="shared" si="33"/>
        <v>0</v>
      </c>
      <c r="AC215" s="35">
        <f t="shared" si="33"/>
        <v>0</v>
      </c>
      <c r="AD215" s="35">
        <f t="shared" si="33"/>
        <v>0</v>
      </c>
      <c r="AE215" s="35">
        <f t="shared" si="33"/>
        <v>0</v>
      </c>
      <c r="AF215" s="34">
        <f t="shared" si="33"/>
        <v>0</v>
      </c>
      <c r="AG215" s="33">
        <f t="shared" si="32"/>
        <v>381</v>
      </c>
    </row>
    <row r="216" spans="1:34" ht="18.75" x14ac:dyDescent="0.25">
      <c r="A216" s="81" t="s">
        <v>7</v>
      </c>
      <c r="B216" s="292">
        <v>1</v>
      </c>
      <c r="C216" s="31">
        <v>3</v>
      </c>
      <c r="D216" s="31">
        <v>4</v>
      </c>
      <c r="E216" s="31">
        <v>3</v>
      </c>
      <c r="F216" s="31">
        <v>1</v>
      </c>
      <c r="G216" s="31">
        <v>4</v>
      </c>
      <c r="H216" s="31">
        <v>2</v>
      </c>
      <c r="I216" s="31">
        <v>6</v>
      </c>
      <c r="J216" s="31"/>
      <c r="K216" s="31"/>
      <c r="L216" s="31"/>
      <c r="M216" s="31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29"/>
      <c r="AG216" s="28">
        <f t="shared" si="32"/>
        <v>24</v>
      </c>
    </row>
    <row r="217" spans="1:34" ht="18.75" x14ac:dyDescent="0.25">
      <c r="A217" s="347" t="s">
        <v>11</v>
      </c>
      <c r="B217" s="293">
        <v>29</v>
      </c>
      <c r="C217" s="25">
        <v>41</v>
      </c>
      <c r="D217" s="25">
        <v>54</v>
      </c>
      <c r="E217" s="25">
        <v>41</v>
      </c>
      <c r="F217" s="25">
        <v>31</v>
      </c>
      <c r="G217" s="25">
        <v>45</v>
      </c>
      <c r="H217" s="25">
        <v>48</v>
      </c>
      <c r="I217" s="25">
        <v>34</v>
      </c>
      <c r="J217" s="25"/>
      <c r="K217" s="25"/>
      <c r="L217" s="25"/>
      <c r="M217" s="25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3"/>
      <c r="AG217" s="21">
        <f t="shared" si="32"/>
        <v>323</v>
      </c>
    </row>
    <row r="218" spans="1:34" ht="18.75" x14ac:dyDescent="0.25">
      <c r="A218" s="348" t="s">
        <v>169</v>
      </c>
      <c r="B218" s="293">
        <v>0</v>
      </c>
      <c r="C218" s="25">
        <v>0</v>
      </c>
      <c r="D218" s="25">
        <v>0</v>
      </c>
      <c r="E218" s="25">
        <v>0</v>
      </c>
      <c r="F218" s="25">
        <v>0</v>
      </c>
      <c r="G218" s="25">
        <v>0</v>
      </c>
      <c r="H218" s="25">
        <v>0</v>
      </c>
      <c r="I218" s="25">
        <v>0</v>
      </c>
      <c r="J218" s="25"/>
      <c r="K218" s="25"/>
      <c r="L218" s="25"/>
      <c r="M218" s="25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3"/>
      <c r="AG218" s="21">
        <f t="shared" si="32"/>
        <v>0</v>
      </c>
    </row>
    <row r="219" spans="1:34" ht="19.5" thickBot="1" x14ac:dyDescent="0.3">
      <c r="A219" s="348" t="s">
        <v>8</v>
      </c>
      <c r="B219" s="293">
        <v>20</v>
      </c>
      <c r="C219" s="25">
        <v>4</v>
      </c>
      <c r="D219" s="25">
        <v>0</v>
      </c>
      <c r="E219" s="25">
        <v>1</v>
      </c>
      <c r="F219" s="25">
        <v>0</v>
      </c>
      <c r="G219" s="25">
        <v>5</v>
      </c>
      <c r="H219" s="25">
        <v>2</v>
      </c>
      <c r="I219" s="25">
        <v>2</v>
      </c>
      <c r="J219" s="25"/>
      <c r="K219" s="25"/>
      <c r="L219" s="25"/>
      <c r="M219" s="25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3"/>
      <c r="AG219" s="21">
        <f t="shared" si="32"/>
        <v>34</v>
      </c>
    </row>
    <row r="220" spans="1:34" ht="19.5" thickBot="1" x14ac:dyDescent="0.3">
      <c r="A220" s="327" t="s">
        <v>164</v>
      </c>
      <c r="B220" s="266">
        <f t="shared" ref="B220:AF220" si="34">SUM(B221:B223)</f>
        <v>36</v>
      </c>
      <c r="C220" s="143">
        <f t="shared" si="34"/>
        <v>23</v>
      </c>
      <c r="D220" s="143">
        <f t="shared" si="34"/>
        <v>11</v>
      </c>
      <c r="E220" s="143">
        <f t="shared" si="34"/>
        <v>14</v>
      </c>
      <c r="F220" s="143">
        <f t="shared" si="34"/>
        <v>6</v>
      </c>
      <c r="G220" s="143">
        <f t="shared" si="34"/>
        <v>18</v>
      </c>
      <c r="H220" s="143">
        <f t="shared" si="34"/>
        <v>16</v>
      </c>
      <c r="I220" s="143">
        <f t="shared" si="34"/>
        <v>4</v>
      </c>
      <c r="J220" s="143">
        <f t="shared" si="34"/>
        <v>0</v>
      </c>
      <c r="K220" s="143">
        <f t="shared" si="34"/>
        <v>0</v>
      </c>
      <c r="L220" s="143">
        <f t="shared" si="34"/>
        <v>0</v>
      </c>
      <c r="M220" s="143">
        <f t="shared" si="34"/>
        <v>0</v>
      </c>
      <c r="N220" s="143">
        <f t="shared" si="34"/>
        <v>0</v>
      </c>
      <c r="O220" s="143">
        <f t="shared" si="34"/>
        <v>0</v>
      </c>
      <c r="P220" s="143">
        <f t="shared" si="34"/>
        <v>0</v>
      </c>
      <c r="Q220" s="143">
        <f t="shared" si="34"/>
        <v>0</v>
      </c>
      <c r="R220" s="143">
        <f t="shared" si="34"/>
        <v>0</v>
      </c>
      <c r="S220" s="143">
        <f t="shared" si="34"/>
        <v>0</v>
      </c>
      <c r="T220" s="143">
        <f t="shared" si="34"/>
        <v>0</v>
      </c>
      <c r="U220" s="143">
        <f t="shared" si="34"/>
        <v>0</v>
      </c>
      <c r="V220" s="143">
        <f t="shared" si="34"/>
        <v>0</v>
      </c>
      <c r="W220" s="143">
        <f t="shared" si="34"/>
        <v>0</v>
      </c>
      <c r="X220" s="143">
        <f t="shared" si="34"/>
        <v>0</v>
      </c>
      <c r="Y220" s="143">
        <f t="shared" si="34"/>
        <v>0</v>
      </c>
      <c r="Z220" s="143">
        <f t="shared" si="34"/>
        <v>0</v>
      </c>
      <c r="AA220" s="143">
        <f t="shared" si="34"/>
        <v>0</v>
      </c>
      <c r="AB220" s="143">
        <f t="shared" si="34"/>
        <v>0</v>
      </c>
      <c r="AC220" s="143">
        <f t="shared" si="34"/>
        <v>0</v>
      </c>
      <c r="AD220" s="143">
        <f t="shared" si="34"/>
        <v>0</v>
      </c>
      <c r="AE220" s="143">
        <f t="shared" si="34"/>
        <v>0</v>
      </c>
      <c r="AF220" s="143">
        <f t="shared" si="34"/>
        <v>0</v>
      </c>
      <c r="AG220" s="86">
        <f t="shared" si="32"/>
        <v>128</v>
      </c>
    </row>
    <row r="221" spans="1:34" ht="18.75" x14ac:dyDescent="0.25">
      <c r="A221" s="349" t="s">
        <v>165</v>
      </c>
      <c r="B221" s="355">
        <v>2</v>
      </c>
      <c r="C221" s="218">
        <v>2</v>
      </c>
      <c r="D221" s="218">
        <v>0</v>
      </c>
      <c r="E221" s="218">
        <v>2</v>
      </c>
      <c r="F221" s="218">
        <v>1</v>
      </c>
      <c r="G221" s="218">
        <v>3</v>
      </c>
      <c r="H221" s="218">
        <v>4</v>
      </c>
      <c r="I221" s="218">
        <v>1</v>
      </c>
      <c r="J221" s="218"/>
      <c r="K221" s="218"/>
      <c r="L221" s="218"/>
      <c r="M221" s="218"/>
      <c r="N221" s="218"/>
      <c r="O221" s="218"/>
      <c r="P221" s="218"/>
      <c r="Q221" s="218"/>
      <c r="R221" s="218"/>
      <c r="S221" s="218"/>
      <c r="T221" s="218"/>
      <c r="U221" s="218"/>
      <c r="V221" s="218"/>
      <c r="W221" s="218"/>
      <c r="X221" s="218"/>
      <c r="Y221" s="218"/>
      <c r="Z221" s="218"/>
      <c r="AA221" s="218"/>
      <c r="AB221" s="218"/>
      <c r="AC221" s="218"/>
      <c r="AD221" s="218"/>
      <c r="AE221" s="218"/>
      <c r="AF221" s="218"/>
      <c r="AG221" s="225">
        <f t="shared" si="32"/>
        <v>15</v>
      </c>
    </row>
    <row r="222" spans="1:34" ht="18.75" x14ac:dyDescent="0.25">
      <c r="A222" s="350" t="s">
        <v>166</v>
      </c>
      <c r="B222" s="273">
        <v>34</v>
      </c>
      <c r="C222" s="124">
        <v>21</v>
      </c>
      <c r="D222" s="124">
        <v>11</v>
      </c>
      <c r="E222" s="124">
        <v>12</v>
      </c>
      <c r="F222" s="124">
        <v>5</v>
      </c>
      <c r="G222" s="124">
        <v>15</v>
      </c>
      <c r="H222" s="124">
        <v>12</v>
      </c>
      <c r="I222" s="124">
        <v>3</v>
      </c>
      <c r="J222" s="124"/>
      <c r="K222" s="124"/>
      <c r="L222" s="124"/>
      <c r="M222" s="124"/>
      <c r="N222" s="124"/>
      <c r="O222" s="124"/>
      <c r="P222" s="124"/>
      <c r="Q222" s="124"/>
      <c r="R222" s="124"/>
      <c r="S222" s="124"/>
      <c r="T222" s="124"/>
      <c r="U222" s="124"/>
      <c r="V222" s="124"/>
      <c r="W222" s="124"/>
      <c r="X222" s="124"/>
      <c r="Y222" s="124"/>
      <c r="Z222" s="124"/>
      <c r="AA222" s="124"/>
      <c r="AB222" s="124"/>
      <c r="AC222" s="124"/>
      <c r="AD222" s="124"/>
      <c r="AE222" s="124"/>
      <c r="AF222" s="124"/>
      <c r="AG222" s="122">
        <f t="shared" si="32"/>
        <v>113</v>
      </c>
    </row>
    <row r="223" spans="1:34" ht="19.5" thickBot="1" x14ac:dyDescent="0.3">
      <c r="A223" s="324" t="s">
        <v>167</v>
      </c>
      <c r="B223" s="263">
        <v>0</v>
      </c>
      <c r="C223" s="140">
        <v>0</v>
      </c>
      <c r="D223" s="140">
        <v>0</v>
      </c>
      <c r="E223" s="140">
        <v>0</v>
      </c>
      <c r="F223" s="140">
        <v>0</v>
      </c>
      <c r="G223" s="140">
        <v>0</v>
      </c>
      <c r="H223" s="140">
        <v>0</v>
      </c>
      <c r="I223" s="140">
        <v>0</v>
      </c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40"/>
      <c r="Y223" s="140"/>
      <c r="Z223" s="140"/>
      <c r="AA223" s="140"/>
      <c r="AB223" s="140"/>
      <c r="AC223" s="140"/>
      <c r="AD223" s="140"/>
      <c r="AE223" s="140"/>
      <c r="AF223" s="140"/>
      <c r="AG223" s="138">
        <f t="shared" si="32"/>
        <v>0</v>
      </c>
    </row>
    <row r="224" spans="1:34" ht="18.75" x14ac:dyDescent="0.25">
      <c r="A224" s="351" t="s">
        <v>4</v>
      </c>
      <c r="B224" s="265">
        <f t="shared" ref="B224:AF224" si="35">SUM(B225:B227)</f>
        <v>10</v>
      </c>
      <c r="C224" s="8">
        <f t="shared" si="35"/>
        <v>7</v>
      </c>
      <c r="D224" s="8">
        <f t="shared" si="35"/>
        <v>8</v>
      </c>
      <c r="E224" s="8">
        <f t="shared" si="35"/>
        <v>4</v>
      </c>
      <c r="F224" s="8">
        <f t="shared" si="35"/>
        <v>5</v>
      </c>
      <c r="G224" s="8">
        <f t="shared" si="35"/>
        <v>8</v>
      </c>
      <c r="H224" s="8">
        <f t="shared" si="35"/>
        <v>12</v>
      </c>
      <c r="I224" s="8">
        <f t="shared" si="35"/>
        <v>5</v>
      </c>
      <c r="J224" s="8">
        <f t="shared" si="35"/>
        <v>0</v>
      </c>
      <c r="K224" s="8">
        <f t="shared" si="35"/>
        <v>0</v>
      </c>
      <c r="L224" s="8">
        <f t="shared" si="35"/>
        <v>0</v>
      </c>
      <c r="M224" s="8">
        <f t="shared" si="35"/>
        <v>0</v>
      </c>
      <c r="N224" s="8">
        <f t="shared" si="35"/>
        <v>0</v>
      </c>
      <c r="O224" s="8">
        <f t="shared" si="35"/>
        <v>0</v>
      </c>
      <c r="P224" s="8">
        <f t="shared" si="35"/>
        <v>0</v>
      </c>
      <c r="Q224" s="8">
        <f t="shared" si="35"/>
        <v>0</v>
      </c>
      <c r="R224" s="8">
        <f t="shared" si="35"/>
        <v>0</v>
      </c>
      <c r="S224" s="8">
        <f t="shared" si="35"/>
        <v>0</v>
      </c>
      <c r="T224" s="8">
        <f t="shared" si="35"/>
        <v>0</v>
      </c>
      <c r="U224" s="8">
        <f t="shared" si="35"/>
        <v>0</v>
      </c>
      <c r="V224" s="8">
        <f t="shared" si="35"/>
        <v>0</v>
      </c>
      <c r="W224" s="8">
        <f t="shared" si="35"/>
        <v>0</v>
      </c>
      <c r="X224" s="8">
        <f t="shared" si="35"/>
        <v>0</v>
      </c>
      <c r="Y224" s="8">
        <f t="shared" si="35"/>
        <v>0</v>
      </c>
      <c r="Z224" s="8">
        <f t="shared" si="35"/>
        <v>0</v>
      </c>
      <c r="AA224" s="8">
        <f t="shared" si="35"/>
        <v>0</v>
      </c>
      <c r="AB224" s="8">
        <f t="shared" si="35"/>
        <v>0</v>
      </c>
      <c r="AC224" s="8">
        <f t="shared" si="35"/>
        <v>0</v>
      </c>
      <c r="AD224" s="8">
        <f t="shared" si="35"/>
        <v>0</v>
      </c>
      <c r="AE224" s="8">
        <f t="shared" si="35"/>
        <v>0</v>
      </c>
      <c r="AF224" s="8">
        <f t="shared" si="35"/>
        <v>0</v>
      </c>
      <c r="AG224" s="7">
        <f t="shared" ref="AG224:AG227" si="36">SUM(B224:AF224)</f>
        <v>59</v>
      </c>
      <c r="AH224" s="406" t="s">
        <v>3</v>
      </c>
    </row>
    <row r="225" spans="1:34" ht="18.75" x14ac:dyDescent="0.25">
      <c r="A225" s="352" t="s">
        <v>2</v>
      </c>
      <c r="B225" s="5">
        <v>7</v>
      </c>
      <c r="C225" s="3">
        <v>6</v>
      </c>
      <c r="D225" s="3">
        <v>6</v>
      </c>
      <c r="E225" s="3">
        <v>3</v>
      </c>
      <c r="F225" s="3">
        <v>1</v>
      </c>
      <c r="G225" s="3">
        <v>1</v>
      </c>
      <c r="H225" s="3">
        <v>6</v>
      </c>
      <c r="I225" s="3">
        <v>2</v>
      </c>
      <c r="J225" s="3"/>
      <c r="K225" s="3"/>
      <c r="L225" s="3"/>
      <c r="M225" s="3"/>
      <c r="N225" s="5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4"/>
      <c r="AA225" s="3"/>
      <c r="AB225" s="3"/>
      <c r="AC225" s="3"/>
      <c r="AD225" s="3"/>
      <c r="AE225" s="3"/>
      <c r="AF225" s="2"/>
      <c r="AG225" s="1">
        <f t="shared" si="36"/>
        <v>32</v>
      </c>
      <c r="AH225" s="407"/>
    </row>
    <row r="226" spans="1:34" ht="18.75" x14ac:dyDescent="0.25">
      <c r="A226" s="352" t="s">
        <v>1</v>
      </c>
      <c r="B226" s="5">
        <v>3</v>
      </c>
      <c r="C226" s="3">
        <v>1</v>
      </c>
      <c r="D226" s="3">
        <v>2</v>
      </c>
      <c r="E226" s="3">
        <v>1</v>
      </c>
      <c r="F226" s="3">
        <v>4</v>
      </c>
      <c r="G226" s="3">
        <v>7</v>
      </c>
      <c r="H226" s="3">
        <v>6</v>
      </c>
      <c r="I226" s="3">
        <v>3</v>
      </c>
      <c r="J226" s="3"/>
      <c r="K226" s="3"/>
      <c r="L226" s="3"/>
      <c r="M226" s="3"/>
      <c r="N226" s="5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4"/>
      <c r="AA226" s="3"/>
      <c r="AB226" s="3"/>
      <c r="AC226" s="3"/>
      <c r="AD226" s="3"/>
      <c r="AE226" s="3"/>
      <c r="AF226" s="2"/>
      <c r="AG226" s="1">
        <f t="shared" si="36"/>
        <v>27</v>
      </c>
      <c r="AH226" s="407"/>
    </row>
    <row r="227" spans="1:34" ht="19.5" thickBot="1" x14ac:dyDescent="0.3">
      <c r="A227" s="353" t="s">
        <v>0</v>
      </c>
      <c r="B227" s="297"/>
      <c r="C227" s="240"/>
      <c r="D227" s="240"/>
      <c r="E227" s="240"/>
      <c r="F227" s="240"/>
      <c r="G227" s="240"/>
      <c r="H227" s="240"/>
      <c r="I227" s="240"/>
      <c r="J227" s="240"/>
      <c r="K227" s="241"/>
      <c r="L227" s="241"/>
      <c r="M227" s="241"/>
      <c r="N227" s="242"/>
      <c r="O227" s="243"/>
      <c r="P227" s="243"/>
      <c r="Q227" s="243"/>
      <c r="R227" s="243"/>
      <c r="S227" s="243"/>
      <c r="T227" s="243"/>
      <c r="U227" s="243"/>
      <c r="V227" s="243"/>
      <c r="W227" s="243"/>
      <c r="X227" s="243"/>
      <c r="Y227" s="243"/>
      <c r="Z227" s="243"/>
      <c r="AA227" s="243"/>
      <c r="AB227" s="243"/>
      <c r="AC227" s="243"/>
      <c r="AD227" s="243"/>
      <c r="AE227" s="243"/>
      <c r="AF227" s="244"/>
      <c r="AG227" s="10">
        <f t="shared" si="36"/>
        <v>0</v>
      </c>
      <c r="AH227" s="408"/>
    </row>
    <row r="247" ht="18.75" customHeight="1" x14ac:dyDescent="0.25"/>
    <row r="248" ht="18.75" customHeight="1" x14ac:dyDescent="0.25"/>
    <row r="249" ht="18.75" customHeight="1" x14ac:dyDescent="0.25"/>
    <row r="250" ht="18.75" customHeight="1" x14ac:dyDescent="0.25"/>
    <row r="251" ht="18.75" customHeight="1" x14ac:dyDescent="0.25"/>
    <row r="252" ht="18.75" customHeight="1" x14ac:dyDescent="0.25"/>
    <row r="253" ht="18.75" customHeight="1" x14ac:dyDescent="0.25"/>
    <row r="254" ht="18.75" customHeight="1" x14ac:dyDescent="0.25"/>
    <row r="255" ht="18.75" customHeight="1" x14ac:dyDescent="0.25"/>
    <row r="256" ht="18.75" customHeight="1" x14ac:dyDescent="0.25"/>
    <row r="257" ht="18.75" customHeight="1" x14ac:dyDescent="0.25"/>
    <row r="258" ht="19.5" customHeight="1" x14ac:dyDescent="0.25"/>
    <row r="260" ht="18.75" customHeight="1" x14ac:dyDescent="0.25"/>
    <row r="263" ht="18.75" customHeight="1" x14ac:dyDescent="0.25"/>
  </sheetData>
  <dataConsolidate link="1"/>
  <mergeCells count="3">
    <mergeCell ref="A1:AG1"/>
    <mergeCell ref="AI84:AI86"/>
    <mergeCell ref="AH224:AH227"/>
  </mergeCells>
  <conditionalFormatting sqref="B29:AF52">
    <cfRule type="cellIs" dxfId="9" priority="6" operator="lessThan">
      <formula>0</formula>
    </cfRule>
  </conditionalFormatting>
  <conditionalFormatting sqref="D54:D77">
    <cfRule type="cellIs" dxfId="8" priority="2" operator="lessThan">
      <formula>0</formula>
    </cfRule>
  </conditionalFormatting>
  <conditionalFormatting sqref="G54:G77">
    <cfRule type="cellIs" dxfId="7" priority="1" operator="lessThan">
      <formula>0</formula>
    </cfRule>
  </conditionalFormatting>
  <conditionalFormatting sqref="AH81">
    <cfRule type="cellIs" dxfId="6" priority="4" operator="equal">
      <formula>"*"</formula>
    </cfRule>
  </conditionalFormatting>
  <conditionalFormatting sqref="AH84 AH87">
    <cfRule type="cellIs" dxfId="5" priority="5" operator="equal">
      <formula>"*"</formula>
    </cfRule>
  </conditionalFormatting>
  <conditionalFormatting sqref="AH93">
    <cfRule type="cellIs" dxfId="4" priority="10" operator="equal">
      <formula>"*"</formula>
    </cfRule>
  </conditionalFormatting>
  <conditionalFormatting sqref="AH130">
    <cfRule type="cellIs" dxfId="3" priority="8" operator="equal">
      <formula>"*"</formula>
    </cfRule>
  </conditionalFormatting>
  <conditionalFormatting sqref="AH144:AH145">
    <cfRule type="cellIs" dxfId="2" priority="9" operator="equal">
      <formula>"*"</formula>
    </cfRule>
  </conditionalFormatting>
  <conditionalFormatting sqref="AH182">
    <cfRule type="cellIs" dxfId="1" priority="7" operator="equal">
      <formula>"*"</formula>
    </cfRule>
  </conditionalFormatting>
  <conditionalFormatting sqref="AH209">
    <cfRule type="cellIs" dxfId="0" priority="3" operator="equal">
      <formula>"X"</formula>
    </cfRule>
  </conditionalFormatting>
  <dataValidations disablePrompts="1" count="1">
    <dataValidation type="whole" allowBlank="1" showInputMessage="1" showErrorMessage="1" errorTitle="ERROR" error="Por favor ingrese solo Números" sqref="A98:A99 A101:A115" xr:uid="{02CAB9D0-A03C-4FE0-BA64-DA0D78419BE2}">
      <formula1>0</formula1>
      <formula2>1000000000</formula2>
    </dataValidation>
  </dataValidation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FORMATO 2021</vt:lpstr>
      <vt:lpstr>CONSOLIDADO</vt:lpstr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Villalobos R. (CVP)</dc:creator>
  <cp:lastModifiedBy>Rodrigo Villalobosr</cp:lastModifiedBy>
  <cp:lastPrinted>2021-10-19T17:27:04Z</cp:lastPrinted>
  <dcterms:created xsi:type="dcterms:W3CDTF">2020-11-12T18:35:20Z</dcterms:created>
  <dcterms:modified xsi:type="dcterms:W3CDTF">2026-03-20T18:29:31Z</dcterms:modified>
</cp:coreProperties>
</file>